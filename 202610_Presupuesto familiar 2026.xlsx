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:\Mi unidad\Finanzas\"/>
    </mc:Choice>
  </mc:AlternateContent>
  <bookViews>
    <workbookView xWindow="0" yWindow="0" windowWidth="23040" windowHeight="9075" firstSheet="1" activeTab="2"/>
  </bookViews>
  <sheets>
    <sheet name="Hoja5" sheetId="5" state="hidden" r:id="rId1"/>
    <sheet name="Historico" sheetId="1" r:id="rId2"/>
    <sheet name="Hoja4" sheetId="4" r:id="rId3"/>
    <sheet name="Dashboard Familiar" sheetId="9" r:id="rId4"/>
    <sheet name="Hoja2" sheetId="7" r:id="rId5"/>
    <sheet name="Hoja1" sheetId="10" r:id="rId6"/>
  </sheets>
  <externalReferences>
    <externalReference r:id="rId7"/>
  </externalReferences>
  <definedNames>
    <definedName name="_xlnm._FilterDatabase" localSheetId="1" hidden="1">Historico!$C$2431:$G$2431</definedName>
    <definedName name="_xlnm._FilterDatabase" localSheetId="4" hidden="1">Hoja2!$B$3:$H$3</definedName>
    <definedName name="_xlnm._FilterDatabase" localSheetId="2" hidden="1">Hoja4!$A$8:$G$37</definedName>
    <definedName name="_xlnm.Print_Area" localSheetId="1">Historico!$A$1:$I$2427</definedName>
    <definedName name="_xlnm.Print_Titles" localSheetId="1">Historico!$1:$10</definedName>
  </definedNames>
  <calcPr calcId="162913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0" l="1"/>
  <c r="C7" i="10"/>
  <c r="C13" i="10"/>
  <c r="C14" i="10"/>
  <c r="C15" i="10"/>
  <c r="C21" i="10"/>
  <c r="C23" i="10"/>
  <c r="D6" i="10"/>
  <c r="D7" i="10"/>
  <c r="D8" i="10"/>
  <c r="C8" i="10" s="1"/>
  <c r="D10" i="10"/>
  <c r="C10" i="10" s="1"/>
  <c r="D11" i="10"/>
  <c r="C11" i="10" s="1"/>
  <c r="D13" i="10"/>
  <c r="D14" i="10"/>
  <c r="D15" i="10"/>
  <c r="D16" i="10"/>
  <c r="C16" i="10" s="1"/>
  <c r="D18" i="10"/>
  <c r="C18" i="10" s="1"/>
  <c r="D19" i="10"/>
  <c r="C19" i="10" s="1"/>
  <c r="D20" i="10"/>
  <c r="C20" i="10" s="1"/>
  <c r="D21" i="10"/>
  <c r="D22" i="10"/>
  <c r="C22" i="10" s="1"/>
  <c r="D23" i="10"/>
  <c r="D24" i="10"/>
  <c r="C24" i="10" s="1"/>
  <c r="D25" i="10"/>
  <c r="C25" i="10" s="1"/>
  <c r="D26" i="10"/>
  <c r="C26" i="10" s="1"/>
  <c r="D27" i="10"/>
  <c r="C27" i="10" s="1"/>
  <c r="D28" i="10"/>
  <c r="C28" i="10" s="1"/>
  <c r="D29" i="10"/>
  <c r="C29" i="10" s="1"/>
  <c r="D30" i="10"/>
  <c r="C30" i="10" s="1"/>
  <c r="D31" i="10"/>
  <c r="C31" i="10" s="1"/>
  <c r="D33" i="10"/>
  <c r="C33" i="10" s="1"/>
  <c r="D5" i="10"/>
  <c r="C5" i="10" s="1"/>
  <c r="I3" i="4" l="1"/>
  <c r="K42" i="4" l="1"/>
  <c r="B9" i="9"/>
  <c r="B16" i="4"/>
  <c r="B4" i="4" l="1"/>
  <c r="N3" i="4"/>
  <c r="J43" i="4" l="1"/>
  <c r="K43" i="4" s="1"/>
  <c r="B12" i="4"/>
  <c r="C12" i="4" s="1"/>
  <c r="D32" i="10" s="1"/>
  <c r="C32" i="10" s="1"/>
  <c r="B19" i="4"/>
  <c r="C19" i="4" s="1"/>
  <c r="D12" i="10" s="1"/>
  <c r="C12" i="10" s="1"/>
  <c r="B15" i="4"/>
  <c r="B22" i="4"/>
  <c r="B20" i="4"/>
  <c r="B21" i="4"/>
  <c r="B18" i="4"/>
  <c r="B24" i="4"/>
  <c r="B37" i="4"/>
  <c r="C37" i="4" s="1"/>
  <c r="D17" i="10" s="1"/>
  <c r="C17" i="10" s="1"/>
  <c r="J45" i="4" l="1"/>
  <c r="B9" i="4"/>
  <c r="B10" i="4"/>
  <c r="B11" i="4"/>
  <c r="D11" i="4" s="1"/>
  <c r="B31" i="4"/>
  <c r="B13" i="4"/>
  <c r="C13" i="4" s="1"/>
  <c r="D9" i="10" s="1"/>
  <c r="C9" i="10" s="1"/>
  <c r="C34" i="10" s="1"/>
  <c r="B17" i="4"/>
  <c r="B32" i="4"/>
  <c r="B25" i="4"/>
  <c r="B23" i="4"/>
  <c r="B26" i="4"/>
  <c r="B28" i="4"/>
  <c r="B30" i="4"/>
  <c r="B29" i="4"/>
  <c r="B14" i="4"/>
  <c r="B33" i="4"/>
  <c r="B34" i="4"/>
  <c r="D34" i="4" s="1"/>
  <c r="B35" i="4"/>
  <c r="B36" i="4"/>
  <c r="D34" i="10"/>
  <c r="E34" i="10"/>
  <c r="F34" i="10"/>
  <c r="L2" i="4" l="1"/>
  <c r="B7" i="9" l="1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K24" i="9"/>
  <c r="E9" i="1" l="1"/>
  <c r="N1" i="4" l="1"/>
  <c r="O1" i="4" s="1"/>
  <c r="K1" i="4" s="1"/>
  <c r="D25" i="4" l="1"/>
  <c r="D35" i="4" l="1"/>
  <c r="E35" i="4" s="1"/>
  <c r="B38" i="9"/>
  <c r="E25" i="4"/>
  <c r="E38" i="9" l="1"/>
  <c r="D38" i="9"/>
  <c r="E2443" i="1"/>
  <c r="D32" i="4" l="1"/>
  <c r="E32" i="4" s="1"/>
  <c r="B16" i="9" l="1"/>
  <c r="B27" i="4"/>
  <c r="B14" i="9"/>
  <c r="E14" i="9" l="1"/>
  <c r="D14" i="9"/>
  <c r="E16" i="9"/>
  <c r="D16" i="9"/>
  <c r="D27" i="4"/>
  <c r="B41" i="9"/>
  <c r="D31" i="4"/>
  <c r="E31" i="4" s="1"/>
  <c r="E27" i="4"/>
  <c r="E41" i="9" l="1"/>
  <c r="D41" i="9"/>
  <c r="B2" i="4"/>
  <c r="D13" i="4"/>
  <c r="B3" i="4"/>
  <c r="B6" i="4" l="1"/>
  <c r="B17" i="9"/>
  <c r="D17" i="9" s="1"/>
  <c r="D21" i="4"/>
  <c r="B19" i="9"/>
  <c r="B36" i="9"/>
  <c r="D14" i="4"/>
  <c r="B34" i="9"/>
  <c r="B39" i="9"/>
  <c r="B13" i="9"/>
  <c r="B32" i="9" l="1"/>
  <c r="D32" i="9" s="1"/>
  <c r="B26" i="9"/>
  <c r="D26" i="9" s="1"/>
  <c r="B20" i="9"/>
  <c r="E20" i="9" s="1"/>
  <c r="B27" i="9"/>
  <c r="D27" i="9" s="1"/>
  <c r="B18" i="9"/>
  <c r="D18" i="9" s="1"/>
  <c r="B33" i="9"/>
  <c r="D33" i="9" s="1"/>
  <c r="E17" i="9"/>
  <c r="B22" i="9"/>
  <c r="E22" i="9" s="1"/>
  <c r="B23" i="9"/>
  <c r="E23" i="9" s="1"/>
  <c r="B24" i="9"/>
  <c r="E24" i="9" s="1"/>
  <c r="B35" i="9"/>
  <c r="D35" i="9" s="1"/>
  <c r="B21" i="9"/>
  <c r="D21" i="9" s="1"/>
  <c r="B25" i="9"/>
  <c r="E25" i="9" s="1"/>
  <c r="B29" i="9"/>
  <c r="E13" i="9"/>
  <c r="D13" i="9"/>
  <c r="E34" i="4"/>
  <c r="B37" i="9"/>
  <c r="D29" i="4"/>
  <c r="E29" i="4" s="1"/>
  <c r="B31" i="9"/>
  <c r="E19" i="9"/>
  <c r="D19" i="9"/>
  <c r="E39" i="9"/>
  <c r="D39" i="9"/>
  <c r="D12" i="4"/>
  <c r="E12" i="4" s="1"/>
  <c r="E5" i="4" s="1"/>
  <c r="B40" i="9"/>
  <c r="D36" i="9"/>
  <c r="E36" i="9"/>
  <c r="D23" i="4"/>
  <c r="E23" i="4" s="1"/>
  <c r="B30" i="9"/>
  <c r="E34" i="9"/>
  <c r="D34" i="9"/>
  <c r="B15" i="9"/>
  <c r="D24" i="4"/>
  <c r="E24" i="4" s="1"/>
  <c r="B28" i="9"/>
  <c r="E21" i="4"/>
  <c r="B39" i="4"/>
  <c r="E14" i="4"/>
  <c r="D19" i="4"/>
  <c r="E19" i="4" s="1"/>
  <c r="E13" i="4"/>
  <c r="D16" i="4"/>
  <c r="E16" i="4" s="1"/>
  <c r="D30" i="4"/>
  <c r="E30" i="4" s="1"/>
  <c r="D10" i="4"/>
  <c r="E10" i="4" s="1"/>
  <c r="D20" i="4"/>
  <c r="E20" i="4" s="1"/>
  <c r="D22" i="4"/>
  <c r="E22" i="4" s="1"/>
  <c r="D26" i="4"/>
  <c r="E26" i="4" s="1"/>
  <c r="D18" i="4"/>
  <c r="E18" i="4" s="1"/>
  <c r="D33" i="4"/>
  <c r="E33" i="4" s="1"/>
  <c r="D28" i="4"/>
  <c r="E28" i="4" s="1"/>
  <c r="D36" i="4"/>
  <c r="E36" i="4" s="1"/>
  <c r="D9" i="4"/>
  <c r="D17" i="4"/>
  <c r="E17" i="4" s="1"/>
  <c r="D15" i="4"/>
  <c r="E15" i="4" s="1"/>
  <c r="C39" i="4"/>
  <c r="G7" i="9" s="1"/>
  <c r="D37" i="4"/>
  <c r="E37" i="4" s="1"/>
  <c r="E9" i="4" l="1"/>
  <c r="E2" i="4" s="1"/>
  <c r="D39" i="4"/>
  <c r="C4" i="4"/>
  <c r="C3" i="4"/>
  <c r="E32" i="9"/>
  <c r="D20" i="9"/>
  <c r="E26" i="9"/>
  <c r="E18" i="9"/>
  <c r="E27" i="9"/>
  <c r="E35" i="9"/>
  <c r="D23" i="9"/>
  <c r="D22" i="9"/>
  <c r="E33" i="9"/>
  <c r="D25" i="9"/>
  <c r="G6" i="9"/>
  <c r="K2" i="4"/>
  <c r="G5" i="9" s="1"/>
  <c r="G10" i="9" s="1"/>
  <c r="E21" i="9"/>
  <c r="D24" i="9"/>
  <c r="E29" i="9"/>
  <c r="D29" i="9"/>
  <c r="G9" i="9"/>
  <c r="E40" i="9"/>
  <c r="D40" i="9"/>
  <c r="E31" i="9"/>
  <c r="D31" i="9"/>
  <c r="D37" i="9"/>
  <c r="E37" i="9"/>
  <c r="E28" i="9"/>
  <c r="D28" i="9"/>
  <c r="E30" i="9"/>
  <c r="D30" i="9"/>
  <c r="D15" i="9"/>
  <c r="E15" i="9"/>
  <c r="E11" i="4"/>
  <c r="E3" i="4" s="1"/>
  <c r="E4" i="4"/>
  <c r="C2" i="4"/>
  <c r="E6" i="4" l="1"/>
  <c r="G5" i="4" s="1"/>
  <c r="C6" i="4"/>
  <c r="G8" i="9"/>
  <c r="G12" i="9"/>
  <c r="G11" i="9"/>
  <c r="E39" i="4"/>
  <c r="L4" i="4" s="1"/>
  <c r="E2426" i="1"/>
  <c r="G3" i="4" l="1"/>
  <c r="G4" i="4"/>
  <c r="I5" i="4"/>
  <c r="L5" i="4" s="1"/>
  <c r="K5" i="4"/>
  <c r="F10" i="4"/>
  <c r="F20" i="4"/>
  <c r="F27" i="4"/>
  <c r="F15" i="4"/>
  <c r="F30" i="4"/>
  <c r="F32" i="4"/>
  <c r="F26" i="4"/>
  <c r="F34" i="4"/>
  <c r="F28" i="4"/>
  <c r="F12" i="4"/>
  <c r="F17" i="4"/>
  <c r="F29" i="4"/>
  <c r="F13" i="4"/>
  <c r="F23" i="4"/>
  <c r="F14" i="4"/>
  <c r="F9" i="4"/>
  <c r="F11" i="4"/>
  <c r="F24" i="4"/>
  <c r="F33" i="4"/>
  <c r="F18" i="4"/>
  <c r="F35" i="4"/>
  <c r="F36" i="4"/>
  <c r="F16" i="4"/>
  <c r="F19" i="4"/>
  <c r="F21" i="4"/>
  <c r="F25" i="4"/>
  <c r="F37" i="4"/>
  <c r="F22" i="4"/>
  <c r="F31" i="4"/>
  <c r="G2" i="4"/>
  <c r="F9" i="1"/>
  <c r="G6" i="4" l="1"/>
</calcChain>
</file>

<file path=xl/sharedStrings.xml><?xml version="1.0" encoding="utf-8"?>
<sst xmlns="http://schemas.openxmlformats.org/spreadsheetml/2006/main" count="14276" uniqueCount="1018">
  <si>
    <t>Saba Guardia Vieja Santiago Chl</t>
  </si>
  <si>
    <t>Aparicio &amp; Sarmiento Nunoa Chl</t>
  </si>
  <si>
    <t>Familyshop Santiago Chl</t>
  </si>
  <si>
    <t>Sioux Mall Panoramic Santiago Chl</t>
  </si>
  <si>
    <t>Bella Estetica Y Sal Santiago Chl</t>
  </si>
  <si>
    <t>Barros Borgono Santiago Chl</t>
  </si>
  <si>
    <t>Hip Lider Santa Amalia Santiago Chl</t>
  </si>
  <si>
    <t>Farm Belen La Florida Santiago Chl</t>
  </si>
  <si>
    <t>60011 Macul Jose Pa Santiago Chl</t>
  </si>
  <si>
    <t>Copec App Santiago Chl</t>
  </si>
  <si>
    <t>Merpago*autoservicio T Huechuraba Chl</t>
  </si>
  <si>
    <t>Sermob Limitada - Remuneraciones</t>
  </si>
  <si>
    <t>Unimarc Rojas Magallan Santiago Chl</t>
  </si>
  <si>
    <t>Ahum L541 R.magallan 3 Santiago Chl</t>
  </si>
  <si>
    <t>Merpago*eltomecino La Florida Chl</t>
  </si>
  <si>
    <t>Transferencia En Linea A Otro Banco Constanza Alvarez</t>
  </si>
  <si>
    <t>Sajaki Sushi Santiago Chl</t>
  </si>
  <si>
    <t>The Lab Fitness Center Santiago Chl</t>
  </si>
  <si>
    <t>Gas Vidal Puente Alto Santiago Chl</t>
  </si>
  <si>
    <t>Casino Casa Matriz Santiago Chl</t>
  </si>
  <si>
    <t>Mc Donalds Santiago Chl</t>
  </si>
  <si>
    <t>Google *Spotify 650-253-0000 Usa</t>
  </si>
  <si>
    <t>Transferencia En Linea A Otro Banco Fernando Arriagada</t>
  </si>
  <si>
    <t>Tottus Quilin Santiago Chl</t>
  </si>
  <si>
    <t>Unimarc Consistorial Santiago Chl</t>
  </si>
  <si>
    <t>Shell Tobalaba 10831 F Santiago Chl</t>
  </si>
  <si>
    <t>Pedidosya Cl Restauran Cl Chl</t>
  </si>
  <si>
    <t>Micopiloto F102 Santiago Chl</t>
  </si>
  <si>
    <t>Hip Lider Plaza Vespuc Santiago Chl</t>
  </si>
  <si>
    <t>Cafeteria Lo Canas Santiago Chl</t>
  </si>
  <si>
    <t>Marcos Andres Espinoza Santiago Chl</t>
  </si>
  <si>
    <t>Transferencia En Linea A Otro Banco Marisol Arriagada</t>
  </si>
  <si>
    <t>Hip Lider Quilin Santiago Chl</t>
  </si>
  <si>
    <t>Redgloba*juegos Gori _x001C__x001C_U_x001C__x001C_oa Chl</t>
  </si>
  <si>
    <t>Tuu*boulevardplazanuno Nunoa Chl</t>
  </si>
  <si>
    <t>Plaza Nunoa Santiago Chl</t>
  </si>
  <si>
    <t>Fuente Suiza Santiago Chl</t>
  </si>
  <si>
    <t>Merpago*h. Ice Cream I Las Condes Chl</t>
  </si>
  <si>
    <t>Dhouse Vivi La Florida Santiago Chl</t>
  </si>
  <si>
    <t>Sioux Santiago Chl</t>
  </si>
  <si>
    <t>W.martinez 1940 La Florida</t>
  </si>
  <si>
    <t>60285 La Flori Wal M Santiago Chl</t>
  </si>
  <si>
    <t>Transferencia En Linea A Otro Banco Georgina Fuentes</t>
  </si>
  <si>
    <t>Jumbo Nunoa Santiago Chl</t>
  </si>
  <si>
    <t>Merpago*pjd Cuatro S P Providencia Chl</t>
  </si>
  <si>
    <t>Sociedad Adminis - Proveedores</t>
  </si>
  <si>
    <t>Heladomania Santiago Chl</t>
  </si>
  <si>
    <t>Google Play Youtube Go Las Condes Chl</t>
  </si>
  <si>
    <t>Transferencia En Linea A Otro Banco Soluciones Nutriciones Y Fisicas Spa</t>
  </si>
  <si>
    <t>Express Rojas Magalla Santiago Chl</t>
  </si>
  <si>
    <t>Shell Pan. Sur 4251 F2 Santiago Chl</t>
  </si>
  <si>
    <t>Shel Walker Martinez F Santiago Chl</t>
  </si>
  <si>
    <t>Merpago*papa Johns Pj Las Condes Chl</t>
  </si>
  <si>
    <t>Claudio Daniel Concha Santiago Chl</t>
  </si>
  <si>
    <t>Mercadopago *Botiller Las Condes Chl</t>
  </si>
  <si>
    <t>Anasttasiadisfraces La Florida Chl</t>
  </si>
  <si>
    <t>Dulce Aroma Santiago Chl</t>
  </si>
  <si>
    <t>Estacionamiento Patron Santiago Chl</t>
  </si>
  <si>
    <t>Patronato 270 Recoleta</t>
  </si>
  <si>
    <t>Abono Transferencia Desde Otros Bancos</t>
  </si>
  <si>
    <t>Mc Donalds Puerto Montt Chl</t>
  </si>
  <si>
    <t>Merpago*efood E-food S Santiago Chl</t>
  </si>
  <si>
    <t>Mercadopago *Ccuvendi Las Condes Chl</t>
  </si>
  <si>
    <t>Plaza Vespucio Santiago Chl</t>
  </si>
  <si>
    <t>Banco Del Estado La Florida Chl</t>
  </si>
  <si>
    <t>Mercadopago *Eltomeci Las Condes Chl</t>
  </si>
  <si>
    <t>Mercadopago *Nuevogen Las Condes Chl</t>
  </si>
  <si>
    <t>Winkler Santiago Chl</t>
  </si>
  <si>
    <t>Nikofilms Santiago Chl</t>
  </si>
  <si>
    <t>Transferencia En Linea A Otro Banco Unired S.a.</t>
  </si>
  <si>
    <t>Ferreterias Cabalza Santiago Chl</t>
  </si>
  <si>
    <t>Transferencia En Linea A Otro Banco Denise Lalanne Foto Patrona</t>
  </si>
  <si>
    <t>Transferencia En Linea A Otro Banco Joanna Barrientos Balonmano Premini</t>
  </si>
  <si>
    <t>Transferencia En Linea A Otro Banco Patricia Macaya 4°b Tempo</t>
  </si>
  <si>
    <t>Transferencia En Linea A Otro Banco Fabiola Frias Flores</t>
  </si>
  <si>
    <t>Merpago*dunkin Fagase Lampa Chl</t>
  </si>
  <si>
    <t>Ahum L396 Amalia 1763 Santiago Chl</t>
  </si>
  <si>
    <t>Av.walker Mar.178 La Florida</t>
  </si>
  <si>
    <t>Sumup * Brotherwood La Santiago Chl</t>
  </si>
  <si>
    <t>Mercadopago *Reiteval Las Condes Chl</t>
  </si>
  <si>
    <t>Ahum L550 W.martinez 3 Santiago Chl</t>
  </si>
  <si>
    <t>Servicios Y Comercial La Florida Chl</t>
  </si>
  <si>
    <t>Transferencia En Linea A Otro Banco Flow Cl B</t>
  </si>
  <si>
    <t>Google *Roblox G.co/helppay# Usa</t>
  </si>
  <si>
    <t>Nico Gas La Florida Santiago Chl</t>
  </si>
  <si>
    <t>Flores Vivo La Florida Santiago Chl</t>
  </si>
  <si>
    <t>Banco Del Estado Santiago Chl</t>
  </si>
  <si>
    <t>Freddo Providencia Santiago Chl</t>
  </si>
  <si>
    <t>Kfc O7 P Arauco Santiago Chl</t>
  </si>
  <si>
    <t>Tienda Outlet La Flori Santiago Chl</t>
  </si>
  <si>
    <t>Sei Tobalaba Santiago Chl</t>
  </si>
  <si>
    <t>Tuu*holyfritas Santiago Chl</t>
  </si>
  <si>
    <t>Pica Que Pica Santiago Chl</t>
  </si>
  <si>
    <t>A. Rojas M. 3638 La Florida</t>
  </si>
  <si>
    <t>Farmacias Tobalaba Santiago Chl</t>
  </si>
  <si>
    <t>Redgloba*great Market Laflorida Chl</t>
  </si>
  <si>
    <t>Cps Copec Pve Santiago Chl</t>
  </si>
  <si>
    <t>Ripley Plaza Vespucio Santiago Chl</t>
  </si>
  <si>
    <t>Salcobrand 405 Santiago Chl</t>
  </si>
  <si>
    <t>Pasteleria Strindberg La Florida Chl</t>
  </si>
  <si>
    <t>Merpago*jalapenos Unid Providencia Chl</t>
  </si>
  <si>
    <t>Merpago*food Italia H Providencia Chl</t>
  </si>
  <si>
    <t>Starbucks R. Magallane Santiago Chl</t>
  </si>
  <si>
    <t>Puma Outlet Patio Flor Santiago Chl</t>
  </si>
  <si>
    <t>Haulmer*botilleria Ech Santiago Chl</t>
  </si>
  <si>
    <t>Shell.tobalaba14007.t6 Santiago Chl</t>
  </si>
  <si>
    <t>Transferencia En Linea A Otro Banco Inversiones La Florida S.a</t>
  </si>
  <si>
    <t>Valle Sur Santiago Chl</t>
  </si>
  <si>
    <t>Urbanparq Santiago Chl</t>
  </si>
  <si>
    <t>Paseo Ahumada Santiago Chl</t>
  </si>
  <si>
    <t>Cardinale Santiago Santiago Chl</t>
  </si>
  <si>
    <t>Merpago*deibison Titan Santiago Chl</t>
  </si>
  <si>
    <t>Plaza Las Condes Santiago Chl</t>
  </si>
  <si>
    <t>Maxik Las Condes Chl</t>
  </si>
  <si>
    <t>Ave Apoquindo 302 Las Condes</t>
  </si>
  <si>
    <t>Hip Lider Departamenta Santiago Chl</t>
  </si>
  <si>
    <t>Abono Comp Nac Google Play Youtube</t>
  </si>
  <si>
    <t>Comp Nac Payu *Uber Trip Santiago Chl</t>
  </si>
  <si>
    <t>Estac Megacenter 12 Santiago Chl</t>
  </si>
  <si>
    <t>Ikea Open Kennedy Santiago Chl</t>
  </si>
  <si>
    <t>Haulmer*parking Sagan Santiago Chl</t>
  </si>
  <si>
    <t>Tuu*apicami San Jose De M Chl</t>
  </si>
  <si>
    <t>Restorant Vizcamaipo S Jose De Mai Chl</t>
  </si>
  <si>
    <t>La Casa De Chocolate S Jose De Mai Chl</t>
  </si>
  <si>
    <t>22984-bk Penalolen Santiago Chl</t>
  </si>
  <si>
    <t>Chocolates Del Mundo S Santiago Chl</t>
  </si>
  <si>
    <t>Tb Factory Spa Penalolen Chl</t>
  </si>
  <si>
    <t>Paris Quilin Santiago Chl</t>
  </si>
  <si>
    <t>Don Benito La Florida Chl</t>
  </si>
  <si>
    <t>Redgloba*el Sabroson Laflorida Chl</t>
  </si>
  <si>
    <t>Mall Vivo La Florida Santiago Chl</t>
  </si>
  <si>
    <t>Smu Sa - Sueldos</t>
  </si>
  <si>
    <t>Tottus Walker Martinez Santiago Chl</t>
  </si>
  <si>
    <t>Mercadopago *Globalsh Las Condes Chl</t>
  </si>
  <si>
    <t>Transferencia En Linea A Otro Banco Katherine Valdes</t>
  </si>
  <si>
    <t>Inversiones Dinamarca Santiago Chl</t>
  </si>
  <si>
    <t>Transferencia En Linea A Otro Banco Marcelo Zapata Miranda</t>
  </si>
  <si>
    <t>Transferencia En Linea De Katherine Valdes Seguel</t>
  </si>
  <si>
    <t>A.apoquindo 5710 Las Condes</t>
  </si>
  <si>
    <t>Marina Hoteles Ltda- S Santiago Chl</t>
  </si>
  <si>
    <t>Mall Paseo Quilin Santiago Chl</t>
  </si>
  <si>
    <t>Paseo Quilin Santiago Chl</t>
  </si>
  <si>
    <t>Mall Quilin Santiago Chl</t>
  </si>
  <si>
    <t>Mayorista 10 Sn L Macu Santiago Chl</t>
  </si>
  <si>
    <t>Shell Ep324 Alessdri26 Santiago Chl</t>
  </si>
  <si>
    <t>Shell Ep580 Irarra4123 Santiago Chl</t>
  </si>
  <si>
    <t>Pedro De Valdivia 3 Santiago Chl</t>
  </si>
  <si>
    <t>Consistorial 2701 Penalolen</t>
  </si>
  <si>
    <t>Uno Salud Santiago Chl</t>
  </si>
  <si>
    <t>Transferencia En Linea A Otro Banco Fernando Arriagada Tapp</t>
  </si>
  <si>
    <t>Pass Line Ltda Santiago Chl</t>
  </si>
  <si>
    <t>Payu *Uber Trip Santiago Chl</t>
  </si>
  <si>
    <t>Cugat Santa Maria Rancagua Chl</t>
  </si>
  <si>
    <t>Cafeteria Shell Cachapoal Chl</t>
  </si>
  <si>
    <t>Unimarc.cl Mirador Oc Santiago Chl</t>
  </si>
  <si>
    <t>Tienda Shell La Flor F Santiago Chl</t>
  </si>
  <si>
    <t>Parking Mall Florida C Santiago Chl</t>
  </si>
  <si>
    <t>Smu Sa - Remuneraciones</t>
  </si>
  <si>
    <t>Transferencia En Linea A Otro Banco Patricia Macaya</t>
  </si>
  <si>
    <t>Minimarket Las Encinas Santiago Chl</t>
  </si>
  <si>
    <t>Merpago*martinez Marti Las Condes Chl</t>
  </si>
  <si>
    <t>Servicios Y Comercial Las Condes Chl</t>
  </si>
  <si>
    <t>Merpago*central De Res Huechuraba Chl</t>
  </si>
  <si>
    <t>Administradora De Fran Santiago Chl</t>
  </si>
  <si>
    <t>Transferencia En Linea A Otro Banco Victor Valdes</t>
  </si>
  <si>
    <t>Atm7282;m=1;e=1; La Florida Chl</t>
  </si>
  <si>
    <t>Isapre Banmedica - Salud (Pago Isapre)</t>
  </si>
  <si>
    <t>Spid Cerro El Plomo Santiago Chl</t>
  </si>
  <si>
    <t>Rosario Norte 530 Las Condes</t>
  </si>
  <si>
    <t>Abono Promocion Comercios Asociados</t>
  </si>
  <si>
    <t>Mc Donalds Renaca Renaca Chl</t>
  </si>
  <si>
    <t>Casa Ideas Mall Paseo Santiago Chl</t>
  </si>
  <si>
    <t>Mayorista 10 Parque La Santiago Chl</t>
  </si>
  <si>
    <t>Mercadopago *Papajohn Las Condes Chl</t>
  </si>
  <si>
    <t>Unimarc Macul Santiago Chl</t>
  </si>
  <si>
    <t>Avenida Macul 357 Macul</t>
  </si>
  <si>
    <t>Mc Donalds S.fco.mostaza Chl</t>
  </si>
  <si>
    <t>Esch9037 Rojas Magalla Santiago Chl</t>
  </si>
  <si>
    <t>Mercadopago *Mercadol Las Condes Chl</t>
  </si>
  <si>
    <t>Smu Sa - Anticipos</t>
  </si>
  <si>
    <t>Cinepolis La Reina Santiago Chl</t>
  </si>
  <si>
    <t>Tienda Mall Plaza Egan Santiago Chl</t>
  </si>
  <si>
    <t>Mall Plaza Egana Santiago Chl</t>
  </si>
  <si>
    <t>Cinepolis Web Chile Chl</t>
  </si>
  <si>
    <t>Redgloba*suenos Market Providencia Chl</t>
  </si>
  <si>
    <t>Puma Plaza Vespucio Santiago Chl</t>
  </si>
  <si>
    <t>Juan Valdes Pza Vespuc Santiago Chl</t>
  </si>
  <si>
    <t>Jairo Alexis Guerra Al Santiago Chl</t>
  </si>
  <si>
    <t>9037 La Florida Santiago Chl</t>
  </si>
  <si>
    <t>Unired S.a. - Proveedores</t>
  </si>
  <si>
    <t>Merpago*claudio Omar S La Florida Chl</t>
  </si>
  <si>
    <t>Transferencia En Linea A Otro Banco Alvaro Perez</t>
  </si>
  <si>
    <t>Transferencia En Linea A Otro Banco Cristian Ramirez</t>
  </si>
  <si>
    <t>Transferencia En Linea A Otro Banco Corporacion Educacional Patrona De Lourdes</t>
  </si>
  <si>
    <t>Transferencia En Linea A Otro Banco Halomed Chile Spa</t>
  </si>
  <si>
    <t>Pedidosya Cl Mercados Cl Chl</t>
  </si>
  <si>
    <t>Pedidosya Cl Propinas Cl Chl</t>
  </si>
  <si>
    <t>Alvi Rancagua Chl</t>
  </si>
  <si>
    <t>Petrobras Los Presiden Santiago Chl</t>
  </si>
  <si>
    <t>Sb 749 Santiago Chl</t>
  </si>
  <si>
    <t>Transferencia En Linea A Otro Banco Barbara Aguilar</t>
  </si>
  <si>
    <t>Steffens Y Compania Li Santiago Chl</t>
  </si>
  <si>
    <t>Walker Market Santiago Chl</t>
  </si>
  <si>
    <t>Libreria Al-parr Santiago Chl</t>
  </si>
  <si>
    <t>Bello Oriente Santiago Chl</t>
  </si>
  <si>
    <t>Mallplaza Vespucio Santiago Chl</t>
  </si>
  <si>
    <t>La Temucana Santiago Chl</t>
  </si>
  <si>
    <t>Vespucio Santiago Chl</t>
  </si>
  <si>
    <t>Bellavista Providencia Santiago Chl</t>
  </si>
  <si>
    <t>Transferencia En Linea A Otro Banco Luis Ramos</t>
  </si>
  <si>
    <t>Mercadopago *Comercia Las Condes Chl</t>
  </si>
  <si>
    <t>Shell F703 Punta Arena Punta Arenas Chl</t>
  </si>
  <si>
    <t>Work Cafe Punta Arenas Magallanes Chl</t>
  </si>
  <si>
    <t>Casa Dona Maria Punta Arenas Chl</t>
  </si>
  <si>
    <t>Haulmer*ssg Santiago Chl</t>
  </si>
  <si>
    <t>Mercadopago *Kioskoro Las Condes Chl</t>
  </si>
  <si>
    <t>Spid Aeropuerto Santiago Chl</t>
  </si>
  <si>
    <t>Pronto Copec Sf Mostaz S.fco.mostaza Chl</t>
  </si>
  <si>
    <t>Mercadopago *Matos Las Condes Chl</t>
  </si>
  <si>
    <t>Transferencia En Linea A Otro Banco Alan Carvajal</t>
  </si>
  <si>
    <t>Transferencia En Linea A Otro Banco Yldebrando Uzcategui</t>
  </si>
  <si>
    <t>Tuu*thewalkerbarbersho Santiago Chl</t>
  </si>
  <si>
    <t>Transferencia En Linea A Otro Banco Carlos Mora</t>
  </si>
  <si>
    <t>Pescaderia El Tiburon Santiago Chl</t>
  </si>
  <si>
    <t>Hc Quilin Santiago Chl</t>
  </si>
  <si>
    <t>Sodimac Pe Al/nva.la F Santiago Chl</t>
  </si>
  <si>
    <t>Merpago*olivia Paola O Macul Chl</t>
  </si>
  <si>
    <t>Remates Todo Hogar Jav Maipo Chl</t>
  </si>
  <si>
    <t>Tricot La Florida Santiago Chl</t>
  </si>
  <si>
    <t>Dimeiggs Santiago Chl</t>
  </si>
  <si>
    <t>Transferencia En Linea A Otro Banco Ericka Macarena Diaz</t>
  </si>
  <si>
    <t>Merpago*daniela Martin La Florida Chl</t>
  </si>
  <si>
    <t>Mercadopago *Goodmeal Las Condes Chl</t>
  </si>
  <si>
    <t>Jumbo Florida Center Santiago Chl</t>
  </si>
  <si>
    <t>A. La Florida 898 La Florida</t>
  </si>
  <si>
    <t>Sioux La Florida Santiago Chl</t>
  </si>
  <si>
    <t>La Florida Santiago Chl</t>
  </si>
  <si>
    <t>Kentucky Fried Chicken Santiago Chl</t>
  </si>
  <si>
    <t>MAYO 2025</t>
  </si>
  <si>
    <t>Abono</t>
  </si>
  <si>
    <t>Cargo</t>
  </si>
  <si>
    <t>Estacionamiento</t>
  </si>
  <si>
    <t>Alimentación</t>
  </si>
  <si>
    <t>Ropa</t>
  </si>
  <si>
    <t>Farmacia, Salud y Belleza</t>
  </si>
  <si>
    <t>Supermercado</t>
  </si>
  <si>
    <t>Remuneración</t>
  </si>
  <si>
    <t>Gastos varios</t>
  </si>
  <si>
    <t>Restaurant</t>
  </si>
  <si>
    <t xml:space="preserve">Gas </t>
  </si>
  <si>
    <t>Entretanimiento</t>
  </si>
  <si>
    <t>Colegio</t>
  </si>
  <si>
    <t>Arriendo</t>
  </si>
  <si>
    <t>Otros Abono</t>
  </si>
  <si>
    <t>Estudios Katy</t>
  </si>
  <si>
    <t>Bencina</t>
  </si>
  <si>
    <t>MES</t>
  </si>
  <si>
    <t>FECHA</t>
  </si>
  <si>
    <t>DESCRIPCIÓN</t>
  </si>
  <si>
    <t>MONTO ($)</t>
  </si>
  <si>
    <t>SALDO ($)</t>
  </si>
  <si>
    <t>ABONO/CARGO</t>
  </si>
  <si>
    <t>CATEGORIA</t>
  </si>
  <si>
    <t>Giro Cajero</t>
  </si>
  <si>
    <t>Hogar</t>
  </si>
  <si>
    <t>Suma de MONTO ($)</t>
  </si>
  <si>
    <t>Etiquetas de fila</t>
  </si>
  <si>
    <t>Total general</t>
  </si>
  <si>
    <t>Entretenimiento</t>
  </si>
  <si>
    <t>Regalos</t>
  </si>
  <si>
    <t>Bencina y Otros Auto</t>
  </si>
  <si>
    <t>Luz, agua, Internet</t>
  </si>
  <si>
    <t>Gas</t>
  </si>
  <si>
    <t>Transf. Katy</t>
  </si>
  <si>
    <t>Prestamos</t>
  </si>
  <si>
    <t>Transferencia En Linea A Otro Banco Unired S.a. (AguasAndina)</t>
  </si>
  <si>
    <t>Transferencia En Linea A Otro Banco Unired S.a. (Entel)</t>
  </si>
  <si>
    <t>Transferencia En Linea A Otro Banco Unired S.a. (Enel)</t>
  </si>
  <si>
    <t>Entel Oneclick Esa Pag Santiago Chl (Entel)</t>
  </si>
  <si>
    <t>Unired Cl Tarjeta Unim Santiago Chl (Unipay)</t>
  </si>
  <si>
    <t>Transferencia En Linea A Otro Banco Unired S.a. (Unipay)</t>
  </si>
  <si>
    <t>Transferencia En Linea A Otro Banco Unired S.a. (TAG)</t>
  </si>
  <si>
    <t>TAG</t>
  </si>
  <si>
    <t>Transferencia En Linea A Otro Banco Fernando Arriagada (Jardin)</t>
  </si>
  <si>
    <t>Gastos Comun</t>
  </si>
  <si>
    <t>Transferencia En Linea A Otro Banco Fernando Arriagada (Colegio)</t>
  </si>
  <si>
    <t>Pedidosya Cl</t>
  </si>
  <si>
    <t>Hip Lider Depar</t>
  </si>
  <si>
    <t>Seg Desgravamen Tr</t>
  </si>
  <si>
    <t>Ripley Car S.a Plaza Vespucio</t>
  </si>
  <si>
    <t>Pica Que Pica</t>
  </si>
  <si>
    <t>Payscan*don Vecy Spa</t>
  </si>
  <si>
    <t>La Tranquera Provide</t>
  </si>
  <si>
    <t>Galpon Italia</t>
  </si>
  <si>
    <t>Wpay Plus Cred Ticke</t>
  </si>
  <si>
    <t>Pedidosya Cl Mercado</t>
  </si>
  <si>
    <t>Dulce Aroma</t>
  </si>
  <si>
    <t>Copec App</t>
  </si>
  <si>
    <t>Sumup * Grupo Seven</t>
  </si>
  <si>
    <t>Santa Isabel Consist</t>
  </si>
  <si>
    <t>Micopiloto F102</t>
  </si>
  <si>
    <t>Farmacias Tobalaba</t>
  </si>
  <si>
    <t>Express Colina</t>
  </si>
  <si>
    <t>Ahum L550 W.martinez</t>
  </si>
  <si>
    <t>Hip Lider Alameda</t>
  </si>
  <si>
    <t>Farm Belen La Florid</t>
  </si>
  <si>
    <t>Don Humberto La Flor</t>
  </si>
  <si>
    <t>Tottus Walker Martin</t>
  </si>
  <si>
    <t>Servicios Y Comercia</t>
  </si>
  <si>
    <t>Nikofilms</t>
  </si>
  <si>
    <t>Neat Gasto Comun</t>
  </si>
  <si>
    <t>Shein.com</t>
  </si>
  <si>
    <t>Shein Cl Shein.com</t>
  </si>
  <si>
    <t>Jis Parking Quilin</t>
  </si>
  <si>
    <t>Winkler</t>
  </si>
  <si>
    <t>Parking Portal Nunoa</t>
  </si>
  <si>
    <t>Jumbo Nunoa</t>
  </si>
  <si>
    <t>4014-bbx La Florida</t>
  </si>
  <si>
    <t>Redgloba*great Marke</t>
  </si>
  <si>
    <t>Nico Gas La Florida</t>
  </si>
  <si>
    <t>Mercadopago *Frescur</t>
  </si>
  <si>
    <t>Hip Lider Departamen</t>
  </si>
  <si>
    <t>Family Shop</t>
  </si>
  <si>
    <t>Marina Hoteles Ltda-</t>
  </si>
  <si>
    <t>Parking Mall Florida</t>
  </si>
  <si>
    <t>Spid Cerro El Plomo</t>
  </si>
  <si>
    <t>Merpago*martinez Mar</t>
  </si>
  <si>
    <t>Merpago*central De R</t>
  </si>
  <si>
    <t>Maxik</t>
  </si>
  <si>
    <t>Haulmer*botilleria E</t>
  </si>
  <si>
    <t>Rosario Norte 2</t>
  </si>
  <si>
    <t>Merpago*dunkin Fagas</t>
  </si>
  <si>
    <t>Merpago*claudio Omar</t>
  </si>
  <si>
    <t>Jumbo Penalolen</t>
  </si>
  <si>
    <t>Unimarc Linderos</t>
  </si>
  <si>
    <t>Shell Pan. Sur 4251</t>
  </si>
  <si>
    <t>Casa Unico Limitada</t>
  </si>
  <si>
    <t>Unimarc Consistorial</t>
  </si>
  <si>
    <t>Pedro De Valdivia 3</t>
  </si>
  <si>
    <t>Pedidosya Cl Restaur</t>
  </si>
  <si>
    <t>Sajaki Sushi</t>
  </si>
  <si>
    <t>Olaf Edmundo Biaggin</t>
  </si>
  <si>
    <t>Marcos Andres Espino</t>
  </si>
  <si>
    <t>Magentas Bakery</t>
  </si>
  <si>
    <t>Estac. Cps - Mall Pl</t>
  </si>
  <si>
    <t>Emporio 2011</t>
  </si>
  <si>
    <t>Decathlon Plaza Vesp</t>
  </si>
  <si>
    <t>Dbs</t>
  </si>
  <si>
    <t>Tienda Shell La Flor</t>
  </si>
  <si>
    <t>Shel Walker Martinez</t>
  </si>
  <si>
    <t>Mc Donalds</t>
  </si>
  <si>
    <t>Cugat Santa Maria</t>
  </si>
  <si>
    <t>Unimarc.cl Mirador O</t>
  </si>
  <si>
    <t>Walker Martinez</t>
  </si>
  <si>
    <t>Hc Quilin</t>
  </si>
  <si>
    <t>Decocasa</t>
  </si>
  <si>
    <t>Webpay Municipal</t>
  </si>
  <si>
    <t>Sodimac Pe Al/nva.la</t>
  </si>
  <si>
    <t>Ripley Car S.a Internet-fono</t>
  </si>
  <si>
    <t>Compara Online 1 Soa</t>
  </si>
  <si>
    <t>Sumup * Nicolas Acha</t>
  </si>
  <si>
    <t>Shell Colon 4359 F15</t>
  </si>
  <si>
    <t>Saba Arauco Kennedy</t>
  </si>
  <si>
    <t>Ripley Car S.a Parque Arauco</t>
  </si>
  <si>
    <t>Ikea Open Kennedy</t>
  </si>
  <si>
    <t>Carls Jr</t>
  </si>
  <si>
    <t>Merpago*mit 4 Spa Mi</t>
  </si>
  <si>
    <t>Merpago*chicken Love</t>
  </si>
  <si>
    <t>Inversiones Dinamarc</t>
  </si>
  <si>
    <t>Falabella Expo Greci</t>
  </si>
  <si>
    <t>Adm. Tarjeta</t>
  </si>
  <si>
    <t>Saldo Tarjeta Debito BR</t>
  </si>
  <si>
    <t>Saldo Tarjeta Credito BR</t>
  </si>
  <si>
    <t>Tarj. Credito</t>
  </si>
  <si>
    <t>Debito</t>
  </si>
  <si>
    <t>Bono</t>
  </si>
  <si>
    <t>TOTAL</t>
  </si>
  <si>
    <t>Millefleur Bakery Santiago Chl</t>
  </si>
  <si>
    <t>Soluciones Nutricional Maipo Chl</t>
  </si>
  <si>
    <t>Glorissima Santiago Chl</t>
  </si>
  <si>
    <t>Shell.tobalaba11835.t1 Santiago Chl</t>
  </si>
  <si>
    <t>Weide Santiago Chl</t>
  </si>
  <si>
    <t>Hip Lider Nos</t>
  </si>
  <si>
    <t>Parking Costane</t>
  </si>
  <si>
    <t>Mercadopago *El</t>
  </si>
  <si>
    <t>Neat Cuentas Basicas</t>
  </si>
  <si>
    <t>Mercadopago *Fitfood</t>
  </si>
  <si>
    <t>Valle Sur</t>
  </si>
  <si>
    <t>Merpago*autoservicio</t>
  </si>
  <si>
    <t>Hip Lider San Pablo</t>
  </si>
  <si>
    <t>Neat Arriendo</t>
  </si>
  <si>
    <t>Casino Casa Matriz</t>
  </si>
  <si>
    <t>Pedidosya Cl Plus</t>
  </si>
  <si>
    <t>Payscan*snack Center</t>
  </si>
  <si>
    <t>Donde Manico</t>
  </si>
  <si>
    <t>Cinepolis Web</t>
  </si>
  <si>
    <t>Cine Hoyts Vivo Outl</t>
  </si>
  <si>
    <t>AFC</t>
  </si>
  <si>
    <t>Finiquito</t>
  </si>
  <si>
    <t>Comisión por Plan Cta. Corriente</t>
  </si>
  <si>
    <t>Cheque Cobrado Por Otro Banco serie 181680</t>
  </si>
  <si>
    <t>Compra con Tarjeta de Débito en EFOOD</t>
  </si>
  <si>
    <t>Transferencia enviada a jaime cardenas</t>
  </si>
  <si>
    <t>Compra con Tarjeta de Débito en PEDIDOSYA CL PLUS5566556655 CHL</t>
  </si>
  <si>
    <t>Compra con Tarjeta de Débito</t>
  </si>
  <si>
    <t>Compra con Tarjeta de Débito en WALKER MARTINEZ</t>
  </si>
  <si>
    <t>Compra con App Bci ENTEL S.A.</t>
  </si>
  <si>
    <t>Compra con Tarjeta de Débito en PARKING</t>
  </si>
  <si>
    <t>Compra con Tarjeta de Débito en COPPELIA</t>
  </si>
  <si>
    <t>Compra con Tarjeta de Débito en CASA IDEAS</t>
  </si>
  <si>
    <t>Compra con Tarjeta de Débito en PJ WALKER</t>
  </si>
  <si>
    <t>Compra con Tarjeta de Débito en LIDER</t>
  </si>
  <si>
    <t>Compra con Tarjeta de Débito en FACTORIA</t>
  </si>
  <si>
    <t>Compra con Tarjeta de Débito en DUNKIN FA</t>
  </si>
  <si>
    <t>Compra con Tarjeta de Débito en WAL</t>
  </si>
  <si>
    <t>Compra con Tarjeta de Débito en STARBUCKS COFFEE</t>
  </si>
  <si>
    <t>Compra con Tarjeta de Débito en WINKLER</t>
  </si>
  <si>
    <t>Transferencia enviada a Alejandra Gallardo Catala</t>
  </si>
  <si>
    <t>Compra con Tarjeta de Débito en FAMILY SHOP</t>
  </si>
  <si>
    <t>Compra con Tarjeta de Débito en BESTSELLER WHOLESALE CHILE</t>
  </si>
  <si>
    <t>Compra con Tarjeta de Débito en UNIMARC</t>
  </si>
  <si>
    <t>Compra con Tarjeta de Débito en VIVO FL</t>
  </si>
  <si>
    <t>Pago en línea PUNTO PAGOS S.A.</t>
  </si>
  <si>
    <t>Depósito cheque/documento otros bancos</t>
  </si>
  <si>
    <t>GASTOS DE COBRANZA</t>
  </si>
  <si>
    <t>INTERESES MORA</t>
  </si>
  <si>
    <t>SERVICIO ADMINISTRACION</t>
  </si>
  <si>
    <t>COMPRA Parking Mallplaza</t>
  </si>
  <si>
    <t>COMPRA DULCE AROMA</t>
  </si>
  <si>
    <t>COMPRA GOOGLE PLAY</t>
  </si>
  <si>
    <t>COMPRA CLINICA DAVILA VESPUCI</t>
  </si>
  <si>
    <t>COMPRA SABA ARAUCO KENNEDY</t>
  </si>
  <si>
    <t>COMPRA RedGloba*GREAT MARKET</t>
  </si>
  <si>
    <t>COMPRA VIVO LA FLORIDA</t>
  </si>
  <si>
    <t>COMPRA RedGloba*OSIRIS LICORE</t>
  </si>
  <si>
    <t>COMPRA UNIMARC ROJAS MAGALLANES</t>
  </si>
  <si>
    <t>COMPRA FESTA</t>
  </si>
  <si>
    <t>COMPRA TUU*holyFritas</t>
  </si>
  <si>
    <t>COMPRA SumUp * OBOLO Chocolat</t>
  </si>
  <si>
    <t>COMPRA SALTO ANGEL 2</t>
  </si>
  <si>
    <t>COMPRA PASAPORTE TURCO SPA</t>
  </si>
  <si>
    <t>COMPRA BARBER SHOP P. VESPUCI</t>
  </si>
  <si>
    <t>Redgloba*macarons Rich Huechuraba Chl</t>
  </si>
  <si>
    <t>Mercadopago *Pagoyacl Las Condes Chl</t>
  </si>
  <si>
    <t>Merpago*restaurant Ari Santiago Chl</t>
  </si>
  <si>
    <t>C Mayorista San Luis D Santiago Chl</t>
  </si>
  <si>
    <t>Google *Google One 650-253-0000 Usa</t>
  </si>
  <si>
    <t>Sumup * Juan Ci</t>
  </si>
  <si>
    <t>Barber Shop Pza</t>
  </si>
  <si>
    <t>Paris Mall Plaz</t>
  </si>
  <si>
    <t>Ripley Plaza Ve</t>
  </si>
  <si>
    <t>Mercadopago *La</t>
  </si>
  <si>
    <t>Merpago*restaur</t>
  </si>
  <si>
    <t>Merpago*luperca</t>
  </si>
  <si>
    <t>Bobibobi Mut</t>
  </si>
  <si>
    <t>Integra Laser</t>
  </si>
  <si>
    <t>Mercadopago *Pa</t>
  </si>
  <si>
    <t>Neat Cuentas Ba</t>
  </si>
  <si>
    <t>Sumup * Sociedad Con</t>
  </si>
  <si>
    <t>Maravillas Del Sur</t>
  </si>
  <si>
    <t>Hangaroa Plaza</t>
  </si>
  <si>
    <t>COMPRA BOBIBOBI MUT*</t>
  </si>
  <si>
    <t>COMPRA MERPAGO*DUNKIN FAGASE*</t>
  </si>
  <si>
    <t>COMPRA HELADOMANIA*</t>
  </si>
  <si>
    <t>COMPRA UPA! F246 MOSTAZAL</t>
  </si>
  <si>
    <t>COMPRA SERGIO ALEJANDRO BRAVO</t>
  </si>
  <si>
    <t>COMPRA EDS RENGO CARRETERA</t>
  </si>
  <si>
    <t>COMPRA DON HUMBERTO LA FLO</t>
  </si>
  <si>
    <t>COMPRA FACE MOVIL</t>
  </si>
  <si>
    <t>COMPRA ENTRE LALOS</t>
  </si>
  <si>
    <t>Rendición</t>
  </si>
  <si>
    <t>Rendición WM</t>
  </si>
  <si>
    <t>2025.07 JULIO</t>
  </si>
  <si>
    <t>2025.06 JUNIO</t>
  </si>
  <si>
    <t>2025.05 MAYO</t>
  </si>
  <si>
    <t>2025.04 ABRIL</t>
  </si>
  <si>
    <t>2025.03 MARZO</t>
  </si>
  <si>
    <t>Unired Cl Vespu</t>
  </si>
  <si>
    <t>Unired Cl Costa</t>
  </si>
  <si>
    <t>Vespucio Orient</t>
  </si>
  <si>
    <t>Autopista Centr</t>
  </si>
  <si>
    <t>Neat Colegio</t>
  </si>
  <si>
    <t>Neat Gasto Comu</t>
  </si>
  <si>
    <t>S10 Travesia Santiago Chl</t>
  </si>
  <si>
    <t>Mercadopago *Pastholz Las Condes Chl</t>
  </si>
  <si>
    <t>Idj Servicios E Invers Elqui Chl</t>
  </si>
  <si>
    <t>La Casita De Las Alema Santiago Chl</t>
  </si>
  <si>
    <t>Transferencia En Linea A Otro Banco Tania Rojas Garrido</t>
  </si>
  <si>
    <t>Lider.cl Tienda</t>
  </si>
  <si>
    <t>Tuu*coppermel</t>
  </si>
  <si>
    <t>Mercadopago *In</t>
  </si>
  <si>
    <t>Farm Belen</t>
  </si>
  <si>
    <t>Merpago*autoser</t>
  </si>
  <si>
    <t>Unimarc Rojas Magall</t>
  </si>
  <si>
    <t>Payu *Uber Trip</t>
  </si>
  <si>
    <t>Hip Lider Ovalle</t>
  </si>
  <si>
    <t>Sabor Del Bueno</t>
  </si>
  <si>
    <t>Martita</t>
  </si>
  <si>
    <t>Del Sur Reconquista</t>
  </si>
  <si>
    <t xml:space="preserve">% </t>
  </si>
  <si>
    <t>Farm Belen Santiago Chl</t>
  </si>
  <si>
    <t>Kioskos Kentucky Buin Santiago Chl</t>
  </si>
  <si>
    <t>Cynthia Johanna Vera C Santiago Chl</t>
  </si>
  <si>
    <t>Dlocal *Google Play-yo Santiago Chl</t>
  </si>
  <si>
    <t>Hip Lider San Pablo Santiago Chl</t>
  </si>
  <si>
    <t>Eds 9357 Coronel Concepcion Chl</t>
  </si>
  <si>
    <t>Sabor Del Bueno Arauco Chl</t>
  </si>
  <si>
    <t>El Hoyo Santiago Chl</t>
  </si>
  <si>
    <t>Shel Walker Mar</t>
  </si>
  <si>
    <t>Vespucio</t>
  </si>
  <si>
    <t>Mpve41 L</t>
  </si>
  <si>
    <t>Merpago*koychi Spa K</t>
  </si>
  <si>
    <t>Casaideas Plaza Vesp</t>
  </si>
  <si>
    <t>Gastos Fijos</t>
  </si>
  <si>
    <t>Gastos fijos</t>
  </si>
  <si>
    <t>Gastos variables</t>
  </si>
  <si>
    <t>Gastos Variables</t>
  </si>
  <si>
    <t>DEB/CRED.</t>
  </si>
  <si>
    <t>FIJO/VAR.</t>
  </si>
  <si>
    <t>(Todas)</t>
  </si>
  <si>
    <t>V.mackenna O.7320 La Florida</t>
  </si>
  <si>
    <t>Abono Abono Transacción Lbtr</t>
  </si>
  <si>
    <t>Pedidosya Cl Cl Chl</t>
  </si>
  <si>
    <t>Copec Zervo Las Condes Chl</t>
  </si>
  <si>
    <t>Hip Lider Plaza</t>
  </si>
  <si>
    <t>Comercial Mi Ho</t>
  </si>
  <si>
    <t>Mercadopago *Gr</t>
  </si>
  <si>
    <t>La Casita De Las Ale</t>
  </si>
  <si>
    <t>Central Parking Syst</t>
  </si>
  <si>
    <t>Biboo</t>
  </si>
  <si>
    <t>Central Parking</t>
  </si>
  <si>
    <t>Sociedad De Inversio</t>
  </si>
  <si>
    <t>Merpago*greatlhete</t>
  </si>
  <si>
    <t>Cruz Verde</t>
  </si>
  <si>
    <t>Servicios Integral M</t>
  </si>
  <si>
    <t>Payscan*vendomatica</t>
  </si>
  <si>
    <t>Micopiloto F452</t>
  </si>
  <si>
    <t>Payu *Wellhub Cl</t>
  </si>
  <si>
    <t>Lider.cl Mall Onecli</t>
  </si>
  <si>
    <t>Saldo Tarjeta Credito BF</t>
  </si>
  <si>
    <t>COMPRA SALLY BEAUTY VES</t>
  </si>
  <si>
    <t>COMPRA BARBER SHOP PZA VESPUC</t>
  </si>
  <si>
    <t>Tarj. Credito BF</t>
  </si>
  <si>
    <t>2025.08 AGOSTO</t>
  </si>
  <si>
    <t>Suscripción</t>
  </si>
  <si>
    <t>Gimnasio</t>
  </si>
  <si>
    <t>Ahorro</t>
  </si>
  <si>
    <t>Descripción</t>
  </si>
  <si>
    <t>Gasto Real</t>
  </si>
  <si>
    <t>Proyectado</t>
  </si>
  <si>
    <t>Casaideas Plaza Vespuc Santiago Chl</t>
  </si>
  <si>
    <t>Express Tomas Moro Santiago Chl</t>
  </si>
  <si>
    <t>Merpago*servicios Gast Buin Chl</t>
  </si>
  <si>
    <t>Copemsa Sur Spa Santiago Chl</t>
  </si>
  <si>
    <t>Tuu*botilleria Echen</t>
  </si>
  <si>
    <t>Unificado Entel Sa</t>
  </si>
  <si>
    <t>Cheque Cobrado Por Otro Banco serie 181682</t>
  </si>
  <si>
    <t>BCI</t>
  </si>
  <si>
    <t>COMPRA PASEO ITERMODAL CATO</t>
  </si>
  <si>
    <t>COMPRA VENDOMATICA</t>
  </si>
  <si>
    <t>Cine Hoyts Vivo Outlet Santiago Chl</t>
  </si>
  <si>
    <t>Sumup * Nova Construcc La Florida Chl</t>
  </si>
  <si>
    <t>Olaf Edmundo Biaggini Santiago Chl</t>
  </si>
  <si>
    <t>El Tio Manolo Santiago Chl</t>
  </si>
  <si>
    <t>Mercadopago *Casafrut Las Condes Chl</t>
  </si>
  <si>
    <t>Upa! F291 Acsa Lo Blan Santiago Chl</t>
  </si>
  <si>
    <t>Maxik Pudahuel Chl</t>
  </si>
  <si>
    <t>Hip Lider Ovalle Ovalle Chl</t>
  </si>
  <si>
    <t>Mercadopago *Parquime Las Condes Chl</t>
  </si>
  <si>
    <t>Maravillas Del Sur Talcahuano Chl</t>
  </si>
  <si>
    <t>Transferencia En Linea A Otro Banco Patricia Rodriguez</t>
  </si>
  <si>
    <t>Tuu*botilleria Echeniq La Florida Chl</t>
  </si>
  <si>
    <t>Devolución arriendo traje</t>
  </si>
  <si>
    <t>Gasto Real Proy.</t>
  </si>
  <si>
    <t>Dif</t>
  </si>
  <si>
    <t>Real</t>
  </si>
  <si>
    <t>Real Proyectado</t>
  </si>
  <si>
    <t>Saldo Cuentas Cte.</t>
  </si>
  <si>
    <t>Mercadopago *Confique Las Condes Chl</t>
  </si>
  <si>
    <t>Sumup * Comercializado Santiago Chl</t>
  </si>
  <si>
    <t>Di Mauro Comercializad Santiago Chl</t>
  </si>
  <si>
    <t>Prado Barraza S Jose De Mai Chl</t>
  </si>
  <si>
    <t>La Florida-737 Santiago Chl</t>
  </si>
  <si>
    <t>Walmart Chile Sa - Proveedores</t>
  </si>
  <si>
    <t>Farmacias Del Doctor S Santiago Chl</t>
  </si>
  <si>
    <t>Esch9357 Coronel Concepcion Chl</t>
  </si>
  <si>
    <t>Payscan*vendomatica Ve Huechuraba Chl</t>
  </si>
  <si>
    <t>Hip Lider Los Dominico Santiago Chl</t>
  </si>
  <si>
    <t>Paseo Itermodal Catorc Santiago Chl</t>
  </si>
  <si>
    <t>Central Parking System La Florida Chl</t>
  </si>
  <si>
    <t>2025.09 SEPTIEMBRE</t>
  </si>
  <si>
    <t>Efectivo</t>
  </si>
  <si>
    <t>Transferencia En Linea A Otro Banco Pablo Salazar</t>
  </si>
  <si>
    <t>Patio La Florid</t>
  </si>
  <si>
    <t>Mercadopago *Ag</t>
  </si>
  <si>
    <t>Payscan*snack C</t>
  </si>
  <si>
    <t>Kentucky Fried</t>
  </si>
  <si>
    <t>Sioux</t>
  </si>
  <si>
    <t>Paseo Itermodal</t>
  </si>
  <si>
    <t>Merpago*san Cam</t>
  </si>
  <si>
    <t>Google Play You</t>
  </si>
  <si>
    <t>Dl*google Youtu</t>
  </si>
  <si>
    <t>Payu *Wellhub</t>
  </si>
  <si>
    <t>Mercadopago *Expresm</t>
  </si>
  <si>
    <t>Heladomania</t>
  </si>
  <si>
    <t>Google Play Youtube</t>
  </si>
  <si>
    <t>Express Rojas Magall</t>
  </si>
  <si>
    <t>Bello Oriente</t>
  </si>
  <si>
    <t>Compra Nico Gas La Florida</t>
  </si>
  <si>
    <t>Jardinero</t>
  </si>
  <si>
    <t>Unimarc Rojas M</t>
  </si>
  <si>
    <t>Barukh Technolo</t>
  </si>
  <si>
    <t>La Casita De La</t>
  </si>
  <si>
    <t>Merpago*expresm</t>
  </si>
  <si>
    <t>Marcos Andres E</t>
  </si>
  <si>
    <t>Hip Lider San P</t>
  </si>
  <si>
    <t>Paseo Itermodal Cato</t>
  </si>
  <si>
    <t>Mercadopago *Cielo</t>
  </si>
  <si>
    <t>PAYSCAN*FUXI FUXI</t>
  </si>
  <si>
    <t>Cumple Fer</t>
  </si>
  <si>
    <t>Albertina Gueva</t>
  </si>
  <si>
    <t>Cinepolis La Re</t>
  </si>
  <si>
    <t>Sumup * Nova Co</t>
  </si>
  <si>
    <t>Mayorista 10 Pa</t>
  </si>
  <si>
    <t>Tienda La Florida</t>
  </si>
  <si>
    <t>Importadora Azul</t>
  </si>
  <si>
    <t>Hip Lider Los Domini</t>
  </si>
  <si>
    <t>Mercadopago *Confiqu</t>
  </si>
  <si>
    <t>Express Consistorial</t>
  </si>
  <si>
    <t>Dl*google Youtube</t>
  </si>
  <si>
    <t>Webpay Pj Walker Mar</t>
  </si>
  <si>
    <t>Pazon De Bustamante Santiago Chl</t>
  </si>
  <si>
    <t>Transferencia En Linea A Otro Banco Maria Valeria Serrano</t>
  </si>
  <si>
    <t>Polemic Vivo La Florid Santiago Chl</t>
  </si>
  <si>
    <t>Intime La Florida Santiago Chl</t>
  </si>
  <si>
    <t>Giro en cajero automático en AVENIDA ROJAS MAGALLANES 3638</t>
  </si>
  <si>
    <t>Cheque Cobrado Por Otro Banco serie 181683</t>
  </si>
  <si>
    <t>Giro en cajero automático en CAMINO A VICUNA SIN NUMERO RUTA</t>
  </si>
  <si>
    <t>Fiestas patrias</t>
  </si>
  <si>
    <t>%</t>
  </si>
  <si>
    <t xml:space="preserve">Dr. Simic 40% </t>
  </si>
  <si>
    <t>Transferencia En Linea A Otro Banco Daniel Fuentes C.</t>
  </si>
  <si>
    <t>Transferencia En Linea A Otro Banco Medio De Pago Fintoc</t>
  </si>
  <si>
    <t>Lider.cl Mall Oneclick Santiago Chl</t>
  </si>
  <si>
    <t>Sumup * Cristopher Ale San Jose De M Chl</t>
  </si>
  <si>
    <t>Charlie Spa Cordillera Chl</t>
  </si>
  <si>
    <t>Merpago*greatlhete Quilicura Chl</t>
  </si>
  <si>
    <t>Minimarket Calle Calle Santiago Chl</t>
  </si>
  <si>
    <t>Mercadopago *Lacasona Las Condes Chl</t>
  </si>
  <si>
    <t>Tuu*papachips Qulicura Chl</t>
  </si>
  <si>
    <t>Shell S. Allende F787 Santiago Chl</t>
  </si>
  <si>
    <t>Sumup * Nova Constru</t>
  </si>
  <si>
    <t>Mercadopago *Greatlh</t>
  </si>
  <si>
    <t>Mercadopago *Dunkin</t>
  </si>
  <si>
    <t>Transferencia En Linea A Otro Banco Cristian Sandoval</t>
  </si>
  <si>
    <t>Mercadopago *Jaime Las Condes Chl</t>
  </si>
  <si>
    <t>Servicios Y Comercial Huechuraba Chl</t>
  </si>
  <si>
    <t>Mercadopago *Efood1 Las Condes Chl</t>
  </si>
  <si>
    <t>Falabella Pza Vespucio Santiago Chl</t>
  </si>
  <si>
    <t>Dbs Plaza Vespucio Santiago Chl</t>
  </si>
  <si>
    <t>Tuu*haulmer Agregador Curico Chl</t>
  </si>
  <si>
    <t>Mall Plaza Los Dominic Santiago Chl</t>
  </si>
  <si>
    <t>Palo De Rosa Chile Santiago Chl</t>
  </si>
  <si>
    <t>Transferencia En Linea A Otro Banco Valeria Caceres</t>
  </si>
  <si>
    <t>Mercadopago *Sajakisu Las Condes Chl</t>
  </si>
  <si>
    <t>2025.10 OCTUBRE</t>
  </si>
  <si>
    <t>Abono Quincena</t>
  </si>
  <si>
    <t>Otros</t>
  </si>
  <si>
    <t>Pass Line Ltda</t>
  </si>
  <si>
    <t>Google *Roblox</t>
  </si>
  <si>
    <t>Agpro *Top Bea</t>
  </si>
  <si>
    <t>Mp *Fitfoodvend</t>
  </si>
  <si>
    <t>Mardoqueo Ferna</t>
  </si>
  <si>
    <t>Payu Ps*gympass</t>
  </si>
  <si>
    <t>Lunkai Spa</t>
  </si>
  <si>
    <t>Koari Sushi Spa</t>
  </si>
  <si>
    <t>Intereses TC Banco Ripley</t>
  </si>
  <si>
    <t>COMPRA PARKING MALL PLAZA</t>
  </si>
  <si>
    <t>COMPRA HELADOMANIA</t>
  </si>
  <si>
    <t>COMPRA MERCADOPAGO *OLIMPO</t>
  </si>
  <si>
    <t>COMPRA SHEL WALKER MARTINEZ F</t>
  </si>
  <si>
    <t>COMPRA LUNKAI SPA</t>
  </si>
  <si>
    <t>COMPRA TIENDA SHELL LA FLOR F</t>
  </si>
  <si>
    <t>COMPRA HIP LIDER SAN PABLO</t>
  </si>
  <si>
    <t>PAGO TARJETA CMR</t>
  </si>
  <si>
    <t>Intereses TC Banco Falabella</t>
  </si>
  <si>
    <t>Karina Sepulveda Hernandez</t>
  </si>
  <si>
    <t>Créditos de Mercado Pago</t>
  </si>
  <si>
    <t>Felipe Andres Valenzuela Gallardo</t>
  </si>
  <si>
    <t>Jaime Cardenas</t>
  </si>
  <si>
    <t>Uber Pagos Chile</t>
  </si>
  <si>
    <t>GoogleGoogle</t>
  </si>
  <si>
    <t>Copec app</t>
  </si>
  <si>
    <t>Fernando caballero</t>
  </si>
  <si>
    <t>Las araucarias</t>
  </si>
  <si>
    <t>Beneficio de Mercado Pago</t>
  </si>
  <si>
    <t>Rendimientos BICE</t>
  </si>
  <si>
    <t>Mercadopago *sodexoch</t>
  </si>
  <si>
    <t>Shel walker martinez f</t>
  </si>
  <si>
    <t>Unimarc rojas magallan</t>
  </si>
  <si>
    <t>Pistacho y nuez</t>
  </si>
  <si>
    <t>Transferencia recibida</t>
  </si>
  <si>
    <t>Outletfit</t>
  </si>
  <si>
    <t>Wellhub cl</t>
  </si>
  <si>
    <t>PedidosYaPedidosYa</t>
  </si>
  <si>
    <t>Fernando Arriagada</t>
  </si>
  <si>
    <t>Aguas AndinasAguas Andinas</t>
  </si>
  <si>
    <t>Entel HogarEntel Hogar</t>
  </si>
  <si>
    <t>Condominio Tarragona</t>
  </si>
  <si>
    <t>Fernando Javier Arriagada Concha</t>
  </si>
  <si>
    <t>Olaf edmundo biaggini</t>
  </si>
  <si>
    <t>App Shell</t>
  </si>
  <si>
    <t>Icb ruta 973</t>
  </si>
  <si>
    <t>Mercadopago *cafelasc</t>
  </si>
  <si>
    <t>Mercadopago *dulcearo</t>
  </si>
  <si>
    <t>Ahum l541 r.magallan 3</t>
  </si>
  <si>
    <t>Hip lider departamenta</t>
  </si>
  <si>
    <t>Pablo Ignacio Escobar</t>
  </si>
  <si>
    <t>Diego Rubio</t>
  </si>
  <si>
    <t>Mercadopago *eltomeci</t>
  </si>
  <si>
    <t>PedidosYa PlusPedidosYa Plus</t>
  </si>
  <si>
    <t>Unimarc vicente valdes</t>
  </si>
  <si>
    <t>Bascunan guerrero</t>
  </si>
  <si>
    <t>Saba estacionamientos</t>
  </si>
  <si>
    <t>Pve2</t>
  </si>
  <si>
    <t>Zara plaza vespucio</t>
  </si>
  <si>
    <t>Google PlayGoogle Play</t>
  </si>
  <si>
    <t>Alejandra Bozo</t>
  </si>
  <si>
    <t>Edinson Herrera</t>
  </si>
  <si>
    <t>Mercadopago *lalosspa</t>
  </si>
  <si>
    <t>Mercadopago *greatlhe</t>
  </si>
  <si>
    <t>Cv 068</t>
  </si>
  <si>
    <t>Roblox.com 18888582569</t>
  </si>
  <si>
    <t>Mal paso</t>
  </si>
  <si>
    <t>SULLIVAN BOSICH Y COMPANIA LIMITADA</t>
  </si>
  <si>
    <t>2026.08 AGOSTO</t>
  </si>
  <si>
    <t>Credito Meli</t>
  </si>
  <si>
    <t>Beneficio Meli</t>
  </si>
  <si>
    <t>Uber</t>
  </si>
  <si>
    <t>Deuda</t>
  </si>
  <si>
    <t>Meli Dólar</t>
  </si>
  <si>
    <t>Crédito de Mercado Pago</t>
  </si>
  <si>
    <t>Mercado LibreMercado Libre</t>
  </si>
  <si>
    <t>Unimarc Rojas Magallan</t>
  </si>
  <si>
    <t>Mercado Pago</t>
  </si>
  <si>
    <t>Mercadopago Sodexoch</t>
  </si>
  <si>
    <t>Salcobrand 405</t>
  </si>
  <si>
    <t>Clinica Davila Vespuci</t>
  </si>
  <si>
    <t>Vendomatica 303</t>
  </si>
  <si>
    <t>Shel Walker Martinez F</t>
  </si>
  <si>
    <t>Falabella Pza Vespucio</t>
  </si>
  <si>
    <t>Mercadopago Haypan</t>
  </si>
  <si>
    <t>Mercadopago Dulceamo</t>
  </si>
  <si>
    <t>Edgard Alejandro Morea</t>
  </si>
  <si>
    <t>Comercial Flix Spa</t>
  </si>
  <si>
    <t>Under Republica</t>
  </si>
  <si>
    <t>Mercadopago Dunkin</t>
  </si>
  <si>
    <t>FlowFlow</t>
  </si>
  <si>
    <t>Venta de Meli Dólar</t>
  </si>
  <si>
    <t>PedidosyaPedidosya</t>
  </si>
  <si>
    <t>Hip Lider La Reina</t>
  </si>
  <si>
    <t>Mall Plaza Los Dominic</t>
  </si>
  <si>
    <t>Id01 Super Bikes 3 2</t>
  </si>
  <si>
    <t>Id01 Super Bikes 3 1</t>
  </si>
  <si>
    <t>Falabella Los Dominico</t>
  </si>
  <si>
    <t>M Los Dominicos Par Av</t>
  </si>
  <si>
    <t>52001-Ch Mall Plaza Do</t>
  </si>
  <si>
    <t>Copec Macul 5880</t>
  </si>
  <si>
    <t>Icb Ruta 832</t>
  </si>
  <si>
    <t>Uber Proyección</t>
  </si>
  <si>
    <t>Ingreso de dinero</t>
  </si>
  <si>
    <t>H&amp;M Mall Plaza Vespuci</t>
  </si>
  <si>
    <t>Mercadopago Greatlhe</t>
  </si>
  <si>
    <t>Mercadopago Jairo</t>
  </si>
  <si>
    <t>Cristian Andrés Ramírez Barrenechea</t>
  </si>
  <si>
    <t>xx</t>
  </si>
  <si>
    <t>Criptomoneda</t>
  </si>
  <si>
    <t>Gastos Fijos/Var.</t>
  </si>
  <si>
    <t>Saba Estacionamientos</t>
  </si>
  <si>
    <t>Mercadopago Bijouchi</t>
  </si>
  <si>
    <t>Gabriel Bencomo Spa</t>
  </si>
  <si>
    <t>Vendomatica 62</t>
  </si>
  <si>
    <t>App ShellPago</t>
  </si>
  <si>
    <t>Mal Paso</t>
  </si>
  <si>
    <t>Mass</t>
  </si>
  <si>
    <t>Unimarc Vicente Valdes</t>
  </si>
  <si>
    <t>Plaza Vespucio</t>
  </si>
  <si>
    <t>Tottus Walker Martinez</t>
  </si>
  <si>
    <t>Restaurant Cevichazo</t>
  </si>
  <si>
    <t>Mercadopago Morisacc</t>
  </si>
  <si>
    <t>Santaisabel Plazavespu</t>
  </si>
  <si>
    <t>Zara Plaza Vespucio</t>
  </si>
  <si>
    <t>Fernando Javier Arriagada ConchaTransferencia enviada</t>
  </si>
  <si>
    <t>Gonzalez, Gonzalez Y Compania Gonzalez, Gonzalez Y CompaniaPago</t>
  </si>
  <si>
    <t>Icb Ruta 991</t>
  </si>
  <si>
    <t>Alicia Jazmin Carfulen</t>
  </si>
  <si>
    <t>Carnes Mauri</t>
  </si>
  <si>
    <t>Maria Soledad Concha</t>
  </si>
  <si>
    <t>Meli DólarCashback</t>
  </si>
  <si>
    <t>Pica Pica Spa</t>
  </si>
  <si>
    <t>Mercadopago Eltomeci</t>
  </si>
  <si>
    <t>UnimarcUnimarc</t>
  </si>
  <si>
    <t>Gonzalez, Gonzalez Y Compania Gonzalez, Gonzalez Y Compania</t>
  </si>
  <si>
    <t>Vania Diaz</t>
  </si>
  <si>
    <t>Wellhub</t>
  </si>
  <si>
    <t>Rojas Garrido Tania Silvia Del Carmen</t>
  </si>
  <si>
    <t>SpotifySpotify</t>
  </si>
  <si>
    <t>Shell</t>
  </si>
  <si>
    <t>Copec</t>
  </si>
  <si>
    <t>Ingresos Katy</t>
  </si>
  <si>
    <t>Unimarc</t>
  </si>
  <si>
    <t>Aramco</t>
  </si>
  <si>
    <t>Karina Sepulveda</t>
  </si>
  <si>
    <t>Uber Efectivo</t>
  </si>
  <si>
    <t>Google OneGoogle One</t>
  </si>
  <si>
    <t>Pedidosya PlusPedidosya Plus</t>
  </si>
  <si>
    <t>2026.09 SEPTIEMBRE</t>
  </si>
  <si>
    <t>Mercadopago Desarrol</t>
  </si>
  <si>
    <t>RobloxRoblox</t>
  </si>
  <si>
    <t>YoutubeYoutube</t>
  </si>
  <si>
    <t>Fabiola Frias</t>
  </si>
  <si>
    <t>Adidas La Fabrica</t>
  </si>
  <si>
    <t>Parking Mall Florida C</t>
  </si>
  <si>
    <t>Keila Guara</t>
  </si>
  <si>
    <t>Jumbo</t>
  </si>
  <si>
    <t>Pichara Mall Plaza Ves</t>
  </si>
  <si>
    <t>Farmacias Del Doctor S</t>
  </si>
  <si>
    <t>SodexoSodexo</t>
  </si>
  <si>
    <t>Icb Ruta 973</t>
  </si>
  <si>
    <t>Fintoc</t>
  </si>
  <si>
    <t>Ea Sports</t>
  </si>
  <si>
    <t>Entrada Alexisonfire</t>
  </si>
  <si>
    <t>Categoría</t>
  </si>
  <si>
    <t>Magno Car Spa</t>
  </si>
  <si>
    <t>Redgloba El Amanecer</t>
  </si>
  <si>
    <t>Pichara Vespucio Inter</t>
  </si>
  <si>
    <t>Ripley Plaza Vespucio</t>
  </si>
  <si>
    <t>Mercadopago Angeli</t>
  </si>
  <si>
    <t>Mercadopago Miniwalk</t>
  </si>
  <si>
    <t>Mercadopago Parking</t>
  </si>
  <si>
    <t>Walker Martinez 315</t>
  </si>
  <si>
    <t>Cruz Verde L9202</t>
  </si>
  <si>
    <t>Marcos Parada</t>
  </si>
  <si>
    <t>Raisa Manzor</t>
  </si>
  <si>
    <t>Olaf Edmundo Biaggini</t>
  </si>
  <si>
    <t>Don Benito La Florida</t>
  </si>
  <si>
    <t>Carlos Rubio</t>
  </si>
  <si>
    <t>Cristian Fabres</t>
  </si>
  <si>
    <t>Sodimac</t>
  </si>
  <si>
    <t>Inversiones Enex S.A. Inversiones Enex S.A.</t>
  </si>
  <si>
    <t>Compra de Meli Dólar</t>
  </si>
  <si>
    <t>Icb Ruta B38</t>
  </si>
  <si>
    <t>Mercadopago Kathamy</t>
  </si>
  <si>
    <t>Mercadopago Comercia</t>
  </si>
  <si>
    <t>Copec Copec La Flori</t>
  </si>
  <si>
    <t>Ivan Gomez Ramos</t>
  </si>
  <si>
    <t>Kioskos Wendys Wd38-P.</t>
  </si>
  <si>
    <t>Redgloba Mayorminy</t>
  </si>
  <si>
    <t>Mercadopago Ferreter</t>
  </si>
  <si>
    <t>Cine Hoyts Autoserv Re</t>
  </si>
  <si>
    <t>CinépolisCinépolis</t>
  </si>
  <si>
    <t>Comercial Ceys E Hijos Limitad Comercial Ceys E Hijos Limitad</t>
  </si>
  <si>
    <t>Mallplaza Vespucio</t>
  </si>
  <si>
    <t>Mercadopago Sajakisu</t>
  </si>
  <si>
    <t>Redgloba Local 70565 1</t>
  </si>
  <si>
    <t>||</t>
  </si>
  <si>
    <t>CONTROL FINANCIERO FAMILIAR</t>
  </si>
  <si>
    <t>PARÁMETROS DEL MES</t>
  </si>
  <si>
    <t>INDICADORES CLAVE</t>
  </si>
  <si>
    <t>Mes de control</t>
  </si>
  <si>
    <t>Ingreso esperado ($)</t>
  </si>
  <si>
    <t>Ingreso fijo + Uber meta</t>
  </si>
  <si>
    <t>Sueldo líquido fijo ($)</t>
  </si>
  <si>
    <t>Gasto real a la fecha ($)</t>
  </si>
  <si>
    <t>Acumulado registrado</t>
  </si>
  <si>
    <t>Meta Uber mensual ($)</t>
  </si>
  <si>
    <t>Gasto proyectado mes ($)</t>
  </si>
  <si>
    <t>Presupuesto total</t>
  </si>
  <si>
    <t>Meta de ahorro</t>
  </si>
  <si>
    <t>Ahorro proyectado ($)</t>
  </si>
  <si>
    <t>Positivo = ahorro</t>
  </si>
  <si>
    <t>Ahorro objetivo ($)</t>
  </si>
  <si>
    <t>Uber requerido p/ equilibrio ($)</t>
  </si>
  <si>
    <t>Uber necesario sin recortes</t>
  </si>
  <si>
    <t>Recorte para meta ahorro ($)</t>
  </si>
  <si>
    <t>Ajuste requerido</t>
  </si>
  <si>
    <t>SEGUIMIENTO POR CATEGORÍA</t>
  </si>
  <si>
    <t>Presupuesto restante del mes ($)</t>
  </si>
  <si>
    <t>Disponible para resto del mes</t>
  </si>
  <si>
    <t>Real ($)</t>
  </si>
  <si>
    <t>Presupuesto ($)</t>
  </si>
  <si>
    <t>Disponible ($)</t>
  </si>
  <si>
    <t>% usado</t>
  </si>
  <si>
    <t>Tipo</t>
  </si>
  <si>
    <t>Ideal &lt; 90%</t>
  </si>
  <si>
    <t>PLAN DE AHORRO RECOMENDADO</t>
  </si>
  <si>
    <t>Presupuesto actual</t>
  </si>
  <si>
    <t>Meta sugerida</t>
  </si>
  <si>
    <t>Ahorro potencial</t>
  </si>
  <si>
    <t>Acción</t>
  </si>
  <si>
    <t>Lista semanal + tope por compra</t>
  </si>
  <si>
    <t>Separar combustible de Uber y uso familiar</t>
  </si>
  <si>
    <t>Crear tope semanal</t>
  </si>
  <si>
    <t>Tratar como gasto extraordinario</t>
  </si>
  <si>
    <t>Compra solo con presupuesto disponible</t>
  </si>
  <si>
    <t>Tope quincenal</t>
  </si>
  <si>
    <t>Reducir delivery/comidas fuera</t>
  </si>
  <si>
    <t>Fondo mensual separado</t>
  </si>
  <si>
    <t>INDICADORES QUE CONVIENE SEGUIR CADA MES</t>
  </si>
  <si>
    <t>Tasa de ahorro</t>
  </si>
  <si>
    <t>Ahorro / ingreso total</t>
  </si>
  <si>
    <t>Dependencia de Uber</t>
  </si>
  <si>
    <t>Uber / ingreso total</t>
  </si>
  <si>
    <t>Ideal &lt; 15% para gastos básicos</t>
  </si>
  <si>
    <t>Gasto variable / ingreso</t>
  </si>
  <si>
    <t>Gastos variables / ingreso</t>
  </si>
  <si>
    <t>Ideal &lt; 35%-40%</t>
  </si>
  <si>
    <t>% presupuesto consumido</t>
  </si>
  <si>
    <t>Gasto real / presupuesto</t>
  </si>
  <si>
    <t>Alerta &gt; 90% antes del día 25</t>
  </si>
  <si>
    <t>Gasto discrecional</t>
  </si>
  <si>
    <t>Ropa + restaurant + entret. + varios</t>
  </si>
  <si>
    <t>Definir tope mensual</t>
  </si>
  <si>
    <t>Costo auto / Uber</t>
  </si>
  <si>
    <t>Bencina + estacionamiento + TAG</t>
  </si>
  <si>
    <t>Comparar con ingreso Uber neto</t>
  </si>
  <si>
    <t>Fondo extraordinarios</t>
  </si>
  <si>
    <t>Cumpleaños + fiestas + regalos</t>
  </si>
  <si>
    <t>Provisionar mensual</t>
  </si>
  <si>
    <t>Lectura recomendada: el sueldo fijo debe cubrir gastos base + ahorro. Uber debería financiar extras o acelerar ahorro, no sostener el presupuesto habitual.</t>
  </si>
  <si>
    <t>Meta inicial 5%</t>
  </si>
  <si>
    <t>Sodexochile</t>
  </si>
  <si>
    <t>Uber Pagos ChileUber Pagos Chile</t>
  </si>
  <si>
    <t>La Florida 3</t>
  </si>
  <si>
    <t>Bono Gobierno</t>
  </si>
  <si>
    <t>Nova Estacionamiento</t>
  </si>
  <si>
    <t>Greatlhete</t>
  </si>
  <si>
    <t>Mayorista 10 Parque La</t>
  </si>
  <si>
    <t>Copec La Florida</t>
  </si>
  <si>
    <t>Caramelos</t>
  </si>
  <si>
    <t>Misschurro</t>
  </si>
  <si>
    <t>El Sabor Del Pache</t>
  </si>
  <si>
    <t>Sergio Alfonso Quinter</t>
  </si>
  <si>
    <t>Camila Raquel Santos A</t>
  </si>
  <si>
    <t>Dionisio Antonio Rivas</t>
  </si>
  <si>
    <t>Fcproduccione</t>
  </si>
  <si>
    <t>Aguinaldo</t>
  </si>
  <si>
    <t>Libreria Artelapiz</t>
  </si>
  <si>
    <t>Comercial Mi Hogar Lim</t>
  </si>
  <si>
    <t>Rojas Garrido Tania Silvia Del CarmenRojas Garrido Tania Silvia Del Carmen</t>
  </si>
  <si>
    <t>Redgloba Comercial Teo</t>
  </si>
  <si>
    <t>Copec Copec La Ciste</t>
  </si>
  <si>
    <t>Pastelitopipo</t>
  </si>
  <si>
    <t>Copec Copec Macul</t>
  </si>
  <si>
    <t>Ks Compra Restaujusto</t>
  </si>
  <si>
    <t>Comercialnht</t>
  </si>
  <si>
    <t>Copec Copec Penalole</t>
  </si>
  <si>
    <t>Centrodeevent</t>
  </si>
  <si>
    <t>Servicios Gastronomico</t>
  </si>
  <si>
    <t>Payscan Ccu</t>
  </si>
  <si>
    <t>Comercial Ceys E Hijos</t>
  </si>
  <si>
    <t>La-Reina-Den</t>
  </si>
  <si>
    <t>Puma Outlet Patio Flor</t>
  </si>
  <si>
    <t>Outlet La Florida</t>
  </si>
  <si>
    <t>Parking</t>
  </si>
  <si>
    <t>Yogenfruz</t>
  </si>
  <si>
    <t>Carls Jr Terrazas</t>
  </si>
  <si>
    <t>Uber ChileUber Chile</t>
  </si>
  <si>
    <t>Yoselyn Rojas</t>
  </si>
  <si>
    <t>Mundo Tuareg Eirl</t>
  </si>
  <si>
    <t>File 522</t>
  </si>
  <si>
    <t>Jairo</t>
  </si>
  <si>
    <t>Pupikacandles</t>
  </si>
  <si>
    <t>Socdeinversio</t>
  </si>
  <si>
    <t>Estacion De Servicio Cuatro In Estacion De Servicio Cuatro In</t>
  </si>
  <si>
    <t>Shell.f472.colombia 71</t>
  </si>
  <si>
    <t>Amazon PrimeAmazon Prime</t>
  </si>
  <si>
    <t>Territoria Apoquindo</t>
  </si>
  <si>
    <t>Spid Mut - O871</t>
  </si>
  <si>
    <t>Casa Asa</t>
  </si>
  <si>
    <t>Chickint</t>
  </si>
  <si>
    <t>Isapre Consalud</t>
  </si>
  <si>
    <t>2026.10 OCTUBRE</t>
  </si>
  <si>
    <t>Fintual</t>
  </si>
  <si>
    <t>Transferencia enviada</t>
  </si>
  <si>
    <t>Comision Por Plan Cta Cte</t>
  </si>
  <si>
    <t>Transferencia enviada a Fintual AGF</t>
  </si>
  <si>
    <t>Actual</t>
  </si>
  <si>
    <t>Importe</t>
  </si>
  <si>
    <t>Ingreso Semanal</t>
  </si>
  <si>
    <t>Transferencia recibida de SULLIVAN BOSICH Y COMPANIA LIM</t>
  </si>
  <si>
    <t>Yaneken</t>
  </si>
  <si>
    <t>Katherine Valdes</t>
  </si>
  <si>
    <t>Saba Santa Lucia</t>
  </si>
  <si>
    <t>Tania Rojas Garrido</t>
  </si>
  <si>
    <t>Copec Copec Puente A</t>
  </si>
  <si>
    <t>Entradas Slipknot</t>
  </si>
  <si>
    <t>Entradas Alanys Lagos</t>
  </si>
  <si>
    <t>Bold.cl</t>
  </si>
  <si>
    <t>Ingreso Diario</t>
  </si>
  <si>
    <t>Dunkin</t>
  </si>
  <si>
    <t>Redgloba Seducete</t>
  </si>
  <si>
    <t>Inversiones Feroda Spa. Inversiones Feroda Spa.</t>
  </si>
  <si>
    <t>Jorge Antonio Pieratti</t>
  </si>
  <si>
    <t>Carnales Eirl</t>
  </si>
  <si>
    <t>5 Norte</t>
  </si>
  <si>
    <t>Whooshclspa</t>
  </si>
  <si>
    <t>Pjangol</t>
  </si>
  <si>
    <t>Shell.f522 Av.p.ed Mon</t>
  </si>
  <si>
    <t>Ganancia / Perdida Cap</t>
  </si>
  <si>
    <t>Ganancia / Perdid</t>
  </si>
  <si>
    <t>Pedidosya</t>
  </si>
  <si>
    <t>Uber Chile</t>
  </si>
  <si>
    <t>Mp Sodexochile</t>
  </si>
  <si>
    <t>Meli+</t>
  </si>
  <si>
    <t>Saudaveis</t>
  </si>
  <si>
    <t>Fudo La Fika Panade</t>
  </si>
  <si>
    <t>Google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</si>
</sst>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\$#,##0;[Red]\(\$#,##0\);\-"/>
    <numFmt numFmtId="165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Montserrat Medium"/>
    </font>
    <font>
      <b/>
      <sz val="8"/>
      <color theme="1"/>
      <name val="Montserrat Medium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  <font>
      <i/>
      <sz val="11"/>
      <color rgb="FF666666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8"/>
      <color theme="1"/>
      <name val="Calibri"/>
      <family val="2"/>
      <scheme val="minor"/>
    </font>
    <font>
      <b/>
      <sz val="9"/>
      <color rgb="FF9C0006"/>
      <name val="Calibr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8"/>
      <color rgb="FFFF0000"/>
      <name val="Segoe UI"/>
      <family val="2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FF0000"/>
      <name val="Segoe UI"/>
      <family val="2"/>
    </font>
    <font>
      <sz val="9"/>
      <color rgb="FF444444"/>
      <name val="Segoe UI"/>
      <family val="2"/>
    </font>
    <font>
      <b/>
      <sz val="11"/>
      <color theme="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24406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7F60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22" fontId="0" fillId="0" borderId="0" xfId="0" applyNumberFormat="1"/>
    <xf numFmtId="42" fontId="3" fillId="0" borderId="0" xfId="0" applyNumberFormat="1" applyFont="1" applyAlignment="1">
      <alignment vertical="center"/>
    </xf>
    <xf numFmtId="42" fontId="3" fillId="0" borderId="0" xfId="1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2" fontId="3" fillId="4" borderId="0" xfId="0" applyNumberFormat="1" applyFont="1" applyFill="1" applyAlignment="1">
      <alignment vertical="center"/>
    </xf>
    <xf numFmtId="42" fontId="3" fillId="4" borderId="0" xfId="0" applyNumberFormat="1" applyFont="1" applyFill="1" applyBorder="1" applyAlignment="1">
      <alignment vertical="center"/>
    </xf>
    <xf numFmtId="42" fontId="4" fillId="4" borderId="0" xfId="0" applyNumberFormat="1" applyFont="1" applyFill="1" applyBorder="1" applyAlignment="1">
      <alignment horizontal="center" vertical="center"/>
    </xf>
    <xf numFmtId="42" fontId="3" fillId="4" borderId="0" xfId="1" applyFont="1" applyFill="1" applyAlignment="1">
      <alignment vertical="center"/>
    </xf>
    <xf numFmtId="42" fontId="3" fillId="0" borderId="0" xfId="0" applyNumberFormat="1" applyFont="1" applyBorder="1" applyAlignment="1">
      <alignment vertical="center"/>
    </xf>
    <xf numFmtId="42" fontId="4" fillId="0" borderId="0" xfId="0" applyNumberFormat="1" applyFont="1" applyFill="1" applyBorder="1" applyAlignment="1">
      <alignment horizontal="center" vertical="center"/>
    </xf>
    <xf numFmtId="9" fontId="4" fillId="4" borderId="0" xfId="2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  <xf numFmtId="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/>
    <xf numFmtId="0" fontId="7" fillId="9" borderId="0" xfId="0" applyNumberFormat="1" applyFont="1" applyFill="1" applyBorder="1"/>
    <xf numFmtId="164" fontId="0" fillId="0" borderId="0" xfId="0" applyNumberFormat="1" applyFont="1" applyFill="1" applyBorder="1"/>
    <xf numFmtId="0" fontId="8" fillId="0" borderId="0" xfId="0" applyNumberFormat="1" applyFont="1" applyFill="1" applyBorder="1" applyAlignment="1">
      <alignment wrapText="1"/>
    </xf>
    <xf numFmtId="164" fontId="7" fillId="9" borderId="0" xfId="0" applyNumberFormat="1" applyFont="1" applyFill="1" applyBorder="1"/>
    <xf numFmtId="165" fontId="7" fillId="9" borderId="0" xfId="0" applyNumberFormat="1" applyFont="1" applyFill="1" applyBorder="1"/>
    <xf numFmtId="164" fontId="9" fillId="0" borderId="0" xfId="0" applyNumberFormat="1" applyFont="1" applyFill="1" applyBorder="1"/>
    <xf numFmtId="0" fontId="6" fillId="1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/>
    <xf numFmtId="0" fontId="6" fillId="12" borderId="0" xfId="0" applyNumberFormat="1" applyFont="1" applyFill="1" applyBorder="1"/>
    <xf numFmtId="0" fontId="10" fillId="13" borderId="0" xfId="0" applyNumberFormat="1" applyFont="1" applyFill="1" applyBorder="1"/>
    <xf numFmtId="164" fontId="10" fillId="13" borderId="0" xfId="0" applyNumberFormat="1" applyFont="1" applyFill="1" applyBorder="1"/>
    <xf numFmtId="0" fontId="6" fillId="1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42" fontId="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/>
    <xf numFmtId="0" fontId="6" fillId="14" borderId="0" xfId="0" applyNumberFormat="1" applyFont="1" applyFill="1" applyBorder="1"/>
    <xf numFmtId="0" fontId="12" fillId="15" borderId="0" xfId="0" applyNumberFormat="1" applyFont="1" applyFill="1" applyBorder="1" applyAlignment="1">
      <alignment vertical="center" wrapText="1"/>
    </xf>
    <xf numFmtId="0" fontId="5" fillId="7" borderId="0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/>
    <xf numFmtId="0" fontId="6" fillId="11" borderId="0" xfId="0" applyNumberFormat="1" applyFont="1" applyFill="1" applyBorder="1"/>
    <xf numFmtId="0" fontId="13" fillId="0" borderId="0" xfId="0" applyFont="1" applyAlignment="1">
      <alignment horizontal="left" vertical="center"/>
    </xf>
    <xf numFmtId="42" fontId="14" fillId="0" borderId="0" xfId="1" applyFont="1" applyAlignment="1">
      <alignment horizontal="center" vertical="center"/>
    </xf>
    <xf numFmtId="42" fontId="13" fillId="0" borderId="0" xfId="1" applyFont="1" applyAlignment="1">
      <alignment vertical="center"/>
    </xf>
    <xf numFmtId="42" fontId="14" fillId="2" borderId="0" xfId="0" applyNumberFormat="1" applyFont="1" applyFill="1" applyAlignment="1">
      <alignment vertical="center"/>
    </xf>
    <xf numFmtId="16" fontId="13" fillId="0" borderId="0" xfId="1" applyNumberFormat="1" applyFont="1" applyAlignment="1">
      <alignment vertical="center"/>
    </xf>
    <xf numFmtId="1" fontId="13" fillId="0" borderId="0" xfId="1" applyNumberFormat="1" applyFont="1" applyAlignment="1">
      <alignment horizontal="center" vertical="center"/>
    </xf>
    <xf numFmtId="42" fontId="13" fillId="0" borderId="0" xfId="0" applyNumberFormat="1" applyFont="1" applyAlignment="1">
      <alignment vertical="center"/>
    </xf>
    <xf numFmtId="9" fontId="13" fillId="0" borderId="0" xfId="0" applyNumberFormat="1" applyFont="1" applyAlignment="1">
      <alignment horizontal="center" vertical="center"/>
    </xf>
    <xf numFmtId="0" fontId="13" fillId="0" borderId="0" xfId="1" applyNumberFormat="1" applyFont="1" applyAlignment="1">
      <alignment vertical="center"/>
    </xf>
    <xf numFmtId="42" fontId="13" fillId="0" borderId="0" xfId="1" applyFont="1" applyAlignment="1">
      <alignment horizontal="center" vertical="center"/>
    </xf>
    <xf numFmtId="0" fontId="13" fillId="0" borderId="0" xfId="0" applyNumberFormat="1" applyFont="1" applyAlignment="1">
      <alignment vertical="center"/>
    </xf>
    <xf numFmtId="42" fontId="14" fillId="5" borderId="0" xfId="1" applyFont="1" applyFill="1" applyAlignment="1">
      <alignment vertical="center"/>
    </xf>
    <xf numFmtId="42" fontId="14" fillId="2" borderId="0" xfId="1" applyFont="1" applyFill="1" applyAlignment="1">
      <alignment vertical="center"/>
    </xf>
    <xf numFmtId="42" fontId="14" fillId="6" borderId="0" xfId="0" applyNumberFormat="1" applyFont="1" applyFill="1" applyAlignment="1">
      <alignment vertical="center"/>
    </xf>
    <xf numFmtId="42" fontId="14" fillId="0" borderId="0" xfId="1" applyFont="1" applyFill="1" applyAlignment="1">
      <alignment vertical="center"/>
    </xf>
    <xf numFmtId="0" fontId="14" fillId="3" borderId="1" xfId="0" applyFont="1" applyFill="1" applyBorder="1" applyAlignment="1">
      <alignment horizontal="left" vertical="center"/>
    </xf>
    <xf numFmtId="42" fontId="14" fillId="3" borderId="1" xfId="1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/>
    </xf>
    <xf numFmtId="9" fontId="14" fillId="0" borderId="0" xfId="0" applyNumberFormat="1" applyFont="1" applyFill="1" applyBorder="1" applyAlignment="1">
      <alignment horizontal="center" vertical="center"/>
    </xf>
    <xf numFmtId="42" fontId="15" fillId="0" borderId="0" xfId="1" applyFont="1" applyAlignment="1">
      <alignment vertical="center"/>
    </xf>
    <xf numFmtId="0" fontId="13" fillId="0" borderId="0" xfId="0" applyFont="1"/>
    <xf numFmtId="0" fontId="13" fillId="4" borderId="0" xfId="0" applyFont="1" applyFill="1" applyAlignment="1">
      <alignment horizontal="left" vertical="center"/>
    </xf>
    <xf numFmtId="42" fontId="13" fillId="4" borderId="0" xfId="0" applyNumberFormat="1" applyFont="1" applyFill="1" applyAlignment="1">
      <alignment vertical="center"/>
    </xf>
    <xf numFmtId="42" fontId="13" fillId="4" borderId="0" xfId="0" applyNumberFormat="1" applyFont="1" applyFill="1" applyBorder="1" applyAlignment="1">
      <alignment vertical="center"/>
    </xf>
    <xf numFmtId="42" fontId="14" fillId="4" borderId="0" xfId="0" applyNumberFormat="1" applyFont="1" applyFill="1" applyBorder="1" applyAlignment="1">
      <alignment horizontal="center" vertical="center"/>
    </xf>
    <xf numFmtId="9" fontId="14" fillId="4" borderId="0" xfId="2" applyFont="1" applyFill="1" applyBorder="1" applyAlignment="1">
      <alignment horizontal="center" vertical="center"/>
    </xf>
    <xf numFmtId="42" fontId="13" fillId="4" borderId="0" xfId="1" applyFont="1" applyFill="1" applyAlignment="1">
      <alignment vertical="center"/>
    </xf>
    <xf numFmtId="42" fontId="13" fillId="0" borderId="0" xfId="0" applyNumberFormat="1" applyFont="1" applyBorder="1" applyAlignment="1">
      <alignment vertical="center"/>
    </xf>
    <xf numFmtId="42" fontId="14" fillId="0" borderId="0" xfId="0" applyNumberFormat="1" applyFont="1" applyFill="1" applyBorder="1" applyAlignment="1">
      <alignment horizontal="center" vertical="center"/>
    </xf>
    <xf numFmtId="9" fontId="14" fillId="0" borderId="0" xfId="2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42" fontId="13" fillId="5" borderId="0" xfId="0" applyNumberFormat="1" applyFont="1" applyFill="1" applyAlignment="1">
      <alignment vertical="center"/>
    </xf>
    <xf numFmtId="42" fontId="13" fillId="5" borderId="0" xfId="0" applyNumberFormat="1" applyFont="1" applyFill="1" applyBorder="1" applyAlignment="1">
      <alignment vertical="center"/>
    </xf>
    <xf numFmtId="42" fontId="14" fillId="5" borderId="0" xfId="0" applyNumberFormat="1" applyFont="1" applyFill="1" applyBorder="1" applyAlignment="1">
      <alignment horizontal="center" vertical="center"/>
    </xf>
    <xf numFmtId="9" fontId="14" fillId="5" borderId="0" xfId="2" applyFont="1" applyFill="1" applyBorder="1" applyAlignment="1">
      <alignment horizontal="center" vertical="center"/>
    </xf>
    <xf numFmtId="42" fontId="13" fillId="5" borderId="0" xfId="1" applyFont="1" applyFill="1" applyAlignment="1">
      <alignment vertical="center"/>
    </xf>
    <xf numFmtId="0" fontId="13" fillId="4" borderId="0" xfId="0" applyFont="1" applyFill="1" applyBorder="1" applyAlignment="1">
      <alignment horizontal="left" vertical="center"/>
    </xf>
    <xf numFmtId="0" fontId="16" fillId="0" borderId="0" xfId="0" applyFont="1"/>
    <xf numFmtId="0" fontId="13" fillId="0" borderId="0" xfId="0" pivotButton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42" fontId="14" fillId="5" borderId="0" xfId="0" applyNumberFormat="1" applyFont="1" applyFill="1" applyAlignment="1">
      <alignment vertical="center"/>
    </xf>
    <xf numFmtId="165" fontId="13" fillId="0" borderId="0" xfId="2" applyNumberFormat="1" applyFont="1" applyAlignment="1">
      <alignment vertical="center"/>
    </xf>
    <xf numFmtId="9" fontId="13" fillId="0" borderId="0" xfId="2" applyFont="1"/>
    <xf numFmtId="42" fontId="14" fillId="0" borderId="2" xfId="0" applyNumberFormat="1" applyFont="1" applyBorder="1" applyAlignment="1">
      <alignment vertical="center"/>
    </xf>
    <xf numFmtId="165" fontId="14" fillId="0" borderId="2" xfId="2" applyNumberFormat="1" applyFont="1" applyBorder="1" applyAlignment="1">
      <alignment vertical="center"/>
    </xf>
    <xf numFmtId="3" fontId="13" fillId="0" borderId="0" xfId="0" applyNumberFormat="1" applyFont="1"/>
    <xf numFmtId="0" fontId="13" fillId="0" borderId="0" xfId="0" applyFont="1" applyAlignment="1">
      <alignment horizontal="center" vertical="center"/>
    </xf>
    <xf numFmtId="9" fontId="13" fillId="0" borderId="0" xfId="0" applyNumberFormat="1" applyFont="1" applyFill="1" applyAlignment="1">
      <alignment horizontal="center" vertical="center"/>
    </xf>
    <xf numFmtId="0" fontId="13" fillId="0" borderId="0" xfId="0" applyFont="1" applyFill="1"/>
    <xf numFmtId="0" fontId="13" fillId="0" borderId="0" xfId="0" applyFont="1" applyAlignment="1">
      <alignment horizontal="left" vertical="center" indent="1"/>
    </xf>
    <xf numFmtId="0" fontId="13" fillId="0" borderId="0" xfId="0" applyFont="1" applyFill="1" applyAlignment="1">
      <alignment horizontal="left" vertical="center"/>
    </xf>
    <xf numFmtId="42" fontId="13" fillId="0" borderId="0" xfId="1" applyFont="1" applyFill="1" applyAlignment="1">
      <alignment vertical="center"/>
    </xf>
    <xf numFmtId="16" fontId="13" fillId="0" borderId="0" xfId="0" applyNumberFormat="1" applyFont="1"/>
    <xf numFmtId="42" fontId="13" fillId="0" borderId="0" xfId="1" applyFont="1"/>
    <xf numFmtId="42" fontId="13" fillId="0" borderId="0" xfId="0" applyNumberFormat="1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Fill="1" applyAlignment="1">
      <alignment vertical="center"/>
    </xf>
    <xf numFmtId="42" fontId="17" fillId="0" borderId="0" xfId="0" applyNumberFormat="1" applyFont="1" applyFill="1" applyAlignment="1">
      <alignment vertical="center"/>
    </xf>
    <xf numFmtId="0" fontId="17" fillId="0" borderId="0" xfId="0" applyFont="1" applyAlignment="1">
      <alignment horizontal="right" vertical="center"/>
    </xf>
    <xf numFmtId="42" fontId="17" fillId="0" borderId="0" xfId="0" applyNumberFormat="1" applyFont="1" applyAlignment="1">
      <alignment vertical="center"/>
    </xf>
    <xf numFmtId="6" fontId="17" fillId="0" borderId="0" xfId="0" applyNumberFormat="1" applyFont="1" applyAlignment="1">
      <alignment horizontal="right" vertical="center"/>
    </xf>
    <xf numFmtId="6" fontId="18" fillId="2" borderId="0" xfId="0" applyNumberFormat="1" applyFont="1" applyFill="1" applyAlignment="1">
      <alignment horizontal="right" vertical="center"/>
    </xf>
    <xf numFmtId="42" fontId="18" fillId="2" borderId="0" xfId="0" applyNumberFormat="1" applyFont="1" applyFill="1" applyAlignment="1">
      <alignment vertical="center"/>
    </xf>
    <xf numFmtId="42" fontId="19" fillId="0" borderId="0" xfId="0" applyNumberFormat="1" applyFont="1" applyAlignment="1">
      <alignment vertical="center"/>
    </xf>
    <xf numFmtId="42" fontId="19" fillId="0" borderId="0" xfId="0" applyNumberFormat="1" applyFont="1" applyFill="1" applyAlignment="1">
      <alignment vertical="center"/>
    </xf>
    <xf numFmtId="22" fontId="17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/>
    </xf>
    <xf numFmtId="0" fontId="20" fillId="0" borderId="0" xfId="0" applyFont="1" applyAlignment="1">
      <alignment vertical="center" wrapText="1"/>
    </xf>
    <xf numFmtId="22" fontId="20" fillId="0" borderId="0" xfId="0" applyNumberFormat="1" applyFont="1" applyAlignment="1">
      <alignment vertical="center" wrapText="1"/>
    </xf>
    <xf numFmtId="42" fontId="18" fillId="0" borderId="0" xfId="0" applyNumberFormat="1" applyFont="1" applyFill="1" applyAlignment="1">
      <alignment vertical="center"/>
    </xf>
    <xf numFmtId="6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17" fontId="16" fillId="0" borderId="0" xfId="0" applyNumberFormat="1" applyFont="1" applyAlignment="1">
      <alignment horizontal="center" vertical="center"/>
    </xf>
    <xf numFmtId="42" fontId="21" fillId="5" borderId="0" xfId="0" applyNumberFormat="1" applyFont="1" applyFill="1"/>
    <xf numFmtId="42" fontId="16" fillId="0" borderId="0" xfId="1" applyFont="1" applyAlignment="1">
      <alignment vertical="center"/>
    </xf>
    <xf numFmtId="42" fontId="21" fillId="2" borderId="0" xfId="0" applyNumberFormat="1" applyFont="1" applyFill="1"/>
    <xf numFmtId="0" fontId="21" fillId="2" borderId="0" xfId="0" applyFont="1" applyFill="1"/>
  </cellXfs>
  <cellStyles count="3">
    <cellStyle name="Moneda [0]" xfId="1" builtinId="7"/>
    <cellStyle name="Normal" xfId="0" builtinId="0"/>
    <cellStyle name="Porcentaje" xfId="2" builtinId="5"/>
  </cellStyles>
  <dxfs count="64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32" formatCode="_ &quot;$&quot;* #,##0_ ;_ &quot;$&quot;* \-#,##0_ ;_ &quot;$&quot;* &quot;-&quot;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32" formatCode="_ &quot;$&quot;* #,##0_ ;_ &quot;$&quot;* \-#,##0_ ;_ &quot;$&quot;* &quot;-&quot;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27" formatCode="dd/mm/yyyy\ 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27" formatCode="dd/mm/yyyy\ 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  <numFmt numFmtId="30" formatCode="@"/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2" formatCode="_ &quot;$&quot;* #,##0_ ;_ &quot;$&quot;* \-#,##0_ ;_ &quot;$&quot;* &quot;-&quot;_ ;_ @_ "/>
    </dxf>
    <dxf>
      <font>
        <name val="Bogle"/>
        <scheme val="none"/>
      </font>
    </dxf>
    <dxf>
      <font>
        <name val="Bogle"/>
        <scheme val="none"/>
      </font>
    </dxf>
    <dxf>
      <font>
        <name val="Bogle"/>
        <scheme val="none"/>
      </font>
    </dxf>
    <dxf>
      <font>
        <sz val="9"/>
      </font>
    </dxf>
    <dxf>
      <font>
        <sz val="9"/>
      </font>
    </dxf>
    <dxf>
      <numFmt numFmtId="14" formatCode="0.00%"/>
    </dxf>
    <dxf>
      <alignment horizontal="center"/>
    </dxf>
    <dxf>
      <alignment horizontal="center"/>
    </dxf>
    <dxf>
      <numFmt numFmtId="13" formatCode="0%"/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name val="Montserrat Medium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Hoja4!$A$9:$A$37</c:f>
              <c:strCache>
                <c:ptCount val="24"/>
                <c:pt idx="0">
                  <c:v>Arriendo</c:v>
                </c:pt>
                <c:pt idx="1">
                  <c:v>Supermercado</c:v>
                </c:pt>
                <c:pt idx="2">
                  <c:v>Bencina y Otros Auto</c:v>
                </c:pt>
                <c:pt idx="3">
                  <c:v>Fintual</c:v>
                </c:pt>
                <c:pt idx="4">
                  <c:v>Transf. Katy</c:v>
                </c:pt>
                <c:pt idx="5">
                  <c:v>Gastos Comun</c:v>
                </c:pt>
                <c:pt idx="6">
                  <c:v>Ropa</c:v>
                </c:pt>
                <c:pt idx="7">
                  <c:v>Luz, agua, Internet</c:v>
                </c:pt>
                <c:pt idx="8">
                  <c:v>Gastos varios</c:v>
                </c:pt>
                <c:pt idx="9">
                  <c:v>Entretenimiento</c:v>
                </c:pt>
                <c:pt idx="10">
                  <c:v>Restaurant</c:v>
                </c:pt>
                <c:pt idx="11">
                  <c:v>Gas</c:v>
                </c:pt>
                <c:pt idx="12">
                  <c:v>Alimentación</c:v>
                </c:pt>
                <c:pt idx="13">
                  <c:v>Farmacia, Salud y Belleza</c:v>
                </c:pt>
                <c:pt idx="14">
                  <c:v>Regalos</c:v>
                </c:pt>
                <c:pt idx="15">
                  <c:v>Gimnasio</c:v>
                </c:pt>
                <c:pt idx="16">
                  <c:v>Credito Meli</c:v>
                </c:pt>
                <c:pt idx="17">
                  <c:v>Giro Cajero</c:v>
                </c:pt>
                <c:pt idx="18">
                  <c:v>Jardinero</c:v>
                </c:pt>
                <c:pt idx="19">
                  <c:v>Suscripción</c:v>
                </c:pt>
                <c:pt idx="20">
                  <c:v>Hogar</c:v>
                </c:pt>
                <c:pt idx="21">
                  <c:v>Estacionamiento</c:v>
                </c:pt>
                <c:pt idx="22">
                  <c:v>Adm. Tarjeta</c:v>
                </c:pt>
                <c:pt idx="23">
                  <c:v>Colegio</c:v>
                </c:pt>
              </c:strCache>
            </c:strRef>
          </c:cat>
          <c:val>
            <c:numRef>
              <c:f>Hoja4!$B$9:$B$37</c:f>
              <c:numCache>
                <c:formatCode>_("$"* #,##0_);_("$"* \(#,##0\);_("$"* "-"_);_(@_)</c:formatCode>
                <c:ptCount val="24"/>
                <c:pt idx="0">
                  <c:v>758000</c:v>
                </c:pt>
                <c:pt idx="1">
                  <c:v>466965</c:v>
                </c:pt>
                <c:pt idx="2">
                  <c:v>507685</c:v>
                </c:pt>
                <c:pt idx="3">
                  <c:v>397000</c:v>
                </c:pt>
                <c:pt idx="4">
                  <c:v>332091</c:v>
                </c:pt>
                <c:pt idx="5">
                  <c:v>206427</c:v>
                </c:pt>
                <c:pt idx="6">
                  <c:v>205195</c:v>
                </c:pt>
                <c:pt idx="7">
                  <c:v>184929</c:v>
                </c:pt>
                <c:pt idx="8">
                  <c:v>131977</c:v>
                </c:pt>
                <c:pt idx="9">
                  <c:v>135825</c:v>
                </c:pt>
                <c:pt idx="10">
                  <c:v>144857</c:v>
                </c:pt>
                <c:pt idx="11">
                  <c:v>92800</c:v>
                </c:pt>
                <c:pt idx="12">
                  <c:v>51154</c:v>
                </c:pt>
                <c:pt idx="13">
                  <c:v>43101</c:v>
                </c:pt>
                <c:pt idx="14">
                  <c:v>58032</c:v>
                </c:pt>
                <c:pt idx="15">
                  <c:v>27589</c:v>
                </c:pt>
                <c:pt idx="16">
                  <c:v>43028</c:v>
                </c:pt>
                <c:pt idx="17">
                  <c:v>30000</c:v>
                </c:pt>
                <c:pt idx="18">
                  <c:v>29200</c:v>
                </c:pt>
                <c:pt idx="19">
                  <c:v>11319</c:v>
                </c:pt>
                <c:pt idx="20">
                  <c:v>19990</c:v>
                </c:pt>
                <c:pt idx="21">
                  <c:v>5200</c:v>
                </c:pt>
                <c:pt idx="22">
                  <c:v>13604</c:v>
                </c:pt>
                <c:pt idx="23">
                  <c:v>13830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2-4F21-9268-080E109161B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Hoja4!$A$9:$A$37</c:f>
              <c:strCache>
                <c:ptCount val="24"/>
                <c:pt idx="0">
                  <c:v>Arriendo</c:v>
                </c:pt>
                <c:pt idx="1">
                  <c:v>Supermercado</c:v>
                </c:pt>
                <c:pt idx="2">
                  <c:v>Bencina y Otros Auto</c:v>
                </c:pt>
                <c:pt idx="3">
                  <c:v>Fintual</c:v>
                </c:pt>
                <c:pt idx="4">
                  <c:v>Transf. Katy</c:v>
                </c:pt>
                <c:pt idx="5">
                  <c:v>Gastos Comun</c:v>
                </c:pt>
                <c:pt idx="6">
                  <c:v>Ropa</c:v>
                </c:pt>
                <c:pt idx="7">
                  <c:v>Luz, agua, Internet</c:v>
                </c:pt>
                <c:pt idx="8">
                  <c:v>Gastos varios</c:v>
                </c:pt>
                <c:pt idx="9">
                  <c:v>Entretenimiento</c:v>
                </c:pt>
                <c:pt idx="10">
                  <c:v>Restaurant</c:v>
                </c:pt>
                <c:pt idx="11">
                  <c:v>Gas</c:v>
                </c:pt>
                <c:pt idx="12">
                  <c:v>Alimentación</c:v>
                </c:pt>
                <c:pt idx="13">
                  <c:v>Farmacia, Salud y Belleza</c:v>
                </c:pt>
                <c:pt idx="14">
                  <c:v>Regalos</c:v>
                </c:pt>
                <c:pt idx="15">
                  <c:v>Gimnasio</c:v>
                </c:pt>
                <c:pt idx="16">
                  <c:v>Credito Meli</c:v>
                </c:pt>
                <c:pt idx="17">
                  <c:v>Giro Cajero</c:v>
                </c:pt>
                <c:pt idx="18">
                  <c:v>Jardinero</c:v>
                </c:pt>
                <c:pt idx="19">
                  <c:v>Suscripción</c:v>
                </c:pt>
                <c:pt idx="20">
                  <c:v>Hogar</c:v>
                </c:pt>
                <c:pt idx="21">
                  <c:v>Estacionamiento</c:v>
                </c:pt>
                <c:pt idx="22">
                  <c:v>Adm. Tarjeta</c:v>
                </c:pt>
                <c:pt idx="23">
                  <c:v>Colegio</c:v>
                </c:pt>
              </c:strCache>
            </c:strRef>
          </c:cat>
          <c:val>
            <c:numRef>
              <c:f>Hoja4!$D$9:$D$38</c:f>
              <c:numCache>
                <c:formatCode>_("$"* #,##0_);_("$"* \(#,##0\);_("$"* "-"_);_(@_)</c:formatCode>
                <c:ptCount val="25"/>
                <c:pt idx="0">
                  <c:v>0</c:v>
                </c:pt>
                <c:pt idx="1">
                  <c:v>133035</c:v>
                </c:pt>
                <c:pt idx="2">
                  <c:v>72315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48023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31846</c:v>
                </c:pt>
                <c:pt idx="13">
                  <c:v>36899</c:v>
                </c:pt>
                <c:pt idx="14">
                  <c:v>0</c:v>
                </c:pt>
                <c:pt idx="15">
                  <c:v>27589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13681</c:v>
                </c:pt>
                <c:pt idx="20">
                  <c:v>0</c:v>
                </c:pt>
                <c:pt idx="21">
                  <c:v>4800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2-4F21-9268-080E10916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6371632"/>
        <c:axId val="5163807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Hoja4!$A$9:$A$37</c15:sqref>
                        </c15:formulaRef>
                      </c:ext>
                    </c:extLst>
                    <c:strCache>
                      <c:ptCount val="24"/>
                      <c:pt idx="0">
                        <c:v>Arriendo</c:v>
                      </c:pt>
                      <c:pt idx="1">
                        <c:v>Supermercado</c:v>
                      </c:pt>
                      <c:pt idx="2">
                        <c:v>Bencina y Otros Auto</c:v>
                      </c:pt>
                      <c:pt idx="3">
                        <c:v>Fintual</c:v>
                      </c:pt>
                      <c:pt idx="4">
                        <c:v>Transf. Katy</c:v>
                      </c:pt>
                      <c:pt idx="5">
                        <c:v>Gastos Comun</c:v>
                      </c:pt>
                      <c:pt idx="6">
                        <c:v>Ropa</c:v>
                      </c:pt>
                      <c:pt idx="7">
                        <c:v>Luz, agua, Internet</c:v>
                      </c:pt>
                      <c:pt idx="8">
                        <c:v>Gastos varios</c:v>
                      </c:pt>
                      <c:pt idx="9">
                        <c:v>Entretenimiento</c:v>
                      </c:pt>
                      <c:pt idx="10">
                        <c:v>Restaurant</c:v>
                      </c:pt>
                      <c:pt idx="11">
                        <c:v>Gas</c:v>
                      </c:pt>
                      <c:pt idx="12">
                        <c:v>Alimentación</c:v>
                      </c:pt>
                      <c:pt idx="13">
                        <c:v>Farmacia, Salud y Belleza</c:v>
                      </c:pt>
                      <c:pt idx="14">
                        <c:v>Regalos</c:v>
                      </c:pt>
                      <c:pt idx="15">
                        <c:v>Gimnasio</c:v>
                      </c:pt>
                      <c:pt idx="16">
                        <c:v>Credito Meli</c:v>
                      </c:pt>
                      <c:pt idx="17">
                        <c:v>Giro Cajero</c:v>
                      </c:pt>
                      <c:pt idx="18">
                        <c:v>Jardinero</c:v>
                      </c:pt>
                      <c:pt idx="19">
                        <c:v>Suscripción</c:v>
                      </c:pt>
                      <c:pt idx="20">
                        <c:v>Hogar</c:v>
                      </c:pt>
                      <c:pt idx="21">
                        <c:v>Estacionamiento</c:v>
                      </c:pt>
                      <c:pt idx="22">
                        <c:v>Adm. Tarjeta</c:v>
                      </c:pt>
                      <c:pt idx="23">
                        <c:v>Colegio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Hoja4!$C$8:$C$37</c15:sqref>
                        </c15:formulaRef>
                      </c:ext>
                    </c:extLst>
                    <c:numCache>
                      <c:formatCode>_("$"* #,##0_);_("$"* \(#,##0\);_("$"* "-"_);_(@_)</c:formatCode>
                      <c:ptCount val="25"/>
                      <c:pt idx="0" formatCode="General">
                        <c:v>0</c:v>
                      </c:pt>
                      <c:pt idx="1">
                        <c:v>758000</c:v>
                      </c:pt>
                      <c:pt idx="2">
                        <c:v>600000</c:v>
                      </c:pt>
                      <c:pt idx="3">
                        <c:v>580000</c:v>
                      </c:pt>
                      <c:pt idx="4">
                        <c:v>397000</c:v>
                      </c:pt>
                      <c:pt idx="5">
                        <c:v>332091</c:v>
                      </c:pt>
                      <c:pt idx="6">
                        <c:v>206427</c:v>
                      </c:pt>
                      <c:pt idx="7">
                        <c:v>205195</c:v>
                      </c:pt>
                      <c:pt idx="8">
                        <c:v>184929</c:v>
                      </c:pt>
                      <c:pt idx="9">
                        <c:v>180000</c:v>
                      </c:pt>
                      <c:pt idx="10">
                        <c:v>135825</c:v>
                      </c:pt>
                      <c:pt idx="11">
                        <c:v>144857</c:v>
                      </c:pt>
                      <c:pt idx="12">
                        <c:v>92800</c:v>
                      </c:pt>
                      <c:pt idx="13">
                        <c:v>83000</c:v>
                      </c:pt>
                      <c:pt idx="14">
                        <c:v>80000</c:v>
                      </c:pt>
                      <c:pt idx="15">
                        <c:v>58032</c:v>
                      </c:pt>
                      <c:pt idx="16">
                        <c:v>55178</c:v>
                      </c:pt>
                      <c:pt idx="17">
                        <c:v>43028</c:v>
                      </c:pt>
                      <c:pt idx="18">
                        <c:v>30000</c:v>
                      </c:pt>
                      <c:pt idx="19">
                        <c:v>29200</c:v>
                      </c:pt>
                      <c:pt idx="20">
                        <c:v>25000</c:v>
                      </c:pt>
                      <c:pt idx="21">
                        <c:v>19990</c:v>
                      </c:pt>
                      <c:pt idx="22">
                        <c:v>10000</c:v>
                      </c:pt>
                      <c:pt idx="23">
                        <c:v>13604</c:v>
                      </c:pt>
                      <c:pt idx="24">
                        <c:v>13830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6D2-4F21-9268-080E109161B1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Hoja4!$A$9:$A$37</c15:sqref>
                        </c15:formulaRef>
                      </c:ext>
                    </c:extLst>
                    <c:strCache>
                      <c:ptCount val="24"/>
                      <c:pt idx="0">
                        <c:v>Arriendo</c:v>
                      </c:pt>
                      <c:pt idx="1">
                        <c:v>Supermercado</c:v>
                      </c:pt>
                      <c:pt idx="2">
                        <c:v>Bencina y Otros Auto</c:v>
                      </c:pt>
                      <c:pt idx="3">
                        <c:v>Fintual</c:v>
                      </c:pt>
                      <c:pt idx="4">
                        <c:v>Transf. Katy</c:v>
                      </c:pt>
                      <c:pt idx="5">
                        <c:v>Gastos Comun</c:v>
                      </c:pt>
                      <c:pt idx="6">
                        <c:v>Ropa</c:v>
                      </c:pt>
                      <c:pt idx="7">
                        <c:v>Luz, agua, Internet</c:v>
                      </c:pt>
                      <c:pt idx="8">
                        <c:v>Gastos varios</c:v>
                      </c:pt>
                      <c:pt idx="9">
                        <c:v>Entretenimiento</c:v>
                      </c:pt>
                      <c:pt idx="10">
                        <c:v>Restaurant</c:v>
                      </c:pt>
                      <c:pt idx="11">
                        <c:v>Gas</c:v>
                      </c:pt>
                      <c:pt idx="12">
                        <c:v>Alimentación</c:v>
                      </c:pt>
                      <c:pt idx="13">
                        <c:v>Farmacia, Salud y Belleza</c:v>
                      </c:pt>
                      <c:pt idx="14">
                        <c:v>Regalos</c:v>
                      </c:pt>
                      <c:pt idx="15">
                        <c:v>Gimnasio</c:v>
                      </c:pt>
                      <c:pt idx="16">
                        <c:v>Credito Meli</c:v>
                      </c:pt>
                      <c:pt idx="17">
                        <c:v>Giro Cajero</c:v>
                      </c:pt>
                      <c:pt idx="18">
                        <c:v>Jardinero</c:v>
                      </c:pt>
                      <c:pt idx="19">
                        <c:v>Suscripción</c:v>
                      </c:pt>
                      <c:pt idx="20">
                        <c:v>Hogar</c:v>
                      </c:pt>
                      <c:pt idx="21">
                        <c:v>Estacionamiento</c:v>
                      </c:pt>
                      <c:pt idx="22">
                        <c:v>Adm. Tarjeta</c:v>
                      </c:pt>
                      <c:pt idx="23">
                        <c:v>Colegio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Hoja4!$G$8:$G$37</c15:sqref>
                        </c15:formulaRef>
                      </c:ext>
                    </c:extLst>
                    <c:numCache>
                      <c:formatCode>_("$"* #,##0_);_("$"* \(#,##0\);_("$"* "-"_);_(@_)</c:formatCode>
                      <c:ptCount val="25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D2-4F21-9268-080E109161B1}"/>
                  </c:ext>
                </c:extLst>
              </c15:ser>
            </c15:filteredBarSeries>
          </c:ext>
        </c:extLst>
      </c:barChart>
      <c:catAx>
        <c:axId val="51637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6380784"/>
        <c:crosses val="autoZero"/>
        <c:auto val="1"/>
        <c:lblAlgn val="ctr"/>
        <c:lblOffset val="100"/>
        <c:noMultiLvlLbl val="0"/>
      </c:catAx>
      <c:valAx>
        <c:axId val="51638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63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Gasto real vs presupuesto - principales categorías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Real ($)</c:v>
          </c:tx>
          <c:invertIfNegative val="1"/>
          <c:cat>
            <c:strRef>
              <c:f>'[1]Dashboard Familiar'!$A$14:$A$22</c:f>
              <c:strCache>
                <c:ptCount val="9"/>
                <c:pt idx="0">
                  <c:v>Arriendo</c:v>
                </c:pt>
                <c:pt idx="1">
                  <c:v>Supermercado</c:v>
                </c:pt>
                <c:pt idx="2">
                  <c:v>Bencina y Otros Auto</c:v>
                </c:pt>
                <c:pt idx="3">
                  <c:v>Cumple Fer</c:v>
                </c:pt>
                <c:pt idx="4">
                  <c:v>Transf. Katy</c:v>
                </c:pt>
                <c:pt idx="5">
                  <c:v>Luz, agua, Internet</c:v>
                </c:pt>
                <c:pt idx="6">
                  <c:v>Gastos varios</c:v>
                </c:pt>
                <c:pt idx="7">
                  <c:v>Fiestas patrias</c:v>
                </c:pt>
                <c:pt idx="8">
                  <c:v>Gastos Comun</c:v>
                </c:pt>
              </c:strCache>
            </c:strRef>
          </c:cat>
          <c:val>
            <c:numRef>
              <c:f>'[1]Dashboard Familiar'!$B$14:$B$22</c:f>
              <c:numCache>
                <c:formatCode>General</c:formatCode>
                <c:ptCount val="9"/>
                <c:pt idx="0">
                  <c:v>758000</c:v>
                </c:pt>
                <c:pt idx="1">
                  <c:v>321607</c:v>
                </c:pt>
                <c:pt idx="2">
                  <c:v>191036</c:v>
                </c:pt>
                <c:pt idx="3">
                  <c:v>348647</c:v>
                </c:pt>
                <c:pt idx="4">
                  <c:v>259311</c:v>
                </c:pt>
                <c:pt idx="5">
                  <c:v>62812</c:v>
                </c:pt>
                <c:pt idx="6">
                  <c:v>81213</c:v>
                </c:pt>
                <c:pt idx="7">
                  <c:v>34040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C-4DBE-B4FC-08A815ABBE7C}"/>
            </c:ext>
          </c:extLst>
        </c:ser>
        <c:ser>
          <c:idx val="1"/>
          <c:order val="1"/>
          <c:tx>
            <c:v>Presupuesto ($)</c:v>
          </c:tx>
          <c:invertIfNegative val="1"/>
          <c:cat>
            <c:strRef>
              <c:f>'[1]Dashboard Familiar'!$A$14:$A$22</c:f>
              <c:strCache>
                <c:ptCount val="9"/>
                <c:pt idx="0">
                  <c:v>Arriendo</c:v>
                </c:pt>
                <c:pt idx="1">
                  <c:v>Supermercado</c:v>
                </c:pt>
                <c:pt idx="2">
                  <c:v>Bencina y Otros Auto</c:v>
                </c:pt>
                <c:pt idx="3">
                  <c:v>Cumple Fer</c:v>
                </c:pt>
                <c:pt idx="4">
                  <c:v>Transf. Katy</c:v>
                </c:pt>
                <c:pt idx="5">
                  <c:v>Luz, agua, Internet</c:v>
                </c:pt>
                <c:pt idx="6">
                  <c:v>Gastos varios</c:v>
                </c:pt>
                <c:pt idx="7">
                  <c:v>Fiestas patrias</c:v>
                </c:pt>
                <c:pt idx="8">
                  <c:v>Gastos Comun</c:v>
                </c:pt>
              </c:strCache>
            </c:strRef>
          </c:cat>
          <c:val>
            <c:numRef>
              <c:f>'[1]Dashboard Familiar'!$C$14:$C$22</c:f>
              <c:numCache>
                <c:formatCode>General</c:formatCode>
                <c:ptCount val="9"/>
                <c:pt idx="0">
                  <c:v>758000</c:v>
                </c:pt>
                <c:pt idx="1">
                  <c:v>650000</c:v>
                </c:pt>
                <c:pt idx="2">
                  <c:v>350000</c:v>
                </c:pt>
                <c:pt idx="3">
                  <c:v>348647</c:v>
                </c:pt>
                <c:pt idx="4">
                  <c:v>290000</c:v>
                </c:pt>
                <c:pt idx="5">
                  <c:v>167781</c:v>
                </c:pt>
                <c:pt idx="6">
                  <c:v>150000</c:v>
                </c:pt>
                <c:pt idx="7">
                  <c:v>150000</c:v>
                </c:pt>
                <c:pt idx="8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C-4DBE-B4FC-08A815ABB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9085</xdr:colOff>
      <xdr:row>6</xdr:row>
      <xdr:rowOff>72097</xdr:rowOff>
    </xdr:from>
    <xdr:to>
      <xdr:col>18</xdr:col>
      <xdr:colOff>51289</xdr:colOff>
      <xdr:row>38</xdr:row>
      <xdr:rowOff>37807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5A554A-8EA1-4120-A58B-F6CE2885D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190499</xdr:rowOff>
    </xdr:from>
    <xdr:to>
      <xdr:col>12</xdr:col>
      <xdr:colOff>0</xdr:colOff>
      <xdr:row>52</xdr:row>
      <xdr:rowOff>66674</xdr:rowOff>
    </xdr:to>
    <xdr:graphicFrame macro="">
      <xdr:nvGraphicFramePr>
        <xdr:cNvPr id="2" nam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supuesto_familiar_2026_mejorado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5"/>
      <sheetName val="Hoja4"/>
      <sheetName val="Historico"/>
      <sheetName val="Hoja2"/>
      <sheetName val="MOVIMIENTOS"/>
      <sheetName val="Dashboard Familiar"/>
    </sheetNames>
    <sheetDataSet>
      <sheetData sheetId="0"/>
      <sheetData sheetId="1"/>
      <sheetData sheetId="2"/>
      <sheetData sheetId="3"/>
      <sheetData sheetId="4"/>
      <sheetData sheetId="5">
        <row r="14">
          <cell r="A14" t="str">
            <v>Arriendo</v>
          </cell>
          <cell r="B14">
            <v>758000</v>
          </cell>
          <cell r="C14">
            <v>758000</v>
          </cell>
        </row>
        <row r="15">
          <cell r="A15" t="str">
            <v>Supermercado</v>
          </cell>
          <cell r="B15">
            <v>321607</v>
          </cell>
          <cell r="C15">
            <v>650000</v>
          </cell>
        </row>
        <row r="16">
          <cell r="A16" t="str">
            <v>Bencina y Otros Auto</v>
          </cell>
          <cell r="B16">
            <v>191036</v>
          </cell>
          <cell r="C16">
            <v>350000</v>
          </cell>
        </row>
        <row r="17">
          <cell r="A17" t="str">
            <v>Cumple Fer</v>
          </cell>
          <cell r="B17">
            <v>348647</v>
          </cell>
          <cell r="C17">
            <v>348647</v>
          </cell>
        </row>
        <row r="18">
          <cell r="A18" t="str">
            <v>Transf. Katy</v>
          </cell>
          <cell r="B18">
            <v>259311</v>
          </cell>
          <cell r="C18">
            <v>290000</v>
          </cell>
        </row>
        <row r="19">
          <cell r="A19" t="str">
            <v>Luz, agua, Internet</v>
          </cell>
          <cell r="B19">
            <v>62812</v>
          </cell>
          <cell r="C19">
            <v>167781</v>
          </cell>
        </row>
        <row r="20">
          <cell r="A20" t="str">
            <v>Gastos varios</v>
          </cell>
          <cell r="B20">
            <v>81213</v>
          </cell>
          <cell r="C20">
            <v>150000</v>
          </cell>
        </row>
        <row r="21">
          <cell r="A21" t="str">
            <v>Fiestas patrias</v>
          </cell>
          <cell r="B21">
            <v>34040</v>
          </cell>
          <cell r="C21">
            <v>150000</v>
          </cell>
        </row>
        <row r="22">
          <cell r="A22" t="str">
            <v>Gastos Comun</v>
          </cell>
          <cell r="B22">
            <v>0</v>
          </cell>
          <cell r="C22">
            <v>120000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6.700417939814" createdVersion="7" refreshedVersion="6" minRefreshableVersion="3" recordCount="2415">
  <cacheSource type="worksheet">
    <worksheetSource ref="B10:I2425" sheet="Historico"/>
  </cacheSource>
  <cacheFields count="8">
    <cacheField name="MES" numFmtId="49">
      <sharedItems containsBlank="1" count="17">
        <s v="2026.10 OCTUBRE"/>
        <s v="2026.09 SEPTIEMBRE"/>
        <s v="2026.08 AGOSTO"/>
        <s v="2025.10 OCTUBRE"/>
        <s v="2025.09 SEPTIEMBRE"/>
        <s v="2025.08 AGOSTO"/>
        <s v="2025.07 JULIO"/>
        <s v="2025.06 JUNIO"/>
        <s v="2025.05 MAYO"/>
        <s v="2025.04 ABRIL"/>
        <s v="2025.03 MARZO"/>
        <m u="1"/>
        <s v="ABRIL 2025" u="1"/>
        <s v="JULIO 2025" u="1"/>
        <s v="JUNIO 2025" u="1"/>
        <s v="MARZO 2025" u="1"/>
        <s v="MAYO 2025" u="1"/>
      </sharedItems>
    </cacheField>
    <cacheField name="FECHA" numFmtId="22">
      <sharedItems containsSemiMixedTypes="0" containsNonDate="0" containsDate="1" containsString="0" minDate="2025-02-28T15:05:00" maxDate="2026-10-22T00:00:00"/>
    </cacheField>
    <cacheField name="DESCRIPCIÓN" numFmtId="0">
      <sharedItems/>
    </cacheField>
    <cacheField name="MONTO ($)" numFmtId="42">
      <sharedItems containsSemiMixedTypes="0" containsString="0" containsNumber="1" containsInteger="1" minValue="-4097508" maxValue="864000"/>
    </cacheField>
    <cacheField name="ABONO/CARGO" numFmtId="0">
      <sharedItems containsBlank="1" count="4">
        <s v="Abono"/>
        <s v="Cargo"/>
        <m u="1"/>
        <s v="Cargo Tarj. Credito" u="1"/>
      </sharedItems>
    </cacheField>
    <cacheField name="DEB/CRED." numFmtId="0">
      <sharedItems containsBlank="1" count="6">
        <m/>
        <s v="Debito"/>
        <s v="BCI"/>
        <s v="Tarj. Credito"/>
        <s v="Efectivo"/>
        <s v="Tarj. Credito BF"/>
      </sharedItems>
    </cacheField>
    <cacheField name="FIJO/VAR." numFmtId="0">
      <sharedItems containsBlank="1" count="4">
        <m/>
        <s v="Gastos Variables"/>
        <s v="Gastos Fijos"/>
        <s v="Ahorro"/>
      </sharedItems>
    </cacheField>
    <cacheField name="CATEGORIA" numFmtId="0">
      <sharedItems containsBlank="1" count="55">
        <s v="Beneficio Meli"/>
        <s v="Colegio"/>
        <s v="Gastos varios"/>
        <s v="Alimentación"/>
        <s v="Suscripción"/>
        <s v="Uber"/>
        <s v="Supermercado"/>
        <s v="Bencina y Otros Auto"/>
        <s v="Transf. Katy"/>
        <s v="Ahorro"/>
        <s v="Restaurant"/>
        <s v="Regalos"/>
        <s v="Ropa"/>
        <s v="Jardinero"/>
        <s v="Gas"/>
        <s v="Giro Cajero"/>
        <s v="Fintual"/>
        <s v="Entretenimiento"/>
        <s v="Hogar"/>
        <s v="Estacionamiento"/>
        <s v="Finiquito"/>
        <s v="Gimnasio"/>
        <s v="Arriendo"/>
        <s v="Credito Meli"/>
        <s v="Farmacia, Salud y Belleza"/>
        <s v="Adm. Tarjeta"/>
        <s v="Luz, agua, Internet"/>
        <s v="Gastos Comun"/>
        <s v="Remuneración"/>
        <s v="Ingresos Katy"/>
        <s v="Fiestas patrias"/>
        <s v="Aguinaldo"/>
        <s v="Bono Gobierno"/>
        <s v="Cumple Fer"/>
        <s v="Deuda"/>
        <m/>
        <s v="Rendición WM"/>
        <s v="TAG"/>
        <s v="AFC"/>
        <s v="Otros Abono"/>
        <s v="Prestamos"/>
        <s v="Bono"/>
        <s v="Entretanimiento" u="1"/>
        <s v="Gas " u="1"/>
        <s v="Colegio Var." u="1"/>
        <s v="Bencina" u="1"/>
        <s v="Auto" u="1"/>
        <s v="Transf. Katy Fijo" u="1"/>
        <s v="Transferencia FA Tapp" u="1"/>
        <s v="Estudios Katy" u="1"/>
        <s v="Unired" u="1"/>
        <s v="Transferencia Fernando" u="1"/>
        <s v="Colegio Fijo" u="1"/>
        <s v="Tarjeta Ripley" u="1"/>
        <s v="Transf. Katy Var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5">
  <r>
    <x v="0"/>
    <d v="2026-10-21T00:00:00"/>
    <s v="Meli Dólar"/>
    <n v="-38"/>
    <x v="0"/>
    <x v="0"/>
    <x v="0"/>
    <x v="0"/>
  </r>
  <r>
    <x v="0"/>
    <d v="2026-10-21T00:00:00"/>
    <s v="Libreria Artelapiz"/>
    <n v="7630"/>
    <x v="1"/>
    <x v="1"/>
    <x v="1"/>
    <x v="1"/>
  </r>
  <r>
    <x v="0"/>
    <d v="2026-10-21T00:00:00"/>
    <s v="Meli Dólar"/>
    <n v="-4"/>
    <x v="0"/>
    <x v="0"/>
    <x v="0"/>
    <x v="0"/>
  </r>
  <r>
    <x v="0"/>
    <d v="2026-10-21T00:00:00"/>
    <s v="Outletfit"/>
    <n v="700"/>
    <x v="1"/>
    <x v="1"/>
    <x v="1"/>
    <x v="2"/>
  </r>
  <r>
    <x v="0"/>
    <d v="2026-10-21T00:00:00"/>
    <s v="Meli Dólar"/>
    <n v="-22"/>
    <x v="0"/>
    <x v="0"/>
    <x v="0"/>
    <x v="0"/>
  </r>
  <r>
    <x v="0"/>
    <d v="2026-10-21T00:00:00"/>
    <s v="Sodexochile"/>
    <n v="4459"/>
    <x v="1"/>
    <x v="1"/>
    <x v="2"/>
    <x v="3"/>
  </r>
  <r>
    <x v="0"/>
    <d v="2026-10-21T00:00:00"/>
    <s v="Meli+"/>
    <n v="2990"/>
    <x v="1"/>
    <x v="1"/>
    <x v="2"/>
    <x v="4"/>
  </r>
  <r>
    <x v="0"/>
    <d v="2026-10-21T00:00:00"/>
    <s v="Meli Dólar"/>
    <n v="-9"/>
    <x v="0"/>
    <x v="0"/>
    <x v="0"/>
    <x v="0"/>
  </r>
  <r>
    <x v="0"/>
    <d v="2026-10-21T00:00:00"/>
    <s v="Sodexochile"/>
    <n v="1700"/>
    <x v="1"/>
    <x v="1"/>
    <x v="1"/>
    <x v="2"/>
  </r>
  <r>
    <x v="0"/>
    <d v="2026-10-20T00:00:00"/>
    <s v="Uber Pagos Chile"/>
    <n v="-93410"/>
    <x v="0"/>
    <x v="0"/>
    <x v="0"/>
    <x v="5"/>
  </r>
  <r>
    <x v="0"/>
    <d v="2026-10-20T00:00:00"/>
    <s v="Mercado Pago"/>
    <n v="-3"/>
    <x v="0"/>
    <x v="0"/>
    <x v="0"/>
    <x v="0"/>
  </r>
  <r>
    <x v="0"/>
    <d v="2026-10-20T00:00:00"/>
    <s v="Meli Dólar"/>
    <n v="-20"/>
    <x v="0"/>
    <x v="0"/>
    <x v="0"/>
    <x v="0"/>
  </r>
  <r>
    <x v="0"/>
    <d v="2026-10-20T00:00:00"/>
    <s v="Saudaveis"/>
    <n v="3960"/>
    <x v="1"/>
    <x v="1"/>
    <x v="1"/>
    <x v="2"/>
  </r>
  <r>
    <x v="0"/>
    <d v="2026-10-20T00:00:00"/>
    <s v="Meli Dólar"/>
    <n v="-26"/>
    <x v="0"/>
    <x v="0"/>
    <x v="0"/>
    <x v="0"/>
  </r>
  <r>
    <x v="0"/>
    <d v="2026-10-20T00:00:00"/>
    <s v="Fudo La Fika Panade"/>
    <n v="5190"/>
    <x v="1"/>
    <x v="1"/>
    <x v="1"/>
    <x v="2"/>
  </r>
  <r>
    <x v="0"/>
    <d v="2026-10-20T00:00:00"/>
    <s v="Meli Dólar"/>
    <n v="-177"/>
    <x v="0"/>
    <x v="0"/>
    <x v="0"/>
    <x v="0"/>
  </r>
  <r>
    <x v="0"/>
    <d v="2026-10-20T00:00:00"/>
    <s v="Unimarc Vicente Valdes"/>
    <n v="35392"/>
    <x v="1"/>
    <x v="1"/>
    <x v="1"/>
    <x v="6"/>
  </r>
  <r>
    <x v="0"/>
    <d v="2026-10-20T00:00:00"/>
    <s v="Meli Dólar"/>
    <n v="-159"/>
    <x v="0"/>
    <x v="0"/>
    <x v="0"/>
    <x v="0"/>
  </r>
  <r>
    <x v="0"/>
    <d v="2026-10-20T00:00:00"/>
    <s v="Walker Martinez 315"/>
    <n v="31890"/>
    <x v="1"/>
    <x v="1"/>
    <x v="1"/>
    <x v="6"/>
  </r>
  <r>
    <x v="0"/>
    <d v="2026-10-20T00:00:00"/>
    <s v="Meli Dólar"/>
    <n v="-50"/>
    <x v="0"/>
    <x v="0"/>
    <x v="0"/>
    <x v="0"/>
  </r>
  <r>
    <x v="0"/>
    <d v="2026-10-20T00:00:00"/>
    <s v="Shell.f522 Av.p.ed Mon"/>
    <n v="10000"/>
    <x v="1"/>
    <x v="1"/>
    <x v="1"/>
    <x v="7"/>
  </r>
  <r>
    <x v="0"/>
    <d v="2026-10-20T00:00:00"/>
    <s v="Meli Dólar"/>
    <n v="-9"/>
    <x v="0"/>
    <x v="0"/>
    <x v="0"/>
    <x v="0"/>
  </r>
  <r>
    <x v="0"/>
    <d v="2026-10-20T00:00:00"/>
    <s v="Sodexochile"/>
    <n v="1700"/>
    <x v="1"/>
    <x v="1"/>
    <x v="1"/>
    <x v="2"/>
  </r>
  <r>
    <x v="0"/>
    <d v="2026-10-19T00:00:00"/>
    <s v="Google One"/>
    <n v="1790"/>
    <x v="1"/>
    <x v="1"/>
    <x v="2"/>
    <x v="4"/>
  </r>
  <r>
    <x v="0"/>
    <d v="2026-10-19T00:00:00"/>
    <s v="Mercado Pago"/>
    <n v="-4"/>
    <x v="0"/>
    <x v="0"/>
    <x v="0"/>
    <x v="0"/>
  </r>
  <r>
    <x v="0"/>
    <d v="2026-10-19T00:00:00"/>
    <s v="Meli Dólar"/>
    <n v="-22"/>
    <x v="0"/>
    <x v="0"/>
    <x v="0"/>
    <x v="0"/>
  </r>
  <r>
    <x v="0"/>
    <d v="2026-10-19T00:00:00"/>
    <s v="Sodexochile"/>
    <n v="4459"/>
    <x v="1"/>
    <x v="1"/>
    <x v="2"/>
    <x v="3"/>
  </r>
  <r>
    <x v="0"/>
    <d v="2026-10-19T00:00:00"/>
    <s v="Alejandra Bozo"/>
    <n v="14000"/>
    <x v="1"/>
    <x v="1"/>
    <x v="1"/>
    <x v="8"/>
  </r>
  <r>
    <x v="0"/>
    <d v="2026-10-19T00:00:00"/>
    <s v="Ingreso de dinero"/>
    <n v="-106105"/>
    <x v="0"/>
    <x v="0"/>
    <x v="0"/>
    <x v="9"/>
  </r>
  <r>
    <x v="0"/>
    <d v="2026-10-19T00:00:00"/>
    <s v="Meli Dólar"/>
    <n v="-8"/>
    <x v="0"/>
    <x v="0"/>
    <x v="0"/>
    <x v="0"/>
  </r>
  <r>
    <x v="0"/>
    <d v="2026-10-19T00:00:00"/>
    <s v="Sodexochile"/>
    <n v="1500"/>
    <x v="1"/>
    <x v="1"/>
    <x v="1"/>
    <x v="2"/>
  </r>
  <r>
    <x v="0"/>
    <d v="2026-10-18T00:00:00"/>
    <s v="Meli Dólar"/>
    <n v="-13"/>
    <x v="0"/>
    <x v="0"/>
    <x v="0"/>
    <x v="0"/>
  </r>
  <r>
    <x v="0"/>
    <d v="2026-10-18T00:00:00"/>
    <s v="Unimarc Rojas Magallan"/>
    <n v="2530"/>
    <x v="1"/>
    <x v="1"/>
    <x v="1"/>
    <x v="6"/>
  </r>
  <r>
    <x v="0"/>
    <d v="2026-10-18T00:00:00"/>
    <s v="Meli Dólar"/>
    <n v="-31"/>
    <x v="0"/>
    <x v="0"/>
    <x v="0"/>
    <x v="0"/>
  </r>
  <r>
    <x v="0"/>
    <d v="2026-10-18T00:00:00"/>
    <s v="Importadora Azul"/>
    <n v="6200"/>
    <x v="1"/>
    <x v="1"/>
    <x v="1"/>
    <x v="1"/>
  </r>
  <r>
    <x v="0"/>
    <d v="2026-10-18T00:00:00"/>
    <s v="Venta de Meli Dólar"/>
    <n v="-1065"/>
    <x v="0"/>
    <x v="0"/>
    <x v="0"/>
    <x v="0"/>
  </r>
  <r>
    <x v="0"/>
    <d v="2026-10-18T00:00:00"/>
    <s v="Meli Dólar"/>
    <n v="-110"/>
    <x v="0"/>
    <x v="0"/>
    <x v="0"/>
    <x v="0"/>
  </r>
  <r>
    <x v="0"/>
    <d v="2026-10-18T00:00:00"/>
    <s v="Walker Martinez 315"/>
    <n v="21970"/>
    <x v="1"/>
    <x v="1"/>
    <x v="1"/>
    <x v="6"/>
  </r>
  <r>
    <x v="0"/>
    <d v="2026-10-18T00:00:00"/>
    <s v="Ingreso de dinero"/>
    <n v="-2400"/>
    <x v="0"/>
    <x v="0"/>
    <x v="0"/>
    <x v="5"/>
  </r>
  <r>
    <x v="0"/>
    <d v="2026-10-17T00:00:00"/>
    <s v="Copec Copec La Flori"/>
    <n v="3590"/>
    <x v="1"/>
    <x v="1"/>
    <x v="1"/>
    <x v="2"/>
  </r>
  <r>
    <x v="0"/>
    <d v="2026-10-17T00:00:00"/>
    <s v="Meli Dólar"/>
    <n v="-50"/>
    <x v="0"/>
    <x v="0"/>
    <x v="0"/>
    <x v="0"/>
  </r>
  <r>
    <x v="0"/>
    <d v="2026-10-17T00:00:00"/>
    <s v="Aramco"/>
    <n v="10004"/>
    <x v="1"/>
    <x v="1"/>
    <x v="1"/>
    <x v="7"/>
  </r>
  <r>
    <x v="0"/>
    <d v="2026-10-17T00:00:00"/>
    <s v="Fernando Javier Arriagada Concha"/>
    <n v="2000"/>
    <x v="1"/>
    <x v="1"/>
    <x v="1"/>
    <x v="2"/>
  </r>
  <r>
    <x v="0"/>
    <d v="2026-10-17T00:00:00"/>
    <s v="Ingreso de dinero"/>
    <n v="-7800"/>
    <x v="0"/>
    <x v="0"/>
    <x v="0"/>
    <x v="5"/>
  </r>
  <r>
    <x v="0"/>
    <d v="2026-10-17T00:00:00"/>
    <s v="Gonzalez, Gonzalez Y Compania Gonzalez, Gonzalez Y Compania"/>
    <n v="3280"/>
    <x v="1"/>
    <x v="1"/>
    <x v="1"/>
    <x v="2"/>
  </r>
  <r>
    <x v="0"/>
    <d v="2026-10-17T00:00:00"/>
    <s v="Meli Dólar"/>
    <n v="-4"/>
    <x v="0"/>
    <x v="0"/>
    <x v="0"/>
    <x v="0"/>
  </r>
  <r>
    <x v="0"/>
    <d v="2026-10-17T00:00:00"/>
    <s v="Outletfit"/>
    <n v="700"/>
    <x v="1"/>
    <x v="1"/>
    <x v="1"/>
    <x v="2"/>
  </r>
  <r>
    <x v="0"/>
    <d v="2026-10-17T00:00:00"/>
    <s v="Ingreso de dinero"/>
    <n v="-5200"/>
    <x v="0"/>
    <x v="0"/>
    <x v="0"/>
    <x v="5"/>
  </r>
  <r>
    <x v="0"/>
    <d v="2026-10-17T00:00:00"/>
    <s v="Meli Dólar"/>
    <n v="-75"/>
    <x v="0"/>
    <x v="0"/>
    <x v="0"/>
    <x v="0"/>
  </r>
  <r>
    <x v="0"/>
    <d v="2026-10-17T00:00:00"/>
    <s v="Micopiloto F102"/>
    <n v="15000"/>
    <x v="1"/>
    <x v="1"/>
    <x v="1"/>
    <x v="7"/>
  </r>
  <r>
    <x v="0"/>
    <d v="2026-10-17T00:00:00"/>
    <s v="Meli Dólar"/>
    <n v="-1"/>
    <x v="0"/>
    <x v="0"/>
    <x v="0"/>
    <x v="0"/>
  </r>
  <r>
    <x v="0"/>
    <d v="2026-10-17T00:00:00"/>
    <s v="Parking"/>
    <n v="250"/>
    <x v="1"/>
    <x v="1"/>
    <x v="1"/>
    <x v="2"/>
  </r>
  <r>
    <x v="0"/>
    <d v="2026-10-17T00:00:00"/>
    <s v="Meli Dólar"/>
    <n v="-132"/>
    <x v="0"/>
    <x v="0"/>
    <x v="0"/>
    <x v="0"/>
  </r>
  <r>
    <x v="0"/>
    <d v="2026-10-17T00:00:00"/>
    <s v="Mass"/>
    <n v="26320"/>
    <x v="1"/>
    <x v="1"/>
    <x v="1"/>
    <x v="6"/>
  </r>
  <r>
    <x v="0"/>
    <d v="2026-10-16T00:00:00"/>
    <s v="Uber Pagos Chile"/>
    <n v="-32007"/>
    <x v="0"/>
    <x v="0"/>
    <x v="0"/>
    <x v="5"/>
  </r>
  <r>
    <x v="0"/>
    <d v="2026-10-16T00:00:00"/>
    <s v="Pedidosya"/>
    <n v="12990"/>
    <x v="1"/>
    <x v="1"/>
    <x v="1"/>
    <x v="6"/>
  </r>
  <r>
    <x v="0"/>
    <d v="2026-10-16T00:00:00"/>
    <s v="Mercado Pago"/>
    <n v="-12"/>
    <x v="0"/>
    <x v="0"/>
    <x v="0"/>
    <x v="0"/>
  </r>
  <r>
    <x v="0"/>
    <d v="2026-10-16T00:00:00"/>
    <s v="Meli Dólar"/>
    <n v="-23"/>
    <x v="0"/>
    <x v="0"/>
    <x v="0"/>
    <x v="0"/>
  </r>
  <r>
    <x v="0"/>
    <d v="2026-10-16T00:00:00"/>
    <s v="Pica Pica Spa"/>
    <n v="4500"/>
    <x v="1"/>
    <x v="1"/>
    <x v="1"/>
    <x v="10"/>
  </r>
  <r>
    <x v="0"/>
    <d v="2026-10-16T00:00:00"/>
    <s v="Meli Dólar"/>
    <n v="-103"/>
    <x v="0"/>
    <x v="0"/>
    <x v="0"/>
    <x v="0"/>
  </r>
  <r>
    <x v="0"/>
    <d v="2026-10-16T00:00:00"/>
    <s v="Pica Pica Spa"/>
    <n v="20500"/>
    <x v="1"/>
    <x v="1"/>
    <x v="1"/>
    <x v="10"/>
  </r>
  <r>
    <x v="0"/>
    <d v="2026-10-16T00:00:00"/>
    <s v="Meli Dólar"/>
    <n v="-11"/>
    <x v="0"/>
    <x v="0"/>
    <x v="0"/>
    <x v="0"/>
  </r>
  <r>
    <x v="0"/>
    <d v="2026-10-16T00:00:00"/>
    <s v="Comercialnht"/>
    <n v="2190"/>
    <x v="1"/>
    <x v="1"/>
    <x v="1"/>
    <x v="2"/>
  </r>
  <r>
    <x v="0"/>
    <d v="2026-10-16T00:00:00"/>
    <s v="Meli Dólar"/>
    <n v="-22"/>
    <x v="0"/>
    <x v="0"/>
    <x v="0"/>
    <x v="0"/>
  </r>
  <r>
    <x v="0"/>
    <d v="2026-10-16T00:00:00"/>
    <s v="Sodexochile"/>
    <n v="4459"/>
    <x v="1"/>
    <x v="1"/>
    <x v="2"/>
    <x v="3"/>
  </r>
  <r>
    <x v="0"/>
    <d v="2026-10-16T00:00:00"/>
    <s v="Uber Chile"/>
    <n v="108"/>
    <x v="1"/>
    <x v="1"/>
    <x v="1"/>
    <x v="2"/>
  </r>
  <r>
    <x v="0"/>
    <d v="2026-10-16T00:00:00"/>
    <s v="Uber Chile"/>
    <n v="6096"/>
    <x v="1"/>
    <x v="1"/>
    <x v="1"/>
    <x v="2"/>
  </r>
  <r>
    <x v="0"/>
    <d v="2026-10-16T00:00:00"/>
    <s v="Pedidosya"/>
    <n v="14622"/>
    <x v="1"/>
    <x v="1"/>
    <x v="1"/>
    <x v="6"/>
  </r>
  <r>
    <x v="0"/>
    <d v="2026-10-16T00:00:00"/>
    <s v="Meli Dólar"/>
    <n v="-5"/>
    <x v="0"/>
    <x v="0"/>
    <x v="0"/>
    <x v="0"/>
  </r>
  <r>
    <x v="0"/>
    <d v="2026-10-16T00:00:00"/>
    <s v="Vendomatica 303"/>
    <n v="1000"/>
    <x v="1"/>
    <x v="1"/>
    <x v="1"/>
    <x v="2"/>
  </r>
  <r>
    <x v="0"/>
    <d v="2026-10-16T00:00:00"/>
    <s v="Meli Dólar"/>
    <n v="-9"/>
    <x v="0"/>
    <x v="0"/>
    <x v="0"/>
    <x v="0"/>
  </r>
  <r>
    <x v="0"/>
    <d v="2026-10-16T00:00:00"/>
    <s v="Sodexochile"/>
    <n v="1700"/>
    <x v="1"/>
    <x v="1"/>
    <x v="1"/>
    <x v="2"/>
  </r>
  <r>
    <x v="0"/>
    <d v="2026-10-16T00:00:00"/>
    <s v="App Shell"/>
    <n v="9866"/>
    <x v="1"/>
    <x v="1"/>
    <x v="1"/>
    <x v="7"/>
  </r>
  <r>
    <x v="0"/>
    <d v="2026-10-15T00:00:00"/>
    <s v="Mercado Pago"/>
    <n v="-4"/>
    <x v="0"/>
    <x v="0"/>
    <x v="0"/>
    <x v="0"/>
  </r>
  <r>
    <x v="0"/>
    <d v="2026-10-15T00:00:00"/>
    <s v="Meli Dólar"/>
    <n v="-25"/>
    <x v="0"/>
    <x v="0"/>
    <x v="0"/>
    <x v="0"/>
  </r>
  <r>
    <x v="0"/>
    <d v="2026-10-15T00:00:00"/>
    <s v="Greatlhete"/>
    <n v="4990"/>
    <x v="1"/>
    <x v="1"/>
    <x v="1"/>
    <x v="2"/>
  </r>
  <r>
    <x v="0"/>
    <d v="2026-10-15T00:00:00"/>
    <s v="Meli Dólar"/>
    <n v="-21"/>
    <x v="0"/>
    <x v="0"/>
    <x v="0"/>
    <x v="0"/>
  </r>
  <r>
    <x v="0"/>
    <d v="2026-10-15T00:00:00"/>
    <s v="Mal Paso"/>
    <n v="4150"/>
    <x v="1"/>
    <x v="1"/>
    <x v="1"/>
    <x v="2"/>
  </r>
  <r>
    <x v="0"/>
    <d v="2026-10-15T00:00:00"/>
    <s v="Meli Dólar"/>
    <n v="-22"/>
    <x v="0"/>
    <x v="0"/>
    <x v="0"/>
    <x v="0"/>
  </r>
  <r>
    <x v="0"/>
    <d v="2026-10-15T00:00:00"/>
    <s v="Mp Sodexochile"/>
    <n v="4459"/>
    <x v="1"/>
    <x v="1"/>
    <x v="2"/>
    <x v="3"/>
  </r>
  <r>
    <x v="0"/>
    <d v="2026-10-15T00:00:00"/>
    <s v="Meli Dólar"/>
    <n v="-3"/>
    <x v="0"/>
    <x v="0"/>
    <x v="0"/>
    <x v="0"/>
  </r>
  <r>
    <x v="0"/>
    <d v="2026-10-15T00:00:00"/>
    <s v="Vendomatica 303"/>
    <n v="650"/>
    <x v="1"/>
    <x v="1"/>
    <x v="1"/>
    <x v="2"/>
  </r>
  <r>
    <x v="0"/>
    <d v="2026-10-14T00:00:00"/>
    <s v="Meli Dólar"/>
    <n v="-450"/>
    <x v="0"/>
    <x v="0"/>
    <x v="0"/>
    <x v="0"/>
  </r>
  <r>
    <x v="0"/>
    <d v="2026-10-14T00:00:00"/>
    <s v="Mercado LibreMercado Libre"/>
    <n v="14990"/>
    <x v="1"/>
    <x v="1"/>
    <x v="2"/>
    <x v="11"/>
  </r>
  <r>
    <x v="0"/>
    <d v="2026-10-14T00:00:00"/>
    <s v="Copec Copec La Flori"/>
    <n v="14849"/>
    <x v="1"/>
    <x v="1"/>
    <x v="1"/>
    <x v="7"/>
  </r>
  <r>
    <x v="0"/>
    <d v="2026-10-14T00:00:00"/>
    <s v="Uber Pagos Chile"/>
    <n v="-86206"/>
    <x v="0"/>
    <x v="0"/>
    <x v="0"/>
    <x v="5"/>
  </r>
  <r>
    <x v="0"/>
    <d v="2026-10-14T00:00:00"/>
    <s v="Mercado Pago"/>
    <n v="-4"/>
    <x v="0"/>
    <x v="0"/>
    <x v="0"/>
    <x v="0"/>
  </r>
  <r>
    <x v="0"/>
    <d v="2026-10-14T00:00:00"/>
    <s v="Meli Dólar"/>
    <n v="-12"/>
    <x v="0"/>
    <x v="0"/>
    <x v="0"/>
    <x v="0"/>
  </r>
  <r>
    <x v="0"/>
    <d v="2026-10-14T00:00:00"/>
    <s v="Greatlhete"/>
    <n v="2490"/>
    <x v="1"/>
    <x v="1"/>
    <x v="1"/>
    <x v="2"/>
  </r>
  <r>
    <x v="0"/>
    <d v="2026-10-14T00:00:00"/>
    <s v="Meli Dólar"/>
    <n v="-15"/>
    <x v="0"/>
    <x v="0"/>
    <x v="0"/>
    <x v="0"/>
  </r>
  <r>
    <x v="0"/>
    <d v="2026-10-14T00:00:00"/>
    <s v="H&amp;M Mall Plaza Vespuci"/>
    <n v="2990"/>
    <x v="1"/>
    <x v="1"/>
    <x v="1"/>
    <x v="12"/>
  </r>
  <r>
    <x v="0"/>
    <d v="2026-10-14T00:00:00"/>
    <s v="Meli Dólar"/>
    <n v="-4"/>
    <x v="0"/>
    <x v="0"/>
    <x v="0"/>
    <x v="0"/>
  </r>
  <r>
    <x v="0"/>
    <d v="2026-10-14T00:00:00"/>
    <s v="Outletfit"/>
    <n v="700"/>
    <x v="1"/>
    <x v="1"/>
    <x v="1"/>
    <x v="2"/>
  </r>
  <r>
    <x v="0"/>
    <d v="2026-10-14T00:00:00"/>
    <s v="Meli Dólar"/>
    <n v="-13"/>
    <x v="0"/>
    <x v="0"/>
    <x v="0"/>
    <x v="0"/>
  </r>
  <r>
    <x v="0"/>
    <d v="2026-10-14T00:00:00"/>
    <s v="Mass"/>
    <n v="2590"/>
    <x v="1"/>
    <x v="1"/>
    <x v="1"/>
    <x v="2"/>
  </r>
  <r>
    <x v="0"/>
    <d v="2026-10-14T00:00:00"/>
    <s v="Copec Copec La Flori"/>
    <n v="9900"/>
    <x v="1"/>
    <x v="1"/>
    <x v="1"/>
    <x v="7"/>
  </r>
  <r>
    <x v="0"/>
    <d v="2026-10-14T00:00:00"/>
    <s v="Ingreso de dinero"/>
    <n v="-10470"/>
    <x v="0"/>
    <x v="0"/>
    <x v="0"/>
    <x v="5"/>
  </r>
  <r>
    <x v="0"/>
    <d v="2026-10-14T00:00:00"/>
    <s v="Meli Dólar"/>
    <n v="-175"/>
    <x v="0"/>
    <x v="0"/>
    <x v="0"/>
    <x v="0"/>
  </r>
  <r>
    <x v="0"/>
    <d v="2026-10-14T00:00:00"/>
    <s v="Unimarc Vicente Valdes"/>
    <n v="35073"/>
    <x v="1"/>
    <x v="1"/>
    <x v="1"/>
    <x v="6"/>
  </r>
  <r>
    <x v="0"/>
    <d v="2026-10-14T00:00:00"/>
    <s v="Copec Copec La Flori"/>
    <n v="2590"/>
    <x v="1"/>
    <x v="1"/>
    <x v="1"/>
    <x v="2"/>
  </r>
  <r>
    <x v="0"/>
    <d v="2026-10-13T00:00:00"/>
    <s v="Uber Pagos Chile"/>
    <n v="-21186"/>
    <x v="0"/>
    <x v="0"/>
    <x v="0"/>
    <x v="5"/>
  </r>
  <r>
    <x v="0"/>
    <d v="2026-10-13T00:00:00"/>
    <s v="Mercado Pago"/>
    <n v="-12"/>
    <x v="0"/>
    <x v="0"/>
    <x v="0"/>
    <x v="0"/>
  </r>
  <r>
    <x v="0"/>
    <d v="2026-10-13T00:00:00"/>
    <s v="App Shell"/>
    <n v="14803"/>
    <x v="1"/>
    <x v="1"/>
    <x v="1"/>
    <x v="7"/>
  </r>
  <r>
    <x v="0"/>
    <d v="2026-10-13T00:00:00"/>
    <s v="Meli Dólar"/>
    <n v="-22"/>
    <x v="0"/>
    <x v="0"/>
    <x v="0"/>
    <x v="0"/>
  </r>
  <r>
    <x v="0"/>
    <d v="2026-10-13T00:00:00"/>
    <s v="Sodexochile"/>
    <n v="4459"/>
    <x v="1"/>
    <x v="1"/>
    <x v="2"/>
    <x v="3"/>
  </r>
  <r>
    <x v="0"/>
    <d v="2026-10-13T00:00:00"/>
    <s v="Meli Dólar"/>
    <n v="-3"/>
    <x v="0"/>
    <x v="0"/>
    <x v="0"/>
    <x v="0"/>
  </r>
  <r>
    <x v="0"/>
    <d v="2026-10-13T00:00:00"/>
    <s v="Vendomatica 303"/>
    <n v="650"/>
    <x v="1"/>
    <x v="1"/>
    <x v="1"/>
    <x v="2"/>
  </r>
  <r>
    <x v="0"/>
    <d v="2026-10-12T00:00:00"/>
    <s v="Ingreso de dinero"/>
    <n v="-5100"/>
    <x v="0"/>
    <x v="0"/>
    <x v="0"/>
    <x v="5"/>
  </r>
  <r>
    <x v="0"/>
    <d v="2026-10-12T00:00:00"/>
    <s v="Meli Dólar"/>
    <n v="-235"/>
    <x v="0"/>
    <x v="0"/>
    <x v="0"/>
    <x v="0"/>
  </r>
  <r>
    <x v="0"/>
    <d v="2026-10-12T00:00:00"/>
    <s v="Meli Dólar"/>
    <n v="-13"/>
    <x v="0"/>
    <x v="0"/>
    <x v="0"/>
    <x v="0"/>
  </r>
  <r>
    <x v="0"/>
    <d v="2026-10-12T00:00:00"/>
    <s v="Dunkin"/>
    <n v="2514"/>
    <x v="1"/>
    <x v="1"/>
    <x v="1"/>
    <x v="2"/>
  </r>
  <r>
    <x v="0"/>
    <d v="2026-10-12T00:00:00"/>
    <s v="Gonzalez, Gonzalez Y Compania Gonzalez, Gonzalez Y Compania"/>
    <n v="3280"/>
    <x v="1"/>
    <x v="1"/>
    <x v="1"/>
    <x v="2"/>
  </r>
  <r>
    <x v="0"/>
    <d v="2026-10-12T00:00:00"/>
    <s v="Fernando Javier Arriagada Concha"/>
    <n v="29200"/>
    <x v="1"/>
    <x v="1"/>
    <x v="1"/>
    <x v="13"/>
  </r>
  <r>
    <x v="0"/>
    <d v="2026-10-12T00:00:00"/>
    <s v="Walker Martinez 315"/>
    <n v="46950"/>
    <x v="1"/>
    <x v="1"/>
    <x v="1"/>
    <x v="6"/>
  </r>
  <r>
    <x v="0"/>
    <d v="2026-10-11T00:00:00"/>
    <s v="Meli Dólar"/>
    <n v="-464"/>
    <x v="0"/>
    <x v="0"/>
    <x v="0"/>
    <x v="0"/>
  </r>
  <r>
    <x v="0"/>
    <d v="2026-10-11T00:00:00"/>
    <s v="Meli Dólar"/>
    <n v="-70"/>
    <x v="0"/>
    <x v="0"/>
    <x v="0"/>
    <x v="0"/>
  </r>
  <r>
    <x v="0"/>
    <d v="2026-10-11T00:00:00"/>
    <s v="Meli Dólar"/>
    <n v="-25"/>
    <x v="0"/>
    <x v="0"/>
    <x v="0"/>
    <x v="0"/>
  </r>
  <r>
    <x v="0"/>
    <d v="2026-10-11T00:00:00"/>
    <s v="Meli Dólar"/>
    <n v="-10"/>
    <x v="0"/>
    <x v="0"/>
    <x v="0"/>
    <x v="0"/>
  </r>
  <r>
    <x v="0"/>
    <d v="2026-10-11T00:00:00"/>
    <s v="Meli Dólar"/>
    <n v="-8"/>
    <x v="0"/>
    <x v="0"/>
    <x v="0"/>
    <x v="0"/>
  </r>
  <r>
    <x v="0"/>
    <d v="2026-10-11T00:00:00"/>
    <s v="Greatlhete"/>
    <n v="1690"/>
    <x v="1"/>
    <x v="1"/>
    <x v="1"/>
    <x v="2"/>
  </r>
  <r>
    <x v="0"/>
    <d v="2026-10-11T00:00:00"/>
    <s v="Redgloba Seducete"/>
    <n v="1990"/>
    <x v="1"/>
    <x v="1"/>
    <x v="1"/>
    <x v="2"/>
  </r>
  <r>
    <x v="0"/>
    <d v="2026-10-11T00:00:00"/>
    <s v="Inversiones Feroda Spa. Inversiones Feroda Spa."/>
    <n v="2980"/>
    <x v="1"/>
    <x v="1"/>
    <x v="1"/>
    <x v="2"/>
  </r>
  <r>
    <x v="0"/>
    <d v="2026-10-11T00:00:00"/>
    <s v="Pichara Vespucio Inter"/>
    <n v="4990"/>
    <x v="1"/>
    <x v="1"/>
    <x v="1"/>
    <x v="8"/>
  </r>
  <r>
    <x v="0"/>
    <d v="2026-10-11T00:00:00"/>
    <s v="Sioux"/>
    <n v="13991"/>
    <x v="1"/>
    <x v="1"/>
    <x v="1"/>
    <x v="12"/>
  </r>
  <r>
    <x v="0"/>
    <d v="2026-10-11T00:00:00"/>
    <s v="Copec Copec Penalole"/>
    <n v="14698"/>
    <x v="1"/>
    <x v="1"/>
    <x v="1"/>
    <x v="7"/>
  </r>
  <r>
    <x v="0"/>
    <d v="2026-10-11T00:00:00"/>
    <s v="Jorge Antonio Pieratti"/>
    <n v="92800"/>
    <x v="1"/>
    <x v="1"/>
    <x v="1"/>
    <x v="14"/>
  </r>
  <r>
    <x v="0"/>
    <d v="2026-10-10T00:00:00"/>
    <s v="Meli Dólar"/>
    <n v="-171"/>
    <x v="0"/>
    <x v="0"/>
    <x v="0"/>
    <x v="0"/>
  </r>
  <r>
    <x v="0"/>
    <d v="2026-10-10T00:00:00"/>
    <s v="Meli Dólar"/>
    <n v="-65"/>
    <x v="0"/>
    <x v="0"/>
    <x v="0"/>
    <x v="0"/>
  </r>
  <r>
    <x v="0"/>
    <d v="2026-10-10T00:00:00"/>
    <s v="Meli Dólar"/>
    <n v="-25"/>
    <x v="0"/>
    <x v="0"/>
    <x v="0"/>
    <x v="0"/>
  </r>
  <r>
    <x v="0"/>
    <d v="2026-10-10T00:00:00"/>
    <s v="Meli Dólar"/>
    <n v="-10"/>
    <x v="0"/>
    <x v="0"/>
    <x v="0"/>
    <x v="0"/>
  </r>
  <r>
    <x v="0"/>
    <d v="2026-10-10T00:00:00"/>
    <s v="Pjangol"/>
    <n v="1990"/>
    <x v="1"/>
    <x v="1"/>
    <x v="1"/>
    <x v="10"/>
  </r>
  <r>
    <x v="0"/>
    <d v="2026-10-10T00:00:00"/>
    <s v="Whooshclspa"/>
    <n v="3300"/>
    <x v="1"/>
    <x v="1"/>
    <x v="1"/>
    <x v="2"/>
  </r>
  <r>
    <x v="0"/>
    <d v="2026-10-10T00:00:00"/>
    <s v="5 Norte"/>
    <n v="5080"/>
    <x v="1"/>
    <x v="1"/>
    <x v="1"/>
    <x v="2"/>
  </r>
  <r>
    <x v="0"/>
    <d v="2026-10-10T00:00:00"/>
    <s v="Copec Copec La Flori"/>
    <n v="6840"/>
    <x v="1"/>
    <x v="1"/>
    <x v="1"/>
    <x v="2"/>
  </r>
  <r>
    <x v="0"/>
    <d v="2026-10-10T00:00:00"/>
    <s v="Copec Copec Macul"/>
    <n v="10180"/>
    <x v="1"/>
    <x v="1"/>
    <x v="1"/>
    <x v="2"/>
  </r>
  <r>
    <x v="0"/>
    <d v="2026-10-10T00:00:00"/>
    <s v="Pjangol"/>
    <n v="12980"/>
    <x v="1"/>
    <x v="1"/>
    <x v="1"/>
    <x v="10"/>
  </r>
  <r>
    <x v="0"/>
    <d v="2026-10-10T00:00:00"/>
    <s v="Copec Copec Macul"/>
    <n v="29695"/>
    <x v="1"/>
    <x v="1"/>
    <x v="1"/>
    <x v="7"/>
  </r>
  <r>
    <x v="0"/>
    <d v="2026-10-10T00:00:00"/>
    <s v="Fernando Javier Arriagada Concha"/>
    <n v="30000"/>
    <x v="1"/>
    <x v="1"/>
    <x v="1"/>
    <x v="15"/>
  </r>
  <r>
    <x v="0"/>
    <d v="2026-10-10T00:00:00"/>
    <s v="Carnales Eirl"/>
    <n v="34287"/>
    <x v="1"/>
    <x v="1"/>
    <x v="1"/>
    <x v="10"/>
  </r>
  <r>
    <x v="0"/>
    <d v="2026-10-09T00:00:00"/>
    <s v="Uber Pagos ChileUber Pagos Chile"/>
    <n v="-122023"/>
    <x v="0"/>
    <x v="0"/>
    <x v="0"/>
    <x v="5"/>
  </r>
  <r>
    <x v="0"/>
    <d v="2026-10-09T00:00:00"/>
    <s v="Mercado Pago"/>
    <n v="-56"/>
    <x v="0"/>
    <x v="0"/>
    <x v="0"/>
    <x v="0"/>
  </r>
  <r>
    <x v="0"/>
    <d v="2026-10-09T00:00:00"/>
    <s v="Meli Dólar"/>
    <n v="-50"/>
    <x v="0"/>
    <x v="0"/>
    <x v="0"/>
    <x v="0"/>
  </r>
  <r>
    <x v="0"/>
    <d v="2026-10-09T00:00:00"/>
    <s v="Meli Dólar"/>
    <n v="-22"/>
    <x v="0"/>
    <x v="0"/>
    <x v="0"/>
    <x v="0"/>
  </r>
  <r>
    <x v="0"/>
    <d v="2026-10-09T00:00:00"/>
    <s v="Meli Dólar"/>
    <n v="-5"/>
    <x v="0"/>
    <x v="0"/>
    <x v="0"/>
    <x v="0"/>
  </r>
  <r>
    <x v="0"/>
    <d v="2026-10-09T00:00:00"/>
    <s v="Vendomatica 303"/>
    <n v="1000"/>
    <x v="1"/>
    <x v="1"/>
    <x v="1"/>
    <x v="2"/>
  </r>
  <r>
    <x v="0"/>
    <d v="2026-10-09T00:00:00"/>
    <s v="Alejandra Bozo"/>
    <n v="3000"/>
    <x v="1"/>
    <x v="1"/>
    <x v="1"/>
    <x v="8"/>
  </r>
  <r>
    <x v="0"/>
    <d v="2026-10-09T00:00:00"/>
    <s v="Sodexochile"/>
    <n v="2005"/>
    <x v="1"/>
    <x v="1"/>
    <x v="2"/>
    <x v="3"/>
  </r>
  <r>
    <x v="0"/>
    <d v="2026-10-09T00:00:00"/>
    <s v="Shell.f522 Av.p.ed Mon"/>
    <n v="10000"/>
    <x v="1"/>
    <x v="1"/>
    <x v="1"/>
    <x v="7"/>
  </r>
  <r>
    <x v="0"/>
    <d v="2026-10-09T00:00:00"/>
    <s v="Transferencia enviada a Fintual AGF"/>
    <n v="12000"/>
    <x v="1"/>
    <x v="1"/>
    <x v="3"/>
    <x v="16"/>
  </r>
  <r>
    <x v="0"/>
    <d v="2026-10-09T00:00:00"/>
    <s v="Webpay Municipal"/>
    <n v="64371"/>
    <x v="1"/>
    <x v="1"/>
    <x v="1"/>
    <x v="7"/>
  </r>
  <r>
    <x v="0"/>
    <d v="2026-10-08T00:00:00"/>
    <s v="Meli Dólar"/>
    <n v="-164"/>
    <x v="0"/>
    <x v="0"/>
    <x v="0"/>
    <x v="0"/>
  </r>
  <r>
    <x v="0"/>
    <d v="2026-10-08T00:00:00"/>
    <s v="Unimarc Vicente Valdes"/>
    <n v="32875"/>
    <x v="1"/>
    <x v="1"/>
    <x v="1"/>
    <x v="6"/>
  </r>
  <r>
    <x v="0"/>
    <d v="2026-10-08T00:00:00"/>
    <s v="Mercado Pago"/>
    <n v="-21"/>
    <x v="0"/>
    <x v="0"/>
    <x v="0"/>
    <x v="0"/>
  </r>
  <r>
    <x v="0"/>
    <d v="2026-10-08T00:00:00"/>
    <s v="Meli Dólar"/>
    <n v="-3"/>
    <x v="0"/>
    <x v="0"/>
    <x v="0"/>
    <x v="0"/>
  </r>
  <r>
    <x v="0"/>
    <d v="2026-10-08T00:00:00"/>
    <s v="Vendomatica 303"/>
    <n v="650"/>
    <x v="1"/>
    <x v="1"/>
    <x v="1"/>
    <x v="2"/>
  </r>
  <r>
    <x v="0"/>
    <d v="2026-10-08T00:00:00"/>
    <s v="Meli Dólar"/>
    <n v="-25"/>
    <x v="0"/>
    <x v="0"/>
    <x v="0"/>
    <x v="0"/>
  </r>
  <r>
    <x v="0"/>
    <d v="2026-10-08T00:00:00"/>
    <s v="H&amp;M Mall Plaza Vespuci"/>
    <n v="4990"/>
    <x v="1"/>
    <x v="1"/>
    <x v="1"/>
    <x v="12"/>
  </r>
  <r>
    <x v="0"/>
    <d v="2026-10-08T00:00:00"/>
    <s v="Meli Dólar"/>
    <n v="-23"/>
    <x v="0"/>
    <x v="0"/>
    <x v="0"/>
    <x v="0"/>
  </r>
  <r>
    <x v="0"/>
    <d v="2026-10-08T00:00:00"/>
    <s v="Sodexochile"/>
    <n v="4559"/>
    <x v="1"/>
    <x v="1"/>
    <x v="2"/>
    <x v="3"/>
  </r>
  <r>
    <x v="0"/>
    <d v="2026-10-08T00:00:00"/>
    <s v="Meli Dólar"/>
    <n v="-3"/>
    <x v="0"/>
    <x v="0"/>
    <x v="0"/>
    <x v="0"/>
  </r>
  <r>
    <x v="0"/>
    <d v="2026-10-08T00:00:00"/>
    <s v="Vendomatica 303"/>
    <n v="650"/>
    <x v="1"/>
    <x v="1"/>
    <x v="1"/>
    <x v="2"/>
  </r>
  <r>
    <x v="0"/>
    <d v="2026-10-08T00:00:00"/>
    <s v="Alejandra Bozo"/>
    <n v="10000"/>
    <x v="1"/>
    <x v="1"/>
    <x v="1"/>
    <x v="8"/>
  </r>
  <r>
    <x v="0"/>
    <d v="2026-10-07T00:00:00"/>
    <s v="Bold.cl"/>
    <n v="76492"/>
    <x v="1"/>
    <x v="1"/>
    <x v="1"/>
    <x v="12"/>
  </r>
  <r>
    <x v="0"/>
    <d v="2026-10-07T00:00:00"/>
    <s v="Mercado Pago"/>
    <n v="-22"/>
    <x v="0"/>
    <x v="0"/>
    <x v="0"/>
    <x v="0"/>
  </r>
  <r>
    <x v="0"/>
    <d v="2026-10-07T00:00:00"/>
    <s v="Yaneken"/>
    <n v="76492"/>
    <x v="1"/>
    <x v="1"/>
    <x v="1"/>
    <x v="12"/>
  </r>
  <r>
    <x v="0"/>
    <d v="2026-10-07T00:00:00"/>
    <s v="Meli Dólar"/>
    <n v="-22"/>
    <x v="0"/>
    <x v="0"/>
    <x v="0"/>
    <x v="0"/>
  </r>
  <r>
    <x v="0"/>
    <d v="2026-10-07T00:00:00"/>
    <s v="Sodexochile"/>
    <n v="4459"/>
    <x v="1"/>
    <x v="1"/>
    <x v="2"/>
    <x v="3"/>
  </r>
  <r>
    <x v="0"/>
    <d v="2026-10-07T00:00:00"/>
    <s v="App Shell"/>
    <n v="14803"/>
    <x v="1"/>
    <x v="1"/>
    <x v="1"/>
    <x v="7"/>
  </r>
  <r>
    <x v="0"/>
    <d v="2026-10-07T00:00:00"/>
    <s v="Entradas Slipknot"/>
    <n v="73125"/>
    <x v="1"/>
    <x v="1"/>
    <x v="1"/>
    <x v="17"/>
  </r>
  <r>
    <x v="0"/>
    <d v="2026-10-06T00:00:00"/>
    <s v="Meli Dólar"/>
    <n v="-600"/>
    <x v="0"/>
    <x v="0"/>
    <x v="0"/>
    <x v="0"/>
  </r>
  <r>
    <x v="0"/>
    <d v="2026-10-06T00:00:00"/>
    <s v="Mercado LibreMercado Libre"/>
    <n v="19990"/>
    <x v="1"/>
    <x v="1"/>
    <x v="1"/>
    <x v="18"/>
  </r>
  <r>
    <x v="0"/>
    <d v="2026-10-06T00:00:00"/>
    <s v="Katherine Valdes"/>
    <n v="7500"/>
    <x v="1"/>
    <x v="1"/>
    <x v="1"/>
    <x v="8"/>
  </r>
  <r>
    <x v="0"/>
    <d v="2026-10-06T00:00:00"/>
    <s v="Uber Pagos ChileUber Pagos Chile"/>
    <n v="-76215"/>
    <x v="0"/>
    <x v="0"/>
    <x v="0"/>
    <x v="5"/>
  </r>
  <r>
    <x v="0"/>
    <d v="2026-10-06T00:00:00"/>
    <s v="Mercado Pago"/>
    <n v="-22"/>
    <x v="0"/>
    <x v="0"/>
    <x v="0"/>
    <x v="0"/>
  </r>
  <r>
    <x v="0"/>
    <d v="2026-10-06T00:00:00"/>
    <s v="Meli Dólar"/>
    <n v="-13"/>
    <x v="0"/>
    <x v="0"/>
    <x v="0"/>
    <x v="0"/>
  </r>
  <r>
    <x v="0"/>
    <d v="2026-10-06T00:00:00"/>
    <s v="Greatlhete"/>
    <n v="2500"/>
    <x v="1"/>
    <x v="1"/>
    <x v="1"/>
    <x v="2"/>
  </r>
  <r>
    <x v="0"/>
    <d v="2026-10-06T00:00:00"/>
    <s v="Meli Dólar"/>
    <n v="-333"/>
    <x v="0"/>
    <x v="0"/>
    <x v="0"/>
    <x v="0"/>
  </r>
  <r>
    <x v="0"/>
    <d v="2026-10-06T00:00:00"/>
    <s v="Unimarc Vicente Valdes"/>
    <n v="66516"/>
    <x v="1"/>
    <x v="1"/>
    <x v="1"/>
    <x v="6"/>
  </r>
  <r>
    <x v="0"/>
    <d v="2026-10-06T00:00:00"/>
    <s v="Meli Dólar"/>
    <n v="-12"/>
    <x v="0"/>
    <x v="0"/>
    <x v="0"/>
    <x v="0"/>
  </r>
  <r>
    <x v="0"/>
    <d v="2026-10-06T00:00:00"/>
    <s v="Saba Santa Lucia"/>
    <n v="2400"/>
    <x v="1"/>
    <x v="1"/>
    <x v="1"/>
    <x v="19"/>
  </r>
  <r>
    <x v="0"/>
    <d v="2026-10-06T00:00:00"/>
    <s v="Meli Dólar"/>
    <n v="-22"/>
    <x v="0"/>
    <x v="0"/>
    <x v="0"/>
    <x v="0"/>
  </r>
  <r>
    <x v="0"/>
    <d v="2026-10-06T00:00:00"/>
    <s v="Sodexochile"/>
    <n v="4459"/>
    <x v="1"/>
    <x v="1"/>
    <x v="2"/>
    <x v="3"/>
  </r>
  <r>
    <x v="0"/>
    <d v="2026-10-06T00:00:00"/>
    <s v="Meli Dólar"/>
    <n v="-647"/>
    <x v="0"/>
    <x v="0"/>
    <x v="0"/>
    <x v="0"/>
  </r>
  <r>
    <x v="0"/>
    <d v="2026-10-06T00:00:00"/>
    <s v="Mercado LibreMercado Libre"/>
    <n v="21552"/>
    <x v="1"/>
    <x v="1"/>
    <x v="2"/>
    <x v="11"/>
  </r>
  <r>
    <x v="0"/>
    <d v="2026-10-06T00:00:00"/>
    <s v="Transferencia enviada a Fintual AGF"/>
    <n v="225000"/>
    <x v="1"/>
    <x v="1"/>
    <x v="3"/>
    <x v="16"/>
  </r>
  <r>
    <x v="0"/>
    <d v="2026-10-06T00:00:00"/>
    <s v="Transferencia recibida de SULLIVAN BOSICH Y COMPANIA LIM"/>
    <n v="-225875"/>
    <x v="0"/>
    <x v="0"/>
    <x v="0"/>
    <x v="20"/>
  </r>
  <r>
    <x v="0"/>
    <d v="2026-10-05T00:00:00"/>
    <s v="Tania Rojas Garrido"/>
    <n v="23100"/>
    <x v="1"/>
    <x v="1"/>
    <x v="1"/>
    <x v="8"/>
  </r>
  <r>
    <x v="0"/>
    <d v="2026-10-05T00:00:00"/>
    <s v="Copec Copec La Flori"/>
    <n v="2550"/>
    <x v="1"/>
    <x v="1"/>
    <x v="1"/>
    <x v="2"/>
  </r>
  <r>
    <x v="0"/>
    <d v="2026-10-05T00:00:00"/>
    <s v="Mercado Pago"/>
    <n v="-21"/>
    <x v="0"/>
    <x v="0"/>
    <x v="0"/>
    <x v="0"/>
  </r>
  <r>
    <x v="0"/>
    <d v="2026-10-05T00:00:00"/>
    <s v="PedidosyaPedidosya"/>
    <n v="13150"/>
    <x v="1"/>
    <x v="1"/>
    <x v="1"/>
    <x v="10"/>
  </r>
  <r>
    <x v="0"/>
    <d v="2026-10-05T00:00:00"/>
    <s v="Copec Copec Puente A"/>
    <n v="14847"/>
    <x v="1"/>
    <x v="1"/>
    <x v="1"/>
    <x v="7"/>
  </r>
  <r>
    <x v="0"/>
    <d v="2026-10-05T00:00:00"/>
    <s v="Meli Dólar"/>
    <n v="-22"/>
    <x v="0"/>
    <x v="0"/>
    <x v="0"/>
    <x v="0"/>
  </r>
  <r>
    <x v="0"/>
    <d v="2026-10-05T00:00:00"/>
    <s v="Sodexochile"/>
    <n v="4459"/>
    <x v="1"/>
    <x v="1"/>
    <x v="2"/>
    <x v="3"/>
  </r>
  <r>
    <x v="0"/>
    <d v="2026-10-05T00:00:00"/>
    <s v="Compra con Tarjeta de Débito"/>
    <n v="27589"/>
    <x v="1"/>
    <x v="1"/>
    <x v="2"/>
    <x v="21"/>
  </r>
  <r>
    <x v="0"/>
    <d v="2026-10-05T00:00:00"/>
    <s v="Transferencia enviada"/>
    <n v="758000"/>
    <x v="1"/>
    <x v="1"/>
    <x v="2"/>
    <x v="22"/>
  </r>
  <r>
    <x v="0"/>
    <d v="2026-10-05T00:00:00"/>
    <s v="Transferencia enviada a Fintual AGF"/>
    <n v="10000"/>
    <x v="1"/>
    <x v="1"/>
    <x v="3"/>
    <x v="16"/>
  </r>
  <r>
    <x v="0"/>
    <d v="2026-10-05T00:00:00"/>
    <s v="Créditos de Mercado Pago"/>
    <n v="23381"/>
    <x v="1"/>
    <x v="1"/>
    <x v="1"/>
    <x v="23"/>
  </r>
  <r>
    <x v="0"/>
    <d v="2026-10-05T00:00:00"/>
    <s v="Crédito de Mercado Pago"/>
    <n v="19647"/>
    <x v="1"/>
    <x v="1"/>
    <x v="1"/>
    <x v="23"/>
  </r>
  <r>
    <x v="0"/>
    <d v="2026-10-05T00:00:00"/>
    <s v="Entradas Alanys Lagos"/>
    <n v="62700"/>
    <x v="1"/>
    <x v="1"/>
    <x v="1"/>
    <x v="17"/>
  </r>
  <r>
    <x v="0"/>
    <d v="2026-10-05T00:00:00"/>
    <s v="Meli Dólar"/>
    <n v="-6"/>
    <x v="0"/>
    <x v="0"/>
    <x v="0"/>
    <x v="0"/>
  </r>
  <r>
    <x v="0"/>
    <d v="2026-10-05T00:00:00"/>
    <s v="Vendomatica 303"/>
    <n v="1200"/>
    <x v="1"/>
    <x v="1"/>
    <x v="1"/>
    <x v="2"/>
  </r>
  <r>
    <x v="0"/>
    <d v="2026-10-04T00:00:00"/>
    <s v="Meli Dólar"/>
    <n v="-270"/>
    <x v="0"/>
    <x v="0"/>
    <x v="0"/>
    <x v="0"/>
  </r>
  <r>
    <x v="0"/>
    <d v="2026-10-04T00:00:00"/>
    <s v="Walker Martinez 315"/>
    <n v="54000"/>
    <x v="1"/>
    <x v="1"/>
    <x v="1"/>
    <x v="6"/>
  </r>
  <r>
    <x v="0"/>
    <d v="2026-10-04T00:00:00"/>
    <s v="Copec Copec Penalole"/>
    <n v="1590"/>
    <x v="1"/>
    <x v="1"/>
    <x v="1"/>
    <x v="2"/>
  </r>
  <r>
    <x v="0"/>
    <d v="2026-10-04T00:00:00"/>
    <s v="Copec Copec La Flori"/>
    <n v="2590"/>
    <x v="1"/>
    <x v="1"/>
    <x v="1"/>
    <x v="2"/>
  </r>
  <r>
    <x v="0"/>
    <d v="2026-10-04T00:00:00"/>
    <s v="Copec Copec La Flori"/>
    <n v="14849"/>
    <x v="1"/>
    <x v="1"/>
    <x v="1"/>
    <x v="7"/>
  </r>
  <r>
    <x v="0"/>
    <d v="2026-10-03T00:00:00"/>
    <s v="Meli Dólar"/>
    <n v="-25"/>
    <x v="0"/>
    <x v="0"/>
    <x v="0"/>
    <x v="0"/>
  </r>
  <r>
    <x v="0"/>
    <d v="2026-10-03T00:00:00"/>
    <s v="Centrodeevent"/>
    <n v="5000"/>
    <x v="1"/>
    <x v="1"/>
    <x v="1"/>
    <x v="8"/>
  </r>
  <r>
    <x v="0"/>
    <d v="2026-10-03T00:00:00"/>
    <s v="Meli Dólar"/>
    <n v="-9"/>
    <x v="0"/>
    <x v="0"/>
    <x v="0"/>
    <x v="0"/>
  </r>
  <r>
    <x v="0"/>
    <d v="2026-10-03T00:00:00"/>
    <s v="Servicios Gastronomico"/>
    <n v="1700"/>
    <x v="1"/>
    <x v="1"/>
    <x v="1"/>
    <x v="2"/>
  </r>
  <r>
    <x v="0"/>
    <d v="2026-10-03T00:00:00"/>
    <s v="Meli Dólar"/>
    <n v="-9"/>
    <x v="0"/>
    <x v="0"/>
    <x v="0"/>
    <x v="0"/>
  </r>
  <r>
    <x v="0"/>
    <d v="2026-10-03T00:00:00"/>
    <s v="Mass"/>
    <n v="1790"/>
    <x v="1"/>
    <x v="1"/>
    <x v="1"/>
    <x v="6"/>
  </r>
  <r>
    <x v="0"/>
    <d v="2026-10-03T00:00:00"/>
    <s v="Meli Dólar"/>
    <n v="-142"/>
    <x v="0"/>
    <x v="0"/>
    <x v="0"/>
    <x v="0"/>
  </r>
  <r>
    <x v="0"/>
    <d v="2026-10-03T00:00:00"/>
    <s v="Walker Martinez 315"/>
    <n v="28410"/>
    <x v="1"/>
    <x v="1"/>
    <x v="1"/>
    <x v="6"/>
  </r>
  <r>
    <x v="0"/>
    <d v="2026-10-03T00:00:00"/>
    <s v="Meli Dólar"/>
    <n v="-3"/>
    <x v="0"/>
    <x v="0"/>
    <x v="0"/>
    <x v="0"/>
  </r>
  <r>
    <x v="0"/>
    <d v="2026-10-03T00:00:00"/>
    <s v="Saba Estacionamientos"/>
    <n v="550"/>
    <x v="1"/>
    <x v="1"/>
    <x v="1"/>
    <x v="19"/>
  </r>
  <r>
    <x v="0"/>
    <d v="2026-10-03T00:00:00"/>
    <s v="Meli Dólar"/>
    <n v="-5"/>
    <x v="0"/>
    <x v="0"/>
    <x v="0"/>
    <x v="0"/>
  </r>
  <r>
    <x v="0"/>
    <d v="2026-10-03T00:00:00"/>
    <s v="Payscan Ccu"/>
    <n v="1000"/>
    <x v="1"/>
    <x v="1"/>
    <x v="1"/>
    <x v="2"/>
  </r>
  <r>
    <x v="0"/>
    <d v="2026-10-03T00:00:00"/>
    <s v="Meli Dólar"/>
    <n v="-151"/>
    <x v="0"/>
    <x v="0"/>
    <x v="0"/>
    <x v="0"/>
  </r>
  <r>
    <x v="0"/>
    <d v="2026-10-03T00:00:00"/>
    <s v="Falabella Pza Vespucio"/>
    <n v="30240"/>
    <x v="1"/>
    <x v="1"/>
    <x v="1"/>
    <x v="12"/>
  </r>
  <r>
    <x v="0"/>
    <d v="2026-10-03T00:00:00"/>
    <s v="Meli Dólar"/>
    <n v="-75"/>
    <x v="0"/>
    <x v="0"/>
    <x v="0"/>
    <x v="0"/>
  </r>
  <r>
    <x v="0"/>
    <d v="2026-10-03T00:00:00"/>
    <s v="Comercial Ceys E Hijos"/>
    <n v="15000"/>
    <x v="1"/>
    <x v="1"/>
    <x v="1"/>
    <x v="7"/>
  </r>
  <r>
    <x v="0"/>
    <d v="2026-10-03T00:00:00"/>
    <s v="Meli Dólar"/>
    <n v="-216"/>
    <x v="0"/>
    <x v="0"/>
    <x v="0"/>
    <x v="0"/>
  </r>
  <r>
    <x v="0"/>
    <d v="2026-10-03T00:00:00"/>
    <s v="La-Reina-Den"/>
    <n v="43101"/>
    <x v="1"/>
    <x v="1"/>
    <x v="1"/>
    <x v="24"/>
  </r>
  <r>
    <x v="0"/>
    <d v="2026-10-03T00:00:00"/>
    <s v="Meli Dólar"/>
    <n v="-107"/>
    <x v="0"/>
    <x v="0"/>
    <x v="0"/>
    <x v="0"/>
  </r>
  <r>
    <x v="0"/>
    <d v="2026-10-03T00:00:00"/>
    <s v="Puma Outlet Patio Flor"/>
    <n v="21490"/>
    <x v="1"/>
    <x v="1"/>
    <x v="1"/>
    <x v="11"/>
  </r>
  <r>
    <x v="0"/>
    <d v="2026-10-03T00:00:00"/>
    <s v="Meli Dólar"/>
    <n v="-25"/>
    <x v="0"/>
    <x v="0"/>
    <x v="0"/>
    <x v="0"/>
  </r>
  <r>
    <x v="0"/>
    <d v="2026-10-03T00:00:00"/>
    <s v="Outlet La Florida"/>
    <n v="5070"/>
    <x v="1"/>
    <x v="1"/>
    <x v="1"/>
    <x v="2"/>
  </r>
  <r>
    <x v="0"/>
    <d v="2026-10-03T00:00:00"/>
    <s v="Mercado Pago"/>
    <n v="-52"/>
    <x v="0"/>
    <x v="0"/>
    <x v="0"/>
    <x v="0"/>
  </r>
  <r>
    <x v="0"/>
    <d v="2026-10-02T00:00:00"/>
    <s v="Pablo Ignacio Escobar"/>
    <n v="140000"/>
    <x v="1"/>
    <x v="1"/>
    <x v="1"/>
    <x v="8"/>
  </r>
  <r>
    <x v="0"/>
    <d v="2026-10-02T00:00:00"/>
    <s v="Meli Dólar"/>
    <n v="-3"/>
    <x v="0"/>
    <x v="0"/>
    <x v="0"/>
    <x v="0"/>
  </r>
  <r>
    <x v="0"/>
    <d v="2026-10-02T00:00:00"/>
    <s v="Parking"/>
    <n v="500"/>
    <x v="1"/>
    <x v="1"/>
    <x v="1"/>
    <x v="19"/>
  </r>
  <r>
    <x v="0"/>
    <d v="2026-10-02T00:00:00"/>
    <s v="Meli Dólar"/>
    <n v="-18"/>
    <x v="0"/>
    <x v="0"/>
    <x v="0"/>
    <x v="0"/>
  </r>
  <r>
    <x v="0"/>
    <d v="2026-10-02T00:00:00"/>
    <s v="Pica Pica Spa"/>
    <n v="3500"/>
    <x v="1"/>
    <x v="1"/>
    <x v="1"/>
    <x v="10"/>
  </r>
  <r>
    <x v="0"/>
    <d v="2026-10-02T00:00:00"/>
    <s v="Meli Dólar"/>
    <n v="-5"/>
    <x v="0"/>
    <x v="0"/>
    <x v="0"/>
    <x v="0"/>
  </r>
  <r>
    <x v="0"/>
    <d v="2026-10-02T00:00:00"/>
    <s v="Pica Pica Spa"/>
    <n v="1000"/>
    <x v="1"/>
    <x v="1"/>
    <x v="1"/>
    <x v="10"/>
  </r>
  <r>
    <x v="0"/>
    <d v="2026-10-02T00:00:00"/>
    <s v="Meli Dólar"/>
    <n v="-18"/>
    <x v="0"/>
    <x v="0"/>
    <x v="0"/>
    <x v="0"/>
  </r>
  <r>
    <x v="0"/>
    <d v="2026-10-02T00:00:00"/>
    <s v="Pica Pica Spa"/>
    <n v="3500"/>
    <x v="1"/>
    <x v="1"/>
    <x v="1"/>
    <x v="10"/>
  </r>
  <r>
    <x v="0"/>
    <d v="2026-10-02T00:00:00"/>
    <s v="Meli Dólar"/>
    <n v="-110"/>
    <x v="0"/>
    <x v="0"/>
    <x v="0"/>
    <x v="0"/>
  </r>
  <r>
    <x v="0"/>
    <d v="2026-10-02T00:00:00"/>
    <s v="Pica Pica Spa"/>
    <n v="22000"/>
    <x v="1"/>
    <x v="1"/>
    <x v="1"/>
    <x v="10"/>
  </r>
  <r>
    <x v="0"/>
    <d v="2026-10-02T00:00:00"/>
    <s v="Meli Dólar"/>
    <n v="-9"/>
    <x v="0"/>
    <x v="0"/>
    <x v="0"/>
    <x v="0"/>
  </r>
  <r>
    <x v="0"/>
    <d v="2026-10-02T00:00:00"/>
    <s v="Saba Estacionamientos"/>
    <n v="1750"/>
    <x v="1"/>
    <x v="1"/>
    <x v="1"/>
    <x v="19"/>
  </r>
  <r>
    <x v="0"/>
    <d v="2026-10-02T00:00:00"/>
    <s v="Meli Dólar"/>
    <n v="-120"/>
    <x v="0"/>
    <x v="0"/>
    <x v="0"/>
    <x v="0"/>
  </r>
  <r>
    <x v="0"/>
    <d v="2026-10-02T00:00:00"/>
    <s v="Zara Plaza Vespucio"/>
    <n v="23990"/>
    <x v="1"/>
    <x v="1"/>
    <x v="1"/>
    <x v="8"/>
  </r>
  <r>
    <x v="0"/>
    <d v="2026-10-02T00:00:00"/>
    <s v="Meli Dólar"/>
    <n v="-44"/>
    <x v="0"/>
    <x v="0"/>
    <x v="0"/>
    <x v="0"/>
  </r>
  <r>
    <x v="0"/>
    <d v="2026-10-02T00:00:00"/>
    <s v="Yogenfruz"/>
    <n v="8880"/>
    <x v="1"/>
    <x v="1"/>
    <x v="1"/>
    <x v="10"/>
  </r>
  <r>
    <x v="0"/>
    <d v="2026-10-02T00:00:00"/>
    <s v="Meli Dólar"/>
    <n v="-50"/>
    <x v="0"/>
    <x v="0"/>
    <x v="0"/>
    <x v="0"/>
  </r>
  <r>
    <x v="0"/>
    <d v="2026-10-02T00:00:00"/>
    <s v="Pichara Vespucio Inter"/>
    <n v="10072"/>
    <x v="1"/>
    <x v="1"/>
    <x v="1"/>
    <x v="8"/>
  </r>
  <r>
    <x v="0"/>
    <d v="2026-10-02T00:00:00"/>
    <s v="Meli Dólar"/>
    <n v="-42"/>
    <x v="0"/>
    <x v="0"/>
    <x v="0"/>
    <x v="0"/>
  </r>
  <r>
    <x v="0"/>
    <d v="2026-10-02T00:00:00"/>
    <s v="Carls Jr Terrazas"/>
    <n v="8490"/>
    <x v="1"/>
    <x v="1"/>
    <x v="1"/>
    <x v="10"/>
  </r>
  <r>
    <x v="0"/>
    <d v="2026-10-02T00:00:00"/>
    <s v="Meli Dólar"/>
    <n v="-3"/>
    <x v="0"/>
    <x v="0"/>
    <x v="0"/>
    <x v="0"/>
  </r>
  <r>
    <x v="0"/>
    <d v="2026-10-02T00:00:00"/>
    <s v="Vendomatica 303"/>
    <n v="650"/>
    <x v="1"/>
    <x v="1"/>
    <x v="1"/>
    <x v="2"/>
  </r>
  <r>
    <x v="0"/>
    <d v="2026-10-02T00:00:00"/>
    <s v="Uber ChileUber Chile"/>
    <n v="1879"/>
    <x v="1"/>
    <x v="1"/>
    <x v="1"/>
    <x v="2"/>
  </r>
  <r>
    <x v="0"/>
    <d v="2026-10-02T00:00:00"/>
    <s v="Meli Dólar"/>
    <n v="-22"/>
    <x v="0"/>
    <x v="0"/>
    <x v="0"/>
    <x v="0"/>
  </r>
  <r>
    <x v="0"/>
    <d v="2026-10-02T00:00:00"/>
    <s v="Sodexochile"/>
    <n v="4459"/>
    <x v="1"/>
    <x v="1"/>
    <x v="2"/>
    <x v="3"/>
  </r>
  <r>
    <x v="0"/>
    <d v="2026-10-02T00:00:00"/>
    <s v="Yoselyn Rojas"/>
    <n v="10000"/>
    <x v="1"/>
    <x v="1"/>
    <x v="1"/>
    <x v="8"/>
  </r>
  <r>
    <x v="0"/>
    <d v="2026-10-02T00:00:00"/>
    <s v="Meli Dólar"/>
    <n v="-8"/>
    <x v="0"/>
    <x v="0"/>
    <x v="0"/>
    <x v="0"/>
  </r>
  <r>
    <x v="0"/>
    <d v="2026-10-02T00:00:00"/>
    <s v="Sodexochile"/>
    <n v="1500"/>
    <x v="1"/>
    <x v="1"/>
    <x v="2"/>
    <x v="2"/>
  </r>
  <r>
    <x v="0"/>
    <d v="2026-10-02T00:00:00"/>
    <s v="Meli Dólar"/>
    <n v="-1125"/>
    <x v="0"/>
    <x v="0"/>
    <x v="0"/>
    <x v="0"/>
  </r>
  <r>
    <x v="0"/>
    <d v="2026-10-02T00:00:00"/>
    <s v="Mundo Tuareg Eirl"/>
    <n v="225000"/>
    <x v="1"/>
    <x v="1"/>
    <x v="1"/>
    <x v="7"/>
  </r>
  <r>
    <x v="0"/>
    <d v="2026-10-02T00:00:00"/>
    <s v="Meli Dólar"/>
    <n v="-10"/>
    <x v="0"/>
    <x v="0"/>
    <x v="0"/>
    <x v="0"/>
  </r>
  <r>
    <x v="0"/>
    <d v="2026-10-02T00:00:00"/>
    <s v="File 522"/>
    <n v="1990"/>
    <x v="1"/>
    <x v="1"/>
    <x v="1"/>
    <x v="2"/>
  </r>
  <r>
    <x v="0"/>
    <d v="2026-10-02T00:00:00"/>
    <s v="Meli Dólar"/>
    <n v="-50"/>
    <x v="0"/>
    <x v="0"/>
    <x v="0"/>
    <x v="0"/>
  </r>
  <r>
    <x v="0"/>
    <d v="2026-10-02T00:00:00"/>
    <s v="Shel Walker Martinez F"/>
    <n v="10000"/>
    <x v="1"/>
    <x v="1"/>
    <x v="1"/>
    <x v="7"/>
  </r>
  <r>
    <x v="0"/>
    <d v="2026-10-01T00:00:00"/>
    <s v="Comision Por Plan Cta Cte"/>
    <n v="3406"/>
    <x v="1"/>
    <x v="2"/>
    <x v="1"/>
    <x v="25"/>
  </r>
  <r>
    <x v="0"/>
    <d v="2026-10-01T00:00:00"/>
    <s v="Comision Por Plan Cta Cte"/>
    <n v="3402"/>
    <x v="1"/>
    <x v="2"/>
    <x v="1"/>
    <x v="25"/>
  </r>
  <r>
    <x v="0"/>
    <d v="2026-10-01T00:00:00"/>
    <s v="Comision Por Plan Cta Cte"/>
    <n v="3402"/>
    <x v="1"/>
    <x v="2"/>
    <x v="1"/>
    <x v="25"/>
  </r>
  <r>
    <x v="0"/>
    <d v="2026-10-01T00:00:00"/>
    <s v="Comision Por Plan Cta Cte"/>
    <n v="3394"/>
    <x v="1"/>
    <x v="2"/>
    <x v="1"/>
    <x v="25"/>
  </r>
  <r>
    <x v="0"/>
    <d v="2026-10-01T00:00:00"/>
    <s v="Transferencia enviada a Fintual AGF"/>
    <n v="150000"/>
    <x v="1"/>
    <x v="1"/>
    <x v="3"/>
    <x v="16"/>
  </r>
  <r>
    <x v="0"/>
    <d v="2026-10-01T00:00:00"/>
    <s v="Meli Dólar"/>
    <n v="-13"/>
    <x v="0"/>
    <x v="0"/>
    <x v="0"/>
    <x v="0"/>
  </r>
  <r>
    <x v="0"/>
    <d v="2026-10-01T00:00:00"/>
    <s v="Greatlhete"/>
    <n v="2500"/>
    <x v="1"/>
    <x v="1"/>
    <x v="1"/>
    <x v="2"/>
  </r>
  <r>
    <x v="0"/>
    <d v="2026-10-01T00:00:00"/>
    <s v="Mercado Pago"/>
    <n v="-4"/>
    <x v="0"/>
    <x v="0"/>
    <x v="0"/>
    <x v="0"/>
  </r>
  <r>
    <x v="0"/>
    <d v="2026-10-01T00:00:00"/>
    <s v="Meli Dólar"/>
    <n v="-9"/>
    <x v="0"/>
    <x v="0"/>
    <x v="0"/>
    <x v="0"/>
  </r>
  <r>
    <x v="0"/>
    <d v="2026-10-01T00:00:00"/>
    <s v="Jairo"/>
    <n v="1840"/>
    <x v="1"/>
    <x v="1"/>
    <x v="1"/>
    <x v="2"/>
  </r>
  <r>
    <x v="0"/>
    <d v="2026-10-01T00:00:00"/>
    <s v="Meli Dólar"/>
    <n v="-8"/>
    <x v="0"/>
    <x v="0"/>
    <x v="0"/>
    <x v="0"/>
  </r>
  <r>
    <x v="0"/>
    <d v="2026-10-01T00:00:00"/>
    <s v="Heladomania"/>
    <n v="1500"/>
    <x v="1"/>
    <x v="1"/>
    <x v="1"/>
    <x v="2"/>
  </r>
  <r>
    <x v="0"/>
    <d v="2026-10-01T00:00:00"/>
    <s v="PedidosyaPedidosya"/>
    <n v="55637"/>
    <x v="1"/>
    <x v="1"/>
    <x v="1"/>
    <x v="6"/>
  </r>
  <r>
    <x v="0"/>
    <d v="2026-10-01T00:00:00"/>
    <s v="Meli Dólar"/>
    <n v="-25"/>
    <x v="0"/>
    <x v="0"/>
    <x v="0"/>
    <x v="0"/>
  </r>
  <r>
    <x v="0"/>
    <d v="2026-10-01T00:00:00"/>
    <s v="Pupikacandles"/>
    <n v="5000"/>
    <x v="1"/>
    <x v="1"/>
    <x v="1"/>
    <x v="2"/>
  </r>
  <r>
    <x v="0"/>
    <d v="2026-10-01T00:00:00"/>
    <s v="Meli Dólar"/>
    <n v="-37"/>
    <x v="0"/>
    <x v="0"/>
    <x v="0"/>
    <x v="0"/>
  </r>
  <r>
    <x v="0"/>
    <d v="2026-10-01T00:00:00"/>
    <s v="Pichara Mall Plaza Ves"/>
    <n v="7479"/>
    <x v="1"/>
    <x v="1"/>
    <x v="1"/>
    <x v="8"/>
  </r>
  <r>
    <x v="0"/>
    <d v="2026-10-01T00:00:00"/>
    <s v="Meli Dólar"/>
    <n v="-270"/>
    <x v="0"/>
    <x v="0"/>
    <x v="0"/>
    <x v="0"/>
  </r>
  <r>
    <x v="0"/>
    <d v="2026-10-01T00:00:00"/>
    <s v="Socdeinversio"/>
    <n v="53960"/>
    <x v="1"/>
    <x v="1"/>
    <x v="1"/>
    <x v="8"/>
  </r>
  <r>
    <x v="0"/>
    <d v="2026-10-01T00:00:00"/>
    <s v="GoogleGoogle"/>
    <n v="4690"/>
    <x v="1"/>
    <x v="1"/>
    <x v="2"/>
    <x v="4"/>
  </r>
  <r>
    <x v="0"/>
    <d v="2026-10-01T00:00:00"/>
    <s v="Alejandra Bozo"/>
    <n v="19000"/>
    <x v="1"/>
    <x v="1"/>
    <x v="1"/>
    <x v="8"/>
  </r>
  <r>
    <x v="0"/>
    <d v="2026-10-01T00:00:00"/>
    <s v="Meli Dólar"/>
    <n v="-22"/>
    <x v="0"/>
    <x v="0"/>
    <x v="0"/>
    <x v="0"/>
  </r>
  <r>
    <x v="0"/>
    <d v="2026-10-01T00:00:00"/>
    <s v="Sodexochile"/>
    <n v="4459"/>
    <x v="1"/>
    <x v="1"/>
    <x v="2"/>
    <x v="3"/>
  </r>
  <r>
    <x v="0"/>
    <d v="2026-10-01T00:00:00"/>
    <s v="Fernando Arriagada"/>
    <n v="109144"/>
    <x v="1"/>
    <x v="1"/>
    <x v="2"/>
    <x v="26"/>
  </r>
  <r>
    <x v="0"/>
    <d v="2026-10-01T00:00:00"/>
    <s v="Entel HogarEntel Hogar"/>
    <n v="35981"/>
    <x v="1"/>
    <x v="1"/>
    <x v="2"/>
    <x v="26"/>
  </r>
  <r>
    <x v="0"/>
    <d v="2026-10-01T00:00:00"/>
    <s v="Aguas AndinasAguas Andinas"/>
    <n v="39804"/>
    <x v="1"/>
    <x v="1"/>
    <x v="2"/>
    <x v="26"/>
  </r>
  <r>
    <x v="0"/>
    <d v="2026-10-01T00:00:00"/>
    <s v="Condominio Tarragona"/>
    <n v="206427"/>
    <x v="1"/>
    <x v="1"/>
    <x v="2"/>
    <x v="27"/>
  </r>
  <r>
    <x v="0"/>
    <d v="2026-10-01T00:00:00"/>
    <s v="Ingreso de dinero"/>
    <n v="-3103529"/>
    <x v="0"/>
    <x v="0"/>
    <x v="0"/>
    <x v="28"/>
  </r>
  <r>
    <x v="0"/>
    <d v="2026-10-01T00:00:00"/>
    <s v="PedidosyaPedidosya"/>
    <n v="10080"/>
    <x v="1"/>
    <x v="1"/>
    <x v="1"/>
    <x v="10"/>
  </r>
  <r>
    <x v="0"/>
    <d v="2026-10-01T00:00:00"/>
    <s v="Pedidosya PlusPedidosya Plus"/>
    <n v="1849"/>
    <x v="1"/>
    <x v="1"/>
    <x v="2"/>
    <x v="4"/>
  </r>
  <r>
    <x v="0"/>
    <d v="2026-10-01T00:00:00"/>
    <s v="Ingreso de dinero"/>
    <n v="-25000"/>
    <x v="0"/>
    <x v="0"/>
    <x v="0"/>
    <x v="29"/>
  </r>
  <r>
    <x v="0"/>
    <d v="2026-10-01T00:00:00"/>
    <s v="Estacion De Servicio Cuatro In Estacion De Servicio Cuatro In"/>
    <n v="1290"/>
    <x v="1"/>
    <x v="1"/>
    <x v="1"/>
    <x v="2"/>
  </r>
  <r>
    <x v="0"/>
    <d v="2026-10-01T00:00:00"/>
    <s v="Estacion De Servicio Cuatro In Estacion De Servicio Cuatro In"/>
    <n v="1000"/>
    <x v="1"/>
    <x v="1"/>
    <x v="1"/>
    <x v="2"/>
  </r>
  <r>
    <x v="0"/>
    <d v="2026-10-01T00:00:00"/>
    <s v="Meli Dólar"/>
    <n v="-50"/>
    <x v="0"/>
    <x v="0"/>
    <x v="0"/>
    <x v="0"/>
  </r>
  <r>
    <x v="0"/>
    <d v="2026-10-01T00:00:00"/>
    <s v="Shell.f472.colombia 71"/>
    <n v="10000"/>
    <x v="1"/>
    <x v="1"/>
    <x v="1"/>
    <x v="7"/>
  </r>
  <r>
    <x v="1"/>
    <d v="2026-09-30T00:00:00"/>
    <s v="Amazon PrimeAmazon Prime"/>
    <n v="6490"/>
    <x v="1"/>
    <x v="1"/>
    <x v="2"/>
    <x v="4"/>
  </r>
  <r>
    <x v="1"/>
    <d v="2026-09-30T00:00:00"/>
    <s v="Mercado Pago"/>
    <n v="-4"/>
    <x v="0"/>
    <x v="0"/>
    <x v="0"/>
    <x v="0"/>
  </r>
  <r>
    <x v="1"/>
    <d v="2026-09-30T00:00:00"/>
    <s v="Meli Dólar"/>
    <n v="-4"/>
    <x v="0"/>
    <x v="0"/>
    <x v="0"/>
    <x v="0"/>
  </r>
  <r>
    <x v="1"/>
    <d v="2026-09-30T00:00:00"/>
    <s v="Outletfit"/>
    <n v="700"/>
    <x v="1"/>
    <x v="1"/>
    <x v="1"/>
    <x v="2"/>
  </r>
  <r>
    <x v="1"/>
    <d v="2026-09-30T00:00:00"/>
    <s v="Meli Dólar"/>
    <n v="-30"/>
    <x v="0"/>
    <x v="0"/>
    <x v="0"/>
    <x v="0"/>
  </r>
  <r>
    <x v="1"/>
    <d v="2026-09-30T00:00:00"/>
    <s v="Territoria Apoquindo"/>
    <n v="6000"/>
    <x v="1"/>
    <x v="1"/>
    <x v="1"/>
    <x v="19"/>
  </r>
  <r>
    <x v="1"/>
    <d v="2026-09-30T00:00:00"/>
    <s v="Meli Dólar"/>
    <n v="-24"/>
    <x v="0"/>
    <x v="0"/>
    <x v="0"/>
    <x v="0"/>
  </r>
  <r>
    <x v="1"/>
    <d v="2026-09-30T00:00:00"/>
    <s v="Spid Mut - O871"/>
    <n v="4780"/>
    <x v="1"/>
    <x v="1"/>
    <x v="1"/>
    <x v="6"/>
  </r>
  <r>
    <x v="1"/>
    <d v="2026-09-30T00:00:00"/>
    <s v="Meli Dólar"/>
    <n v="-261"/>
    <x v="0"/>
    <x v="0"/>
    <x v="0"/>
    <x v="0"/>
  </r>
  <r>
    <x v="1"/>
    <d v="2026-09-30T00:00:00"/>
    <s v="Casa Asa"/>
    <n v="52140"/>
    <x v="1"/>
    <x v="1"/>
    <x v="1"/>
    <x v="10"/>
  </r>
  <r>
    <x v="1"/>
    <d v="2026-09-30T00:00:00"/>
    <s v="Meli Dólar"/>
    <n v="-15"/>
    <x v="0"/>
    <x v="0"/>
    <x v="0"/>
    <x v="0"/>
  </r>
  <r>
    <x v="1"/>
    <d v="2026-09-30T00:00:00"/>
    <s v="Chickint"/>
    <n v="2900"/>
    <x v="1"/>
    <x v="1"/>
    <x v="1"/>
    <x v="10"/>
  </r>
  <r>
    <x v="1"/>
    <d v="2026-09-30T00:00:00"/>
    <s v="Meli Dólar"/>
    <n v="-25"/>
    <x v="0"/>
    <x v="0"/>
    <x v="0"/>
    <x v="0"/>
  </r>
  <r>
    <x v="1"/>
    <d v="2026-09-30T00:00:00"/>
    <s v="Chickint"/>
    <n v="4990"/>
    <x v="1"/>
    <x v="1"/>
    <x v="1"/>
    <x v="10"/>
  </r>
  <r>
    <x v="1"/>
    <d v="2026-09-30T00:00:00"/>
    <s v="Meli Dólar"/>
    <n v="-25"/>
    <x v="0"/>
    <x v="0"/>
    <x v="0"/>
    <x v="0"/>
  </r>
  <r>
    <x v="1"/>
    <d v="2026-09-30T00:00:00"/>
    <s v="Chickint"/>
    <n v="4990"/>
    <x v="1"/>
    <x v="1"/>
    <x v="1"/>
    <x v="10"/>
  </r>
  <r>
    <x v="1"/>
    <d v="2026-09-30T00:00:00"/>
    <s v="App Shell"/>
    <n v="10000"/>
    <x v="1"/>
    <x v="1"/>
    <x v="1"/>
    <x v="7"/>
  </r>
  <r>
    <x v="1"/>
    <d v="2026-09-29T00:00:00"/>
    <s v="Uber Pagos ChileUber Pagos Chile"/>
    <n v="-33464"/>
    <x v="0"/>
    <x v="0"/>
    <x v="0"/>
    <x v="5"/>
  </r>
  <r>
    <x v="1"/>
    <d v="2026-09-29T00:00:00"/>
    <s v="Uber Pagos ChileUber Pagos Chile"/>
    <n v="-98934"/>
    <x v="0"/>
    <x v="0"/>
    <x v="0"/>
    <x v="5"/>
  </r>
  <r>
    <x v="1"/>
    <d v="2026-09-29T00:00:00"/>
    <s v="Mercado Pago"/>
    <n v="-2"/>
    <x v="0"/>
    <x v="0"/>
    <x v="0"/>
    <x v="0"/>
  </r>
  <r>
    <x v="1"/>
    <d v="2026-09-29T00:00:00"/>
    <s v="App Shell"/>
    <n v="10000"/>
    <x v="1"/>
    <x v="1"/>
    <x v="1"/>
    <x v="7"/>
  </r>
  <r>
    <x v="1"/>
    <d v="2026-09-29T00:00:00"/>
    <s v="Meli Dólar"/>
    <n v="-65"/>
    <x v="0"/>
    <x v="0"/>
    <x v="0"/>
    <x v="0"/>
  </r>
  <r>
    <x v="1"/>
    <d v="2026-09-29T00:00:00"/>
    <s v="Alicia Jazmin Carfulen"/>
    <n v="12900"/>
    <x v="1"/>
    <x v="1"/>
    <x v="1"/>
    <x v="2"/>
  </r>
  <r>
    <x v="1"/>
    <d v="2026-09-29T00:00:00"/>
    <s v="Meli Dólar"/>
    <n v="-22"/>
    <x v="0"/>
    <x v="0"/>
    <x v="0"/>
    <x v="0"/>
  </r>
  <r>
    <x v="1"/>
    <d v="2026-09-29T00:00:00"/>
    <s v="Sodexochile"/>
    <n v="4459"/>
    <x v="1"/>
    <x v="1"/>
    <x v="2"/>
    <x v="3"/>
  </r>
  <r>
    <x v="1"/>
    <d v="2026-09-29T00:00:00"/>
    <s v="Meli Dólar"/>
    <n v="-5"/>
    <x v="0"/>
    <x v="0"/>
    <x v="0"/>
    <x v="0"/>
  </r>
  <r>
    <x v="1"/>
    <d v="2026-09-29T00:00:00"/>
    <s v="Vendomatica 303"/>
    <n v="1000"/>
    <x v="1"/>
    <x v="1"/>
    <x v="1"/>
    <x v="2"/>
  </r>
  <r>
    <x v="1"/>
    <d v="2026-09-29T00:00:00"/>
    <s v="App Shell"/>
    <n v="10000"/>
    <x v="1"/>
    <x v="1"/>
    <x v="1"/>
    <x v="7"/>
  </r>
  <r>
    <x v="1"/>
    <d v="2026-09-28T00:00:00"/>
    <s v="Meli Dólar"/>
    <n v="-20"/>
    <x v="0"/>
    <x v="0"/>
    <x v="0"/>
    <x v="0"/>
  </r>
  <r>
    <x v="1"/>
    <d v="2026-09-28T00:00:00"/>
    <s v="Redgloba Comercial Teo"/>
    <n v="3960"/>
    <x v="1"/>
    <x v="1"/>
    <x v="1"/>
    <x v="2"/>
  </r>
  <r>
    <x v="1"/>
    <d v="2026-09-28T00:00:00"/>
    <s v="Meli Dólar"/>
    <n v="-13"/>
    <x v="0"/>
    <x v="0"/>
    <x v="0"/>
    <x v="0"/>
  </r>
  <r>
    <x v="1"/>
    <d v="2026-09-28T00:00:00"/>
    <s v="Greatlhete"/>
    <n v="2500"/>
    <x v="1"/>
    <x v="1"/>
    <x v="1"/>
    <x v="2"/>
  </r>
  <r>
    <x v="1"/>
    <d v="2026-09-28T00:00:00"/>
    <s v="Meli Dólar"/>
    <n v="-4"/>
    <x v="0"/>
    <x v="0"/>
    <x v="0"/>
    <x v="0"/>
  </r>
  <r>
    <x v="1"/>
    <d v="2026-09-28T00:00:00"/>
    <s v="Outletfit"/>
    <n v="700"/>
    <x v="1"/>
    <x v="1"/>
    <x v="1"/>
    <x v="2"/>
  </r>
  <r>
    <x v="1"/>
    <d v="2026-09-28T00:00:00"/>
    <s v="Mercado Pago"/>
    <n v="-5"/>
    <x v="0"/>
    <x v="0"/>
    <x v="0"/>
    <x v="0"/>
  </r>
  <r>
    <x v="1"/>
    <d v="2026-09-28T00:00:00"/>
    <s v="Meli Dólar"/>
    <n v="-8"/>
    <x v="0"/>
    <x v="0"/>
    <x v="0"/>
    <x v="0"/>
  </r>
  <r>
    <x v="1"/>
    <d v="2026-09-28T00:00:00"/>
    <s v="Heladomania"/>
    <n v="1500"/>
    <x v="1"/>
    <x v="1"/>
    <x v="1"/>
    <x v="2"/>
  </r>
  <r>
    <x v="1"/>
    <d v="2026-09-28T00:00:00"/>
    <s v="Isapre Consalud"/>
    <n v="720"/>
    <x v="1"/>
    <x v="1"/>
    <x v="1"/>
    <x v="24"/>
  </r>
  <r>
    <x v="1"/>
    <d v="2026-09-28T00:00:00"/>
    <s v="Meli Dólar"/>
    <n v="-22"/>
    <x v="0"/>
    <x v="0"/>
    <x v="0"/>
    <x v="0"/>
  </r>
  <r>
    <x v="1"/>
    <d v="2026-09-28T00:00:00"/>
    <s v="Sodexochile"/>
    <n v="4459"/>
    <x v="1"/>
    <x v="1"/>
    <x v="2"/>
    <x v="3"/>
  </r>
  <r>
    <x v="1"/>
    <d v="2026-09-28T00:00:00"/>
    <s v="Rojas Garrido Tania Silvia Del CarmenRojas Garrido Tania Silvia Del Carmen"/>
    <n v="-25000"/>
    <x v="0"/>
    <x v="0"/>
    <x v="0"/>
    <x v="29"/>
  </r>
  <r>
    <x v="1"/>
    <d v="2026-09-28T00:00:00"/>
    <s v="Meli Dólar"/>
    <n v="-9"/>
    <x v="0"/>
    <x v="0"/>
    <x v="0"/>
    <x v="0"/>
  </r>
  <r>
    <x v="1"/>
    <d v="2026-09-28T00:00:00"/>
    <s v="Sodexochile"/>
    <n v="1700"/>
    <x v="1"/>
    <x v="1"/>
    <x v="2"/>
    <x v="2"/>
  </r>
  <r>
    <x v="1"/>
    <d v="2026-09-28T00:00:00"/>
    <s v="Venta de Meli Dólar"/>
    <n v="-2386"/>
    <x v="0"/>
    <x v="0"/>
    <x v="0"/>
    <x v="0"/>
  </r>
  <r>
    <x v="1"/>
    <d v="2026-09-27T00:00:00"/>
    <s v="Meli Dólar"/>
    <n v="-155"/>
    <x v="0"/>
    <x v="0"/>
    <x v="0"/>
    <x v="0"/>
  </r>
  <r>
    <x v="1"/>
    <d v="2026-09-27T00:00:00"/>
    <s v="Walker Martinez 315"/>
    <n v="30950"/>
    <x v="1"/>
    <x v="1"/>
    <x v="1"/>
    <x v="6"/>
  </r>
  <r>
    <x v="1"/>
    <d v="2026-09-27T00:00:00"/>
    <s v="Meli Dólar"/>
    <n v="-3"/>
    <x v="0"/>
    <x v="0"/>
    <x v="0"/>
    <x v="0"/>
  </r>
  <r>
    <x v="1"/>
    <d v="2026-09-27T00:00:00"/>
    <s v="Saba Estacionamientos"/>
    <n v="550"/>
    <x v="1"/>
    <x v="1"/>
    <x v="1"/>
    <x v="19"/>
  </r>
  <r>
    <x v="1"/>
    <d v="2026-09-27T00:00:00"/>
    <s v="Fernando Javier Arriagada Concha"/>
    <n v="9400"/>
    <x v="1"/>
    <x v="1"/>
    <x v="1"/>
    <x v="10"/>
  </r>
  <r>
    <x v="1"/>
    <d v="2026-09-27T00:00:00"/>
    <s v="Meli Dólar"/>
    <n v="-90"/>
    <x v="0"/>
    <x v="0"/>
    <x v="0"/>
    <x v="0"/>
  </r>
  <r>
    <x v="1"/>
    <d v="2026-09-27T00:00:00"/>
    <s v="Zara Plaza Vespucio"/>
    <n v="17990"/>
    <x v="1"/>
    <x v="1"/>
    <x v="1"/>
    <x v="12"/>
  </r>
  <r>
    <x v="1"/>
    <d v="2026-09-27T00:00:00"/>
    <s v="Meli Dólar"/>
    <n v="-50"/>
    <x v="0"/>
    <x v="0"/>
    <x v="0"/>
    <x v="0"/>
  </r>
  <r>
    <x v="1"/>
    <d v="2026-09-27T00:00:00"/>
    <s v="Aramco"/>
    <n v="10000"/>
    <x v="1"/>
    <x v="1"/>
    <x v="1"/>
    <x v="7"/>
  </r>
  <r>
    <x v="1"/>
    <d v="2026-09-26T00:00:00"/>
    <s v="Meli Dólar"/>
    <n v="-22"/>
    <x v="0"/>
    <x v="0"/>
    <x v="0"/>
    <x v="0"/>
  </r>
  <r>
    <x v="1"/>
    <d v="2026-09-26T00:00:00"/>
    <s v="Redgloba Comercial Teo"/>
    <n v="4380"/>
    <x v="1"/>
    <x v="1"/>
    <x v="1"/>
    <x v="6"/>
  </r>
  <r>
    <x v="1"/>
    <d v="2026-09-26T00:00:00"/>
    <s v="Meli Dólar"/>
    <n v="-22"/>
    <x v="0"/>
    <x v="0"/>
    <x v="0"/>
    <x v="0"/>
  </r>
  <r>
    <x v="1"/>
    <d v="2026-09-26T00:00:00"/>
    <s v="Olaf Edmundo Biaggini"/>
    <n v="4350"/>
    <x v="1"/>
    <x v="1"/>
    <x v="1"/>
    <x v="2"/>
  </r>
  <r>
    <x v="1"/>
    <d v="2026-09-26T00:00:00"/>
    <s v="App Shell"/>
    <n v="14135"/>
    <x v="1"/>
    <x v="1"/>
    <x v="1"/>
    <x v="7"/>
  </r>
  <r>
    <x v="1"/>
    <d v="2026-09-26T00:00:00"/>
    <s v="Gonzalez, Gonzalez Y Compania Gonzalez, Gonzalez Y Compania"/>
    <n v="1990"/>
    <x v="1"/>
    <x v="1"/>
    <x v="1"/>
    <x v="2"/>
  </r>
  <r>
    <x v="1"/>
    <d v="2026-09-26T00:00:00"/>
    <s v="Copec Copec La Ciste"/>
    <n v="1000"/>
    <x v="1"/>
    <x v="1"/>
    <x v="1"/>
    <x v="2"/>
  </r>
  <r>
    <x v="1"/>
    <d v="2026-09-26T00:00:00"/>
    <s v="Copec Copec La Ciste"/>
    <n v="1000"/>
    <x v="1"/>
    <x v="1"/>
    <x v="1"/>
    <x v="2"/>
  </r>
  <r>
    <x v="1"/>
    <d v="2026-09-26T00:00:00"/>
    <s v="Copec Copec La Flori"/>
    <n v="9896"/>
    <x v="1"/>
    <x v="1"/>
    <x v="1"/>
    <x v="7"/>
  </r>
  <r>
    <x v="1"/>
    <d v="2026-09-26T00:00:00"/>
    <s v="Meli Dólar"/>
    <n v="-156"/>
    <x v="0"/>
    <x v="0"/>
    <x v="0"/>
    <x v="0"/>
  </r>
  <r>
    <x v="1"/>
    <d v="2026-09-26T00:00:00"/>
    <s v="Walker Martinez 315"/>
    <n v="31190"/>
    <x v="1"/>
    <x v="1"/>
    <x v="1"/>
    <x v="6"/>
  </r>
  <r>
    <x v="1"/>
    <d v="2026-09-25T00:00:00"/>
    <s v="Meli Dólar"/>
    <n v="-13"/>
    <x v="0"/>
    <x v="0"/>
    <x v="0"/>
    <x v="0"/>
  </r>
  <r>
    <x v="1"/>
    <d v="2026-09-25T00:00:00"/>
    <s v="Pastelitopipo"/>
    <n v="2500"/>
    <x v="1"/>
    <x v="1"/>
    <x v="1"/>
    <x v="2"/>
  </r>
  <r>
    <x v="1"/>
    <d v="2026-09-25T00:00:00"/>
    <s v="Meli Dólar"/>
    <n v="-44"/>
    <x v="0"/>
    <x v="0"/>
    <x v="0"/>
    <x v="0"/>
  </r>
  <r>
    <x v="1"/>
    <d v="2026-09-25T00:00:00"/>
    <s v="Redgloba Comercial Teo"/>
    <n v="8750"/>
    <x v="1"/>
    <x v="1"/>
    <x v="1"/>
    <x v="6"/>
  </r>
  <r>
    <x v="1"/>
    <d v="2026-09-25T00:00:00"/>
    <s v="Uber Pagos ChileUber Pagos Chile"/>
    <n v="-37854"/>
    <x v="0"/>
    <x v="0"/>
    <x v="0"/>
    <x v="5"/>
  </r>
  <r>
    <x v="1"/>
    <d v="2026-09-25T00:00:00"/>
    <s v="Mercado Pago"/>
    <n v="-21"/>
    <x v="0"/>
    <x v="0"/>
    <x v="0"/>
    <x v="0"/>
  </r>
  <r>
    <x v="1"/>
    <d v="2026-09-25T00:00:00"/>
    <s v="Copec Copec Macul"/>
    <n v="9090"/>
    <x v="1"/>
    <x v="1"/>
    <x v="1"/>
    <x v="7"/>
  </r>
  <r>
    <x v="1"/>
    <d v="2026-09-25T00:00:00"/>
    <s v="Fernando Javier Arriagada Concha"/>
    <n v="10000"/>
    <x v="1"/>
    <x v="1"/>
    <x v="1"/>
    <x v="15"/>
  </r>
  <r>
    <x v="1"/>
    <d v="2026-09-25T00:00:00"/>
    <s v="Meli Dólar"/>
    <n v="-22"/>
    <x v="0"/>
    <x v="0"/>
    <x v="0"/>
    <x v="0"/>
  </r>
  <r>
    <x v="1"/>
    <d v="2026-09-25T00:00:00"/>
    <s v="Sodexochile"/>
    <n v="4459"/>
    <x v="1"/>
    <x v="1"/>
    <x v="2"/>
    <x v="3"/>
  </r>
  <r>
    <x v="1"/>
    <d v="2026-09-25T00:00:00"/>
    <s v="Meli Dólar"/>
    <n v="-5"/>
    <x v="0"/>
    <x v="0"/>
    <x v="0"/>
    <x v="0"/>
  </r>
  <r>
    <x v="1"/>
    <d v="2026-09-25T00:00:00"/>
    <s v="Vendomatica 303"/>
    <n v="1000"/>
    <x v="1"/>
    <x v="1"/>
    <x v="1"/>
    <x v="2"/>
  </r>
  <r>
    <x v="1"/>
    <d v="2026-09-24T00:00:00"/>
    <s v="Ks Compra Restaujusto"/>
    <n v="23503"/>
    <x v="1"/>
    <x v="1"/>
    <x v="1"/>
    <x v="10"/>
  </r>
  <r>
    <x v="1"/>
    <d v="2026-09-24T00:00:00"/>
    <s v="Meli Dólar"/>
    <n v="-8"/>
    <x v="0"/>
    <x v="0"/>
    <x v="0"/>
    <x v="0"/>
  </r>
  <r>
    <x v="1"/>
    <d v="2026-09-24T00:00:00"/>
    <s v="Parking Mall Florida C"/>
    <n v="1550"/>
    <x v="1"/>
    <x v="1"/>
    <x v="1"/>
    <x v="19"/>
  </r>
  <r>
    <x v="1"/>
    <d v="2026-09-24T00:00:00"/>
    <s v="Mercado Pago"/>
    <n v="-8"/>
    <x v="0"/>
    <x v="0"/>
    <x v="0"/>
    <x v="0"/>
  </r>
  <r>
    <x v="1"/>
    <d v="2026-09-24T00:00:00"/>
    <s v="Meli Dólar"/>
    <n v="-6"/>
    <x v="0"/>
    <x v="0"/>
    <x v="0"/>
    <x v="0"/>
  </r>
  <r>
    <x v="1"/>
    <d v="2026-09-24T00:00:00"/>
    <s v="Vendomatica 303"/>
    <n v="1200"/>
    <x v="1"/>
    <x v="1"/>
    <x v="1"/>
    <x v="2"/>
  </r>
  <r>
    <x v="1"/>
    <d v="2026-09-24T00:00:00"/>
    <s v="SpotifySpotify"/>
    <n v="6750"/>
    <x v="1"/>
    <x v="1"/>
    <x v="2"/>
    <x v="4"/>
  </r>
  <r>
    <x v="1"/>
    <d v="2026-09-24T00:00:00"/>
    <s v="Meli Dólar"/>
    <n v="-22"/>
    <x v="0"/>
    <x v="0"/>
    <x v="0"/>
    <x v="0"/>
  </r>
  <r>
    <x v="1"/>
    <d v="2026-09-24T00:00:00"/>
    <s v="Sodexochile"/>
    <n v="4459"/>
    <x v="1"/>
    <x v="1"/>
    <x v="2"/>
    <x v="3"/>
  </r>
  <r>
    <x v="1"/>
    <d v="2026-09-24T00:00:00"/>
    <s v="Meli Dólar"/>
    <n v="-25"/>
    <x v="0"/>
    <x v="0"/>
    <x v="0"/>
    <x v="0"/>
  </r>
  <r>
    <x v="1"/>
    <d v="2026-09-24T00:00:00"/>
    <s v="Greatlhete"/>
    <n v="4990"/>
    <x v="1"/>
    <x v="1"/>
    <x v="1"/>
    <x v="2"/>
  </r>
  <r>
    <x v="1"/>
    <d v="2026-09-24T00:00:00"/>
    <s v="App Shell"/>
    <n v="20000"/>
    <x v="1"/>
    <x v="1"/>
    <x v="1"/>
    <x v="7"/>
  </r>
  <r>
    <x v="1"/>
    <d v="2026-09-24T00:00:00"/>
    <s v="Inversiones Enex S.A. Inversiones Enex S.A."/>
    <n v="1990"/>
    <x v="1"/>
    <x v="1"/>
    <x v="1"/>
    <x v="2"/>
  </r>
  <r>
    <x v="1"/>
    <d v="2026-09-23T00:00:00"/>
    <s v="Copec Copec La Flori"/>
    <n v="6090"/>
    <x v="1"/>
    <x v="1"/>
    <x v="1"/>
    <x v="2"/>
  </r>
  <r>
    <x v="1"/>
    <d v="2026-09-23T00:00:00"/>
    <s v="Mercado Pago"/>
    <n v="-8"/>
    <x v="0"/>
    <x v="0"/>
    <x v="0"/>
    <x v="0"/>
  </r>
  <r>
    <x v="1"/>
    <d v="2026-09-23T00:00:00"/>
    <s v="Meli Dólar"/>
    <n v="-6"/>
    <x v="0"/>
    <x v="0"/>
    <x v="0"/>
    <x v="0"/>
  </r>
  <r>
    <x v="1"/>
    <d v="2026-09-23T00:00:00"/>
    <s v="Vendomatica 303"/>
    <n v="1200"/>
    <x v="1"/>
    <x v="1"/>
    <x v="1"/>
    <x v="2"/>
  </r>
  <r>
    <x v="1"/>
    <d v="2026-09-23T00:00:00"/>
    <s v="Meli Dólar"/>
    <n v="-22"/>
    <x v="0"/>
    <x v="0"/>
    <x v="0"/>
    <x v="0"/>
  </r>
  <r>
    <x v="1"/>
    <d v="2026-09-23T00:00:00"/>
    <s v="Sodexochile"/>
    <n v="4459"/>
    <x v="1"/>
    <x v="1"/>
    <x v="2"/>
    <x v="3"/>
  </r>
  <r>
    <x v="1"/>
    <d v="2026-09-23T00:00:00"/>
    <s v="GoogleGoogle"/>
    <n v="1499"/>
    <x v="1"/>
    <x v="1"/>
    <x v="2"/>
    <x v="4"/>
  </r>
  <r>
    <x v="1"/>
    <d v="2026-09-23T00:00:00"/>
    <s v="Meli Dólar"/>
    <n v="-5"/>
    <x v="0"/>
    <x v="0"/>
    <x v="0"/>
    <x v="0"/>
  </r>
  <r>
    <x v="1"/>
    <d v="2026-09-23T00:00:00"/>
    <s v="Vendomatica 303"/>
    <n v="1000"/>
    <x v="1"/>
    <x v="1"/>
    <x v="1"/>
    <x v="2"/>
  </r>
  <r>
    <x v="1"/>
    <d v="2026-09-22T00:00:00"/>
    <s v="Uber Pagos ChileUber Pagos Chile"/>
    <n v="-46663"/>
    <x v="0"/>
    <x v="0"/>
    <x v="0"/>
    <x v="5"/>
  </r>
  <r>
    <x v="1"/>
    <d v="2026-09-22T00:00:00"/>
    <s v="Meli Dólar"/>
    <n v="-9"/>
    <x v="0"/>
    <x v="0"/>
    <x v="0"/>
    <x v="0"/>
  </r>
  <r>
    <x v="1"/>
    <d v="2026-09-22T00:00:00"/>
    <s v="Outletfit"/>
    <n v="1800"/>
    <x v="1"/>
    <x v="1"/>
    <x v="1"/>
    <x v="2"/>
  </r>
  <r>
    <x v="1"/>
    <d v="2026-09-22T00:00:00"/>
    <s v="Meli Dólar"/>
    <n v="-18"/>
    <x v="0"/>
    <x v="0"/>
    <x v="0"/>
    <x v="0"/>
  </r>
  <r>
    <x v="1"/>
    <d v="2026-09-22T00:00:00"/>
    <s v="Importadora Azul"/>
    <n v="3500"/>
    <x v="1"/>
    <x v="1"/>
    <x v="1"/>
    <x v="2"/>
  </r>
  <r>
    <x v="1"/>
    <d v="2026-09-22T00:00:00"/>
    <s v="Mercado Pago"/>
    <n v="-8"/>
    <x v="0"/>
    <x v="0"/>
    <x v="0"/>
    <x v="0"/>
  </r>
  <r>
    <x v="1"/>
    <d v="2026-09-22T00:00:00"/>
    <s v="Meli Dólar"/>
    <n v="-9"/>
    <x v="0"/>
    <x v="0"/>
    <x v="0"/>
    <x v="0"/>
  </r>
  <r>
    <x v="1"/>
    <d v="2026-09-22T00:00:00"/>
    <s v="Redgloba Local 70565 1"/>
    <n v="1800"/>
    <x v="1"/>
    <x v="1"/>
    <x v="1"/>
    <x v="6"/>
  </r>
  <r>
    <x v="1"/>
    <d v="2026-09-22T00:00:00"/>
    <s v="Meli Dólar"/>
    <n v="-71"/>
    <x v="0"/>
    <x v="0"/>
    <x v="0"/>
    <x v="0"/>
  </r>
  <r>
    <x v="1"/>
    <d v="2026-09-22T00:00:00"/>
    <s v="Redgloba Local 70565 1"/>
    <n v="14240"/>
    <x v="1"/>
    <x v="1"/>
    <x v="1"/>
    <x v="6"/>
  </r>
  <r>
    <x v="1"/>
    <d v="2026-09-22T00:00:00"/>
    <s v="Meli Dólar"/>
    <n v="-11"/>
    <x v="0"/>
    <x v="0"/>
    <x v="0"/>
    <x v="0"/>
  </r>
  <r>
    <x v="1"/>
    <d v="2026-09-22T00:00:00"/>
    <s v="Comercialnht"/>
    <n v="2190"/>
    <x v="1"/>
    <x v="1"/>
    <x v="1"/>
    <x v="2"/>
  </r>
  <r>
    <x v="1"/>
    <d v="2026-09-22T00:00:00"/>
    <s v="Meli Dólar"/>
    <n v="-5"/>
    <x v="0"/>
    <x v="0"/>
    <x v="0"/>
    <x v="0"/>
  </r>
  <r>
    <x v="1"/>
    <d v="2026-09-22T00:00:00"/>
    <s v="Vendomatica 303"/>
    <n v="1000"/>
    <x v="1"/>
    <x v="1"/>
    <x v="1"/>
    <x v="2"/>
  </r>
  <r>
    <x v="1"/>
    <d v="2026-09-22T00:00:00"/>
    <s v="Wellhub"/>
    <n v="27589"/>
    <x v="1"/>
    <x v="1"/>
    <x v="2"/>
    <x v="21"/>
  </r>
  <r>
    <x v="1"/>
    <d v="2026-09-22T00:00:00"/>
    <s v="Meli Dólar"/>
    <n v="-6"/>
    <x v="0"/>
    <x v="0"/>
    <x v="0"/>
    <x v="0"/>
  </r>
  <r>
    <x v="1"/>
    <d v="2026-09-22T00:00:00"/>
    <s v="Vendomatica 303"/>
    <n v="1200"/>
    <x v="1"/>
    <x v="1"/>
    <x v="1"/>
    <x v="2"/>
  </r>
  <r>
    <x v="1"/>
    <d v="2026-09-22T00:00:00"/>
    <s v="Meli Dólar"/>
    <n v="-5"/>
    <x v="0"/>
    <x v="0"/>
    <x v="0"/>
    <x v="0"/>
  </r>
  <r>
    <x v="1"/>
    <d v="2026-09-22T00:00:00"/>
    <s v="Vendomatica 303"/>
    <n v="1000"/>
    <x v="1"/>
    <x v="1"/>
    <x v="1"/>
    <x v="2"/>
  </r>
  <r>
    <x v="1"/>
    <d v="2026-09-21T00:00:00"/>
    <s v="Mercado Pago"/>
    <n v="-15"/>
    <x v="0"/>
    <x v="0"/>
    <x v="0"/>
    <x v="0"/>
  </r>
  <r>
    <x v="1"/>
    <d v="2026-09-21T00:00:00"/>
    <s v="GoogleGoogle"/>
    <n v="1790"/>
    <x v="1"/>
    <x v="1"/>
    <x v="2"/>
    <x v="4"/>
  </r>
  <r>
    <x v="1"/>
    <d v="2026-09-21T00:00:00"/>
    <s v="Meli Dólar"/>
    <n v="-13"/>
    <x v="0"/>
    <x v="0"/>
    <x v="0"/>
    <x v="0"/>
  </r>
  <r>
    <x v="1"/>
    <d v="2026-09-21T00:00:00"/>
    <s v="Greatlhete"/>
    <n v="2500"/>
    <x v="1"/>
    <x v="1"/>
    <x v="1"/>
    <x v="2"/>
  </r>
  <r>
    <x v="1"/>
    <d v="2026-09-21T00:00:00"/>
    <s v="Meli Dólar"/>
    <n v="-36"/>
    <x v="0"/>
    <x v="0"/>
    <x v="0"/>
    <x v="0"/>
  </r>
  <r>
    <x v="1"/>
    <d v="2026-09-21T00:00:00"/>
    <s v="Libreria Artelapiz"/>
    <n v="1190"/>
    <x v="1"/>
    <x v="1"/>
    <x v="1"/>
    <x v="2"/>
  </r>
  <r>
    <x v="1"/>
    <d v="2026-09-21T00:00:00"/>
    <s v="Meli Dólar"/>
    <n v="-135"/>
    <x v="0"/>
    <x v="0"/>
    <x v="0"/>
    <x v="0"/>
  </r>
  <r>
    <x v="1"/>
    <d v="2026-09-21T00:00:00"/>
    <s v="Comercial Mi Hogar Lim"/>
    <n v="4500"/>
    <x v="1"/>
    <x v="1"/>
    <x v="1"/>
    <x v="2"/>
  </r>
  <r>
    <x v="1"/>
    <d v="2026-09-21T00:00:00"/>
    <s v="Meli Dólar"/>
    <n v="-111"/>
    <x v="0"/>
    <x v="0"/>
    <x v="0"/>
    <x v="0"/>
  </r>
  <r>
    <x v="1"/>
    <d v="2026-09-21T00:00:00"/>
    <s v="Comercial Mi Hogar Lim"/>
    <n v="3700"/>
    <x v="1"/>
    <x v="1"/>
    <x v="1"/>
    <x v="2"/>
  </r>
  <r>
    <x v="1"/>
    <d v="2026-09-21T00:00:00"/>
    <s v="Fernando Javier Arriagada Concha"/>
    <n v="2000"/>
    <x v="1"/>
    <x v="1"/>
    <x v="1"/>
    <x v="2"/>
  </r>
  <r>
    <x v="1"/>
    <d v="2026-09-21T00:00:00"/>
    <s v="Meli Dólar"/>
    <n v="-134"/>
    <x v="0"/>
    <x v="0"/>
    <x v="0"/>
    <x v="0"/>
  </r>
  <r>
    <x v="1"/>
    <d v="2026-09-21T00:00:00"/>
    <s v="Sodexochile"/>
    <n v="4459"/>
    <x v="1"/>
    <x v="1"/>
    <x v="2"/>
    <x v="3"/>
  </r>
  <r>
    <x v="1"/>
    <d v="2026-09-20T00:00:00"/>
    <s v="Copec Copec La Flori"/>
    <n v="18620"/>
    <x v="1"/>
    <x v="1"/>
    <x v="1"/>
    <x v="7"/>
  </r>
  <r>
    <x v="1"/>
    <d v="2026-09-20T00:00:00"/>
    <s v="Meli Dólar"/>
    <n v="-91"/>
    <x v="0"/>
    <x v="0"/>
    <x v="0"/>
    <x v="0"/>
  </r>
  <r>
    <x v="1"/>
    <d v="2026-09-20T00:00:00"/>
    <s v="Nova Estacionamiento"/>
    <n v="3020"/>
    <x v="1"/>
    <x v="1"/>
    <x v="1"/>
    <x v="19"/>
  </r>
  <r>
    <x v="1"/>
    <d v="2026-09-20T00:00:00"/>
    <s v="Meli Dólar"/>
    <n v="-75"/>
    <x v="0"/>
    <x v="0"/>
    <x v="0"/>
    <x v="0"/>
  </r>
  <r>
    <x v="1"/>
    <d v="2026-09-20T00:00:00"/>
    <s v="Greatlhete"/>
    <n v="2490"/>
    <x v="1"/>
    <x v="1"/>
    <x v="1"/>
    <x v="2"/>
  </r>
  <r>
    <x v="1"/>
    <d v="2026-09-20T00:00:00"/>
    <s v="Meli Dólar"/>
    <n v="-30"/>
    <x v="0"/>
    <x v="0"/>
    <x v="0"/>
    <x v="0"/>
  </r>
  <r>
    <x v="1"/>
    <d v="2026-09-20T00:00:00"/>
    <s v="Mayorista 10 Parque La"/>
    <n v="990"/>
    <x v="1"/>
    <x v="1"/>
    <x v="1"/>
    <x v="2"/>
  </r>
  <r>
    <x v="1"/>
    <d v="2026-09-20T00:00:00"/>
    <s v="Meli Dólar"/>
    <n v="-942"/>
    <x v="0"/>
    <x v="0"/>
    <x v="0"/>
    <x v="0"/>
  </r>
  <r>
    <x v="1"/>
    <d v="2026-09-20T00:00:00"/>
    <s v="Unimarc Vicente Valdes"/>
    <n v="31393"/>
    <x v="1"/>
    <x v="1"/>
    <x v="1"/>
    <x v="6"/>
  </r>
  <r>
    <x v="1"/>
    <d v="2026-09-20T00:00:00"/>
    <s v="Venta de Meli Dólar"/>
    <n v="-5584"/>
    <x v="0"/>
    <x v="0"/>
    <x v="0"/>
    <x v="0"/>
  </r>
  <r>
    <x v="1"/>
    <d v="2026-09-20T00:00:00"/>
    <s v="Meli Dólar"/>
    <n v="-2584"/>
    <x v="0"/>
    <x v="0"/>
    <x v="0"/>
    <x v="0"/>
  </r>
  <r>
    <x v="1"/>
    <d v="2026-09-20T00:00:00"/>
    <s v="Walker Martinez 315"/>
    <n v="86140"/>
    <x v="1"/>
    <x v="1"/>
    <x v="1"/>
    <x v="6"/>
  </r>
  <r>
    <x v="1"/>
    <d v="2026-09-20T00:00:00"/>
    <s v="Copec Copec La Flori"/>
    <n v="3490"/>
    <x v="1"/>
    <x v="1"/>
    <x v="1"/>
    <x v="2"/>
  </r>
  <r>
    <x v="1"/>
    <d v="2026-09-19T00:00:00"/>
    <s v="Meli Dólar"/>
    <n v="-134"/>
    <x v="0"/>
    <x v="0"/>
    <x v="0"/>
    <x v="0"/>
  </r>
  <r>
    <x v="1"/>
    <d v="2026-09-19T00:00:00"/>
    <s v="Copec La Florida"/>
    <n v="4480"/>
    <x v="1"/>
    <x v="1"/>
    <x v="1"/>
    <x v="2"/>
  </r>
  <r>
    <x v="1"/>
    <d v="2026-09-19T00:00:00"/>
    <s v="Meli Dólar"/>
    <n v="-105"/>
    <x v="0"/>
    <x v="0"/>
    <x v="0"/>
    <x v="0"/>
  </r>
  <r>
    <x v="1"/>
    <d v="2026-09-19T00:00:00"/>
    <s v="Caramelos"/>
    <n v="3500"/>
    <x v="1"/>
    <x v="1"/>
    <x v="1"/>
    <x v="30"/>
  </r>
  <r>
    <x v="1"/>
    <d v="2026-09-19T00:00:00"/>
    <s v="Meli Dólar"/>
    <n v="-180"/>
    <x v="0"/>
    <x v="0"/>
    <x v="0"/>
    <x v="0"/>
  </r>
  <r>
    <x v="1"/>
    <d v="2026-09-19T00:00:00"/>
    <s v="Misschurro"/>
    <n v="6000"/>
    <x v="1"/>
    <x v="1"/>
    <x v="1"/>
    <x v="30"/>
  </r>
  <r>
    <x v="1"/>
    <d v="2026-09-19T00:00:00"/>
    <s v="Meli Dólar"/>
    <n v="-150"/>
    <x v="0"/>
    <x v="0"/>
    <x v="0"/>
    <x v="0"/>
  </r>
  <r>
    <x v="1"/>
    <d v="2026-09-19T00:00:00"/>
    <s v="El Sabor Del Pache"/>
    <n v="5000"/>
    <x v="1"/>
    <x v="1"/>
    <x v="1"/>
    <x v="30"/>
  </r>
  <r>
    <x v="1"/>
    <d v="2026-09-19T00:00:00"/>
    <s v="Meli Dólar"/>
    <n v="-90"/>
    <x v="0"/>
    <x v="0"/>
    <x v="0"/>
    <x v="0"/>
  </r>
  <r>
    <x v="1"/>
    <d v="2026-09-19T00:00:00"/>
    <s v="Sergio Alfonso Quinter"/>
    <n v="3000"/>
    <x v="1"/>
    <x v="1"/>
    <x v="1"/>
    <x v="30"/>
  </r>
  <r>
    <x v="1"/>
    <d v="2026-09-19T00:00:00"/>
    <s v="Meli Dólar"/>
    <n v="-90"/>
    <x v="0"/>
    <x v="0"/>
    <x v="0"/>
    <x v="0"/>
  </r>
  <r>
    <x v="1"/>
    <d v="2026-09-19T00:00:00"/>
    <s v="Sergio Alfonso Quinter"/>
    <n v="3000"/>
    <x v="1"/>
    <x v="1"/>
    <x v="1"/>
    <x v="30"/>
  </r>
  <r>
    <x v="1"/>
    <d v="2026-09-19T00:00:00"/>
    <s v="Meli Dólar"/>
    <n v="-120"/>
    <x v="0"/>
    <x v="0"/>
    <x v="0"/>
    <x v="0"/>
  </r>
  <r>
    <x v="1"/>
    <d v="2026-09-19T00:00:00"/>
    <s v="Camila Raquel Santos A"/>
    <n v="4000"/>
    <x v="1"/>
    <x v="1"/>
    <x v="1"/>
    <x v="30"/>
  </r>
  <r>
    <x v="1"/>
    <d v="2026-09-19T00:00:00"/>
    <s v="Meli Dólar"/>
    <n v="-120"/>
    <x v="0"/>
    <x v="0"/>
    <x v="0"/>
    <x v="0"/>
  </r>
  <r>
    <x v="1"/>
    <d v="2026-09-19T00:00:00"/>
    <s v="Dionisio Antonio Rivas"/>
    <n v="4000"/>
    <x v="1"/>
    <x v="1"/>
    <x v="1"/>
    <x v="30"/>
  </r>
  <r>
    <x v="1"/>
    <d v="2026-09-18T00:00:00"/>
    <s v="Meli Dólar"/>
    <n v="-100"/>
    <x v="0"/>
    <x v="0"/>
    <x v="0"/>
    <x v="0"/>
  </r>
  <r>
    <x v="1"/>
    <d v="2026-09-18T00:00:00"/>
    <s v="Fcproduccione"/>
    <n v="20000"/>
    <x v="1"/>
    <x v="1"/>
    <x v="1"/>
    <x v="30"/>
  </r>
  <r>
    <x v="1"/>
    <d v="2026-09-18T00:00:00"/>
    <s v="Meli Dólar"/>
    <n v="-200"/>
    <x v="0"/>
    <x v="0"/>
    <x v="0"/>
    <x v="0"/>
  </r>
  <r>
    <x v="1"/>
    <d v="2026-09-18T00:00:00"/>
    <s v="Fcproduccione"/>
    <n v="40000"/>
    <x v="1"/>
    <x v="1"/>
    <x v="1"/>
    <x v="30"/>
  </r>
  <r>
    <x v="1"/>
    <d v="2026-09-18T00:00:00"/>
    <s v="Meli Dólar"/>
    <n v="-100"/>
    <x v="0"/>
    <x v="0"/>
    <x v="0"/>
    <x v="0"/>
  </r>
  <r>
    <x v="1"/>
    <d v="2026-09-18T00:00:00"/>
    <s v="Fcproduccione"/>
    <n v="20000"/>
    <x v="1"/>
    <x v="1"/>
    <x v="1"/>
    <x v="30"/>
  </r>
  <r>
    <x v="1"/>
    <d v="2026-09-17T00:00:00"/>
    <s v="Uber Pagos ChileUber Pagos Chile"/>
    <n v="-47358"/>
    <x v="0"/>
    <x v="0"/>
    <x v="0"/>
    <x v="5"/>
  </r>
  <r>
    <x v="1"/>
    <d v="2026-09-17T00:00:00"/>
    <s v="Meli Dólar"/>
    <n v="-10"/>
    <x v="0"/>
    <x v="0"/>
    <x v="0"/>
    <x v="0"/>
  </r>
  <r>
    <x v="1"/>
    <d v="2026-09-17T00:00:00"/>
    <s v="Nova Estacionamiento"/>
    <n v="2050"/>
    <x v="1"/>
    <x v="1"/>
    <x v="1"/>
    <x v="19"/>
  </r>
  <r>
    <x v="1"/>
    <d v="2026-09-17T00:00:00"/>
    <s v="Fernando Javier Arriagada Concha"/>
    <n v="30000"/>
    <x v="1"/>
    <x v="1"/>
    <x v="1"/>
    <x v="30"/>
  </r>
  <r>
    <x v="1"/>
    <d v="2026-09-17T00:00:00"/>
    <s v="Meli Dólar"/>
    <n v="-4"/>
    <x v="0"/>
    <x v="0"/>
    <x v="0"/>
    <x v="0"/>
  </r>
  <r>
    <x v="1"/>
    <d v="2026-09-17T00:00:00"/>
    <s v="Greatlhete"/>
    <n v="890"/>
    <x v="1"/>
    <x v="1"/>
    <x v="1"/>
    <x v="2"/>
  </r>
  <r>
    <x v="1"/>
    <d v="2026-09-17T00:00:00"/>
    <s v="Mercado Pago"/>
    <n v="-64"/>
    <x v="0"/>
    <x v="0"/>
    <x v="0"/>
    <x v="0"/>
  </r>
  <r>
    <x v="1"/>
    <d v="2026-09-17T00:00:00"/>
    <s v="Meli Dólar"/>
    <n v="-13"/>
    <x v="0"/>
    <x v="0"/>
    <x v="0"/>
    <x v="0"/>
  </r>
  <r>
    <x v="1"/>
    <d v="2026-09-17T00:00:00"/>
    <s v="Greatlhete"/>
    <n v="2500"/>
    <x v="1"/>
    <x v="1"/>
    <x v="1"/>
    <x v="2"/>
  </r>
  <r>
    <x v="1"/>
    <d v="2026-09-17T00:00:00"/>
    <s v="Meli Dólar"/>
    <n v="-4"/>
    <x v="0"/>
    <x v="0"/>
    <x v="0"/>
    <x v="0"/>
  </r>
  <r>
    <x v="1"/>
    <d v="2026-09-17T00:00:00"/>
    <s v="Outletfit"/>
    <n v="700"/>
    <x v="1"/>
    <x v="1"/>
    <x v="1"/>
    <x v="2"/>
  </r>
  <r>
    <x v="1"/>
    <d v="2026-09-17T00:00:00"/>
    <s v="App Shell"/>
    <n v="20000"/>
    <x v="1"/>
    <x v="1"/>
    <x v="1"/>
    <x v="7"/>
  </r>
  <r>
    <x v="1"/>
    <d v="2026-09-17T00:00:00"/>
    <s v="Ingreso de dinero"/>
    <n v="-70000"/>
    <x v="0"/>
    <x v="0"/>
    <x v="0"/>
    <x v="31"/>
  </r>
  <r>
    <x v="1"/>
    <d v="2026-09-17T00:00:00"/>
    <s v="Meli Dólar"/>
    <n v="-22"/>
    <x v="0"/>
    <x v="0"/>
    <x v="0"/>
    <x v="0"/>
  </r>
  <r>
    <x v="1"/>
    <d v="2026-09-17T00:00:00"/>
    <s v="Sodexochile"/>
    <n v="4459"/>
    <x v="1"/>
    <x v="1"/>
    <x v="2"/>
    <x v="3"/>
  </r>
  <r>
    <x v="1"/>
    <d v="2026-09-17T00:00:00"/>
    <s v="PedidosyaPedidosya"/>
    <n v="41398"/>
    <x v="1"/>
    <x v="1"/>
    <x v="1"/>
    <x v="6"/>
  </r>
  <r>
    <x v="1"/>
    <d v="2026-09-16T00:00:00"/>
    <s v="Ingreso de dinero"/>
    <n v="-10500"/>
    <x v="0"/>
    <x v="0"/>
    <x v="0"/>
    <x v="5"/>
  </r>
  <r>
    <x v="1"/>
    <d v="2026-09-16T00:00:00"/>
    <s v="Mercado Pago"/>
    <n v="-16"/>
    <x v="0"/>
    <x v="0"/>
    <x v="0"/>
    <x v="0"/>
  </r>
  <r>
    <x v="1"/>
    <d v="2026-09-16T00:00:00"/>
    <s v="App Shell"/>
    <n v="20000"/>
    <x v="1"/>
    <x v="1"/>
    <x v="1"/>
    <x v="7"/>
  </r>
  <r>
    <x v="1"/>
    <d v="2026-09-16T00:00:00"/>
    <s v="Meli Dólar"/>
    <n v="-6"/>
    <x v="0"/>
    <x v="0"/>
    <x v="0"/>
    <x v="0"/>
  </r>
  <r>
    <x v="1"/>
    <d v="2026-09-16T00:00:00"/>
    <s v="Vendomatica 303"/>
    <n v="1200"/>
    <x v="1"/>
    <x v="1"/>
    <x v="1"/>
    <x v="2"/>
  </r>
  <r>
    <x v="1"/>
    <d v="2026-09-16T00:00:00"/>
    <s v="Meli Dólar"/>
    <n v="-22"/>
    <x v="0"/>
    <x v="0"/>
    <x v="0"/>
    <x v="0"/>
  </r>
  <r>
    <x v="1"/>
    <d v="2026-09-16T00:00:00"/>
    <s v="Sodexochile"/>
    <n v="4459"/>
    <x v="1"/>
    <x v="1"/>
    <x v="2"/>
    <x v="3"/>
  </r>
  <r>
    <x v="1"/>
    <d v="2026-09-16T00:00:00"/>
    <s v="PedidosyaPedidosya"/>
    <n v="24131"/>
    <x v="1"/>
    <x v="1"/>
    <x v="1"/>
    <x v="6"/>
  </r>
  <r>
    <x v="1"/>
    <d v="2026-09-16T00:00:00"/>
    <s v="Meli Dólar"/>
    <n v="-5"/>
    <x v="0"/>
    <x v="0"/>
    <x v="0"/>
    <x v="0"/>
  </r>
  <r>
    <x v="1"/>
    <d v="2026-09-16T00:00:00"/>
    <s v="Vendomatica 303"/>
    <n v="1000"/>
    <x v="1"/>
    <x v="1"/>
    <x v="1"/>
    <x v="2"/>
  </r>
  <r>
    <x v="1"/>
    <d v="2026-09-15T00:00:00"/>
    <s v="Uber Pagos ChileUber Pagos Chile"/>
    <n v="-108500"/>
    <x v="0"/>
    <x v="0"/>
    <x v="0"/>
    <x v="5"/>
  </r>
  <r>
    <x v="1"/>
    <d v="2026-09-15T00:00:00"/>
    <s v="Redgloba Local 70565 1"/>
    <n v="3900"/>
    <x v="1"/>
    <x v="1"/>
    <x v="1"/>
    <x v="6"/>
  </r>
  <r>
    <x v="1"/>
    <d v="2026-09-15T00:00:00"/>
    <s v="Redgloba Local 70565 1"/>
    <n v="12930"/>
    <x v="1"/>
    <x v="1"/>
    <x v="1"/>
    <x v="6"/>
  </r>
  <r>
    <x v="1"/>
    <d v="2026-09-15T00:00:00"/>
    <s v="Mercado Pago"/>
    <n v="-16"/>
    <x v="0"/>
    <x v="0"/>
    <x v="0"/>
    <x v="0"/>
  </r>
  <r>
    <x v="1"/>
    <d v="2026-09-15T00:00:00"/>
    <s v="Meli Dólar"/>
    <n v="-5"/>
    <x v="0"/>
    <x v="0"/>
    <x v="0"/>
    <x v="0"/>
  </r>
  <r>
    <x v="1"/>
    <d v="2026-09-15T00:00:00"/>
    <s v="Vendomatica 303"/>
    <n v="1000"/>
    <x v="1"/>
    <x v="1"/>
    <x v="1"/>
    <x v="2"/>
  </r>
  <r>
    <x v="1"/>
    <d v="2026-09-15T00:00:00"/>
    <s v="Meli Dólar"/>
    <n v="-6"/>
    <x v="0"/>
    <x v="0"/>
    <x v="0"/>
    <x v="0"/>
  </r>
  <r>
    <x v="1"/>
    <d v="2026-09-15T00:00:00"/>
    <s v="Vendomatica 303"/>
    <n v="1200"/>
    <x v="1"/>
    <x v="1"/>
    <x v="1"/>
    <x v="2"/>
  </r>
  <r>
    <x v="1"/>
    <d v="2026-09-14T00:00:00"/>
    <s v="Fernando Javier Arriagada Concha"/>
    <n v="20000"/>
    <x v="1"/>
    <x v="1"/>
    <x v="1"/>
    <x v="15"/>
  </r>
  <r>
    <x v="1"/>
    <d v="2026-09-14T00:00:00"/>
    <s v="Mercado Pago"/>
    <n v="-19"/>
    <x v="0"/>
    <x v="0"/>
    <x v="0"/>
    <x v="0"/>
  </r>
  <r>
    <x v="1"/>
    <d v="2026-09-14T00:00:00"/>
    <s v="Meli Dólar"/>
    <n v="-233"/>
    <x v="0"/>
    <x v="0"/>
    <x v="0"/>
    <x v="0"/>
  </r>
  <r>
    <x v="1"/>
    <d v="2026-09-14T00:00:00"/>
    <s v="La Florida 3"/>
    <n v="46650"/>
    <x v="1"/>
    <x v="1"/>
    <x v="1"/>
    <x v="24"/>
  </r>
  <r>
    <x v="1"/>
    <d v="2026-09-14T00:00:00"/>
    <s v="Meli Dólar"/>
    <n v="-22"/>
    <x v="0"/>
    <x v="0"/>
    <x v="0"/>
    <x v="0"/>
  </r>
  <r>
    <x v="1"/>
    <d v="2026-09-14T00:00:00"/>
    <s v="Sodexochile"/>
    <n v="4459"/>
    <x v="1"/>
    <x v="1"/>
    <x v="2"/>
    <x v="3"/>
  </r>
  <r>
    <x v="1"/>
    <d v="2026-09-14T00:00:00"/>
    <s v="Fabiola Frias"/>
    <n v="1000"/>
    <x v="1"/>
    <x v="1"/>
    <x v="1"/>
    <x v="2"/>
  </r>
  <r>
    <x v="1"/>
    <d v="2026-09-14T00:00:00"/>
    <s v="Meli Dólar"/>
    <n v="-9"/>
    <x v="0"/>
    <x v="0"/>
    <x v="0"/>
    <x v="0"/>
  </r>
  <r>
    <x v="1"/>
    <d v="2026-09-14T00:00:00"/>
    <s v="Mercadopago Sodexoch"/>
    <n v="1700"/>
    <x v="1"/>
    <x v="1"/>
    <x v="1"/>
    <x v="2"/>
  </r>
  <r>
    <x v="1"/>
    <d v="2026-09-14T00:00:00"/>
    <s v="App Shell"/>
    <n v="24655"/>
    <x v="1"/>
    <x v="1"/>
    <x v="1"/>
    <x v="7"/>
  </r>
  <r>
    <x v="1"/>
    <d v="2026-09-13T00:00:00"/>
    <s v="Ingreso de dinero"/>
    <n v="-6100"/>
    <x v="0"/>
    <x v="0"/>
    <x v="0"/>
    <x v="5"/>
  </r>
  <r>
    <x v="1"/>
    <d v="2026-09-13T00:00:00"/>
    <s v="Ingreso de dinero"/>
    <n v="-60000"/>
    <x v="0"/>
    <x v="0"/>
    <x v="0"/>
    <x v="32"/>
  </r>
  <r>
    <x v="1"/>
    <d v="2026-09-13T00:00:00"/>
    <s v="PedidosyaPedidosya"/>
    <n v="13552"/>
    <x v="1"/>
    <x v="1"/>
    <x v="1"/>
    <x v="6"/>
  </r>
  <r>
    <x v="1"/>
    <d v="2026-09-13T00:00:00"/>
    <s v="Copec Copec La Flori"/>
    <n v="7080"/>
    <x v="1"/>
    <x v="1"/>
    <x v="1"/>
    <x v="2"/>
  </r>
  <r>
    <x v="1"/>
    <d v="2026-09-13T00:00:00"/>
    <s v="Meli Dólar"/>
    <n v="-25"/>
    <x v="0"/>
    <x v="0"/>
    <x v="0"/>
    <x v="0"/>
  </r>
  <r>
    <x v="1"/>
    <d v="2026-09-13T00:00:00"/>
    <s v="Ivan Gomez Ramos"/>
    <n v="5000"/>
    <x v="1"/>
    <x v="1"/>
    <x v="1"/>
    <x v="18"/>
  </r>
  <r>
    <x v="1"/>
    <d v="2026-09-13T00:00:00"/>
    <s v="Meli Dólar"/>
    <n v="-38"/>
    <x v="0"/>
    <x v="0"/>
    <x v="0"/>
    <x v="0"/>
  </r>
  <r>
    <x v="1"/>
    <d v="2026-09-13T00:00:00"/>
    <s v="Kioskos Wendys Wd38-P."/>
    <n v="7500"/>
    <x v="1"/>
    <x v="1"/>
    <x v="1"/>
    <x v="10"/>
  </r>
  <r>
    <x v="1"/>
    <d v="2026-09-13T00:00:00"/>
    <s v="Meli Dólar"/>
    <n v="-75"/>
    <x v="0"/>
    <x v="0"/>
    <x v="0"/>
    <x v="0"/>
  </r>
  <r>
    <x v="1"/>
    <d v="2026-09-13T00:00:00"/>
    <s v="Aramco"/>
    <n v="15000"/>
    <x v="1"/>
    <x v="1"/>
    <x v="1"/>
    <x v="7"/>
  </r>
  <r>
    <x v="1"/>
    <d v="2026-09-13T00:00:00"/>
    <s v="Meli Dólar"/>
    <n v="-8"/>
    <x v="0"/>
    <x v="0"/>
    <x v="0"/>
    <x v="0"/>
  </r>
  <r>
    <x v="1"/>
    <d v="2026-09-13T00:00:00"/>
    <s v="Redgloba Mayorminy"/>
    <n v="1600"/>
    <x v="1"/>
    <x v="1"/>
    <x v="1"/>
    <x v="2"/>
  </r>
  <r>
    <x v="1"/>
    <d v="2026-09-13T00:00:00"/>
    <s v="Meli Dólar"/>
    <n v="-31"/>
    <x v="0"/>
    <x v="0"/>
    <x v="0"/>
    <x v="0"/>
  </r>
  <r>
    <x v="1"/>
    <d v="2026-09-13T00:00:00"/>
    <s v="Mercadopago Ferreter"/>
    <n v="6200"/>
    <x v="1"/>
    <x v="1"/>
    <x v="1"/>
    <x v="18"/>
  </r>
  <r>
    <x v="1"/>
    <d v="2026-09-12T00:00:00"/>
    <s v="Meli Dólar"/>
    <n v="-74"/>
    <x v="0"/>
    <x v="0"/>
    <x v="0"/>
    <x v="0"/>
  </r>
  <r>
    <x v="1"/>
    <d v="2026-09-12T00:00:00"/>
    <s v="Cine Hoyts Autoserv Re"/>
    <n v="14800"/>
    <x v="1"/>
    <x v="1"/>
    <x v="1"/>
    <x v="17"/>
  </r>
  <r>
    <x v="1"/>
    <d v="2026-09-12T00:00:00"/>
    <s v="CinépolisCinépolis"/>
    <n v="11600"/>
    <x v="1"/>
    <x v="1"/>
    <x v="1"/>
    <x v="17"/>
  </r>
  <r>
    <x v="1"/>
    <d v="2026-09-12T00:00:00"/>
    <s v="Comercial Ceys E Hijos Limitad Comercial Ceys E Hijos Limitad"/>
    <n v="15"/>
    <x v="1"/>
    <x v="1"/>
    <x v="1"/>
    <x v="2"/>
  </r>
  <r>
    <x v="1"/>
    <d v="2026-09-12T00:00:00"/>
    <s v="Comercial Ceys E Hijos Limitad Comercial Ceys E Hijos Limitad"/>
    <n v="1990"/>
    <x v="1"/>
    <x v="1"/>
    <x v="1"/>
    <x v="2"/>
  </r>
  <r>
    <x v="1"/>
    <d v="2026-09-12T00:00:00"/>
    <s v="App Shell"/>
    <n v="19728"/>
    <x v="1"/>
    <x v="1"/>
    <x v="1"/>
    <x v="7"/>
  </r>
  <r>
    <x v="1"/>
    <d v="2026-09-11T00:00:00"/>
    <s v="Meli Dólar"/>
    <n v="-10"/>
    <x v="0"/>
    <x v="0"/>
    <x v="0"/>
    <x v="0"/>
  </r>
  <r>
    <x v="1"/>
    <d v="2026-09-11T00:00:00"/>
    <s v="Cruz Verde L9202"/>
    <n v="1989"/>
    <x v="1"/>
    <x v="1"/>
    <x v="1"/>
    <x v="24"/>
  </r>
  <r>
    <x v="1"/>
    <d v="2026-09-11T00:00:00"/>
    <s v="Meli Dólar"/>
    <n v="-1"/>
    <x v="0"/>
    <x v="0"/>
    <x v="0"/>
    <x v="0"/>
  </r>
  <r>
    <x v="1"/>
    <d v="2026-09-11T00:00:00"/>
    <s v="Mercadopago Parking"/>
    <n v="200"/>
    <x v="1"/>
    <x v="1"/>
    <x v="1"/>
    <x v="19"/>
  </r>
  <r>
    <x v="1"/>
    <d v="2026-09-11T00:00:00"/>
    <s v="Meli Dólar"/>
    <n v="-70"/>
    <x v="0"/>
    <x v="0"/>
    <x v="0"/>
    <x v="0"/>
  </r>
  <r>
    <x v="1"/>
    <d v="2026-09-11T00:00:00"/>
    <s v="Mass"/>
    <n v="13990"/>
    <x v="1"/>
    <x v="1"/>
    <x v="1"/>
    <x v="6"/>
  </r>
  <r>
    <x v="1"/>
    <d v="2026-09-11T00:00:00"/>
    <s v="Mercado Pago"/>
    <n v="-67"/>
    <x v="0"/>
    <x v="0"/>
    <x v="0"/>
    <x v="0"/>
  </r>
  <r>
    <x v="1"/>
    <d v="2026-09-11T00:00:00"/>
    <s v="Meli Dólar"/>
    <n v="-4"/>
    <x v="0"/>
    <x v="0"/>
    <x v="0"/>
    <x v="0"/>
  </r>
  <r>
    <x v="1"/>
    <d v="2026-09-11T00:00:00"/>
    <s v="Saba Estacionamientos"/>
    <n v="850"/>
    <x v="1"/>
    <x v="1"/>
    <x v="1"/>
    <x v="19"/>
  </r>
  <r>
    <x v="1"/>
    <d v="2026-09-11T00:00:00"/>
    <s v="Meli Dólar"/>
    <n v="-82"/>
    <x v="0"/>
    <x v="0"/>
    <x v="0"/>
    <x v="0"/>
  </r>
  <r>
    <x v="1"/>
    <d v="2026-09-11T00:00:00"/>
    <s v="Mallplaza Vespucio"/>
    <n v="16375"/>
    <x v="1"/>
    <x v="1"/>
    <x v="1"/>
    <x v="11"/>
  </r>
  <r>
    <x v="1"/>
    <d v="2026-09-11T00:00:00"/>
    <s v="Meli Dólar"/>
    <n v="-75"/>
    <x v="0"/>
    <x v="0"/>
    <x v="0"/>
    <x v="0"/>
  </r>
  <r>
    <x v="1"/>
    <d v="2026-09-11T00:00:00"/>
    <s v="Falabella Pza Vespucio"/>
    <n v="15004"/>
    <x v="1"/>
    <x v="1"/>
    <x v="1"/>
    <x v="8"/>
  </r>
  <r>
    <x v="1"/>
    <d v="2026-09-11T00:00:00"/>
    <s v="App Shell"/>
    <n v="9865"/>
    <x v="1"/>
    <x v="1"/>
    <x v="1"/>
    <x v="7"/>
  </r>
  <r>
    <x v="1"/>
    <d v="2026-09-11T00:00:00"/>
    <s v="Meli Dólar"/>
    <n v="-4"/>
    <x v="0"/>
    <x v="0"/>
    <x v="0"/>
    <x v="0"/>
  </r>
  <r>
    <x v="1"/>
    <d v="2026-09-11T00:00:00"/>
    <s v="Outletfit"/>
    <n v="700"/>
    <x v="1"/>
    <x v="1"/>
    <x v="1"/>
    <x v="2"/>
  </r>
  <r>
    <x v="1"/>
    <d v="2026-09-11T00:00:00"/>
    <s v="Fernando Javier Arriagada Concha"/>
    <n v="1600"/>
    <x v="1"/>
    <x v="1"/>
    <x v="1"/>
    <x v="2"/>
  </r>
  <r>
    <x v="1"/>
    <d v="2026-09-11T00:00:00"/>
    <s v="Meli Dólar"/>
    <n v="-22"/>
    <x v="0"/>
    <x v="0"/>
    <x v="0"/>
    <x v="0"/>
  </r>
  <r>
    <x v="1"/>
    <d v="2026-09-11T00:00:00"/>
    <s v="Mercadopago Sodexoch"/>
    <n v="4459"/>
    <x v="1"/>
    <x v="1"/>
    <x v="2"/>
    <x v="3"/>
  </r>
  <r>
    <x v="1"/>
    <d v="2026-09-11T00:00:00"/>
    <s v="Meli Dólar"/>
    <n v="-5"/>
    <x v="0"/>
    <x v="0"/>
    <x v="0"/>
    <x v="0"/>
  </r>
  <r>
    <x v="1"/>
    <d v="2026-09-11T00:00:00"/>
    <s v="Vendomatica 303"/>
    <n v="1000"/>
    <x v="1"/>
    <x v="1"/>
    <x v="1"/>
    <x v="2"/>
  </r>
  <r>
    <x v="1"/>
    <d v="2026-09-10T00:00:00"/>
    <s v="Meli Dólar"/>
    <n v="-38"/>
    <x v="0"/>
    <x v="0"/>
    <x v="0"/>
    <x v="0"/>
  </r>
  <r>
    <x v="1"/>
    <d v="2026-09-10T00:00:00"/>
    <s v="Mercadopago Sajakisu"/>
    <n v="7500"/>
    <x v="1"/>
    <x v="1"/>
    <x v="1"/>
    <x v="10"/>
  </r>
  <r>
    <x v="1"/>
    <d v="2026-09-10T00:00:00"/>
    <s v="Meli Dólar"/>
    <n v="-8"/>
    <x v="0"/>
    <x v="0"/>
    <x v="0"/>
    <x v="0"/>
  </r>
  <r>
    <x v="1"/>
    <d v="2026-09-10T00:00:00"/>
    <s v="Redgloba Local 70565 1"/>
    <n v="1600"/>
    <x v="1"/>
    <x v="1"/>
    <x v="1"/>
    <x v="2"/>
  </r>
  <r>
    <x v="1"/>
    <d v="2026-09-10T00:00:00"/>
    <s v="Meli Dólar"/>
    <n v="-55"/>
    <x v="0"/>
    <x v="0"/>
    <x v="0"/>
    <x v="0"/>
  </r>
  <r>
    <x v="1"/>
    <d v="2026-09-10T00:00:00"/>
    <s v="Redgloba Local 70565 1"/>
    <n v="11000"/>
    <x v="1"/>
    <x v="1"/>
    <x v="1"/>
    <x v="6"/>
  </r>
  <r>
    <x v="1"/>
    <d v="2026-09-10T00:00:00"/>
    <s v="Mercado Pago"/>
    <n v="-22"/>
    <x v="0"/>
    <x v="0"/>
    <x v="0"/>
    <x v="0"/>
  </r>
  <r>
    <x v="1"/>
    <d v="2026-09-10T00:00:00"/>
    <s v="Meli Dólar"/>
    <n v="-94"/>
    <x v="0"/>
    <x v="0"/>
    <x v="0"/>
    <x v="0"/>
  </r>
  <r>
    <x v="1"/>
    <d v="2026-09-10T00:00:00"/>
    <s v="Tottus Walker Martinez"/>
    <n v="18862"/>
    <x v="1"/>
    <x v="1"/>
    <x v="1"/>
    <x v="6"/>
  </r>
  <r>
    <x v="1"/>
    <d v="2026-09-10T00:00:00"/>
    <s v="App Shell"/>
    <n v="14797"/>
    <x v="1"/>
    <x v="1"/>
    <x v="1"/>
    <x v="7"/>
  </r>
  <r>
    <x v="1"/>
    <d v="2026-09-10T00:00:00"/>
    <s v="Meli Dólar"/>
    <n v="-22"/>
    <x v="0"/>
    <x v="0"/>
    <x v="0"/>
    <x v="0"/>
  </r>
  <r>
    <x v="1"/>
    <d v="2026-09-10T00:00:00"/>
    <s v="Mercadopago Sodexoch"/>
    <n v="4459"/>
    <x v="1"/>
    <x v="1"/>
    <x v="2"/>
    <x v="3"/>
  </r>
  <r>
    <x v="1"/>
    <d v="2026-09-09T00:00:00"/>
    <s v="Meli Dólar"/>
    <n v="-13"/>
    <x v="0"/>
    <x v="0"/>
    <x v="0"/>
    <x v="0"/>
  </r>
  <r>
    <x v="1"/>
    <d v="2026-09-09T00:00:00"/>
    <s v="Mercadopago Greatlhe"/>
    <n v="2500"/>
    <x v="1"/>
    <x v="1"/>
    <x v="1"/>
    <x v="2"/>
  </r>
  <r>
    <x v="1"/>
    <d v="2026-09-09T00:00:00"/>
    <s v="Mercado Pago"/>
    <n v="-23"/>
    <x v="0"/>
    <x v="0"/>
    <x v="0"/>
    <x v="0"/>
  </r>
  <r>
    <x v="1"/>
    <d v="2026-09-09T00:00:00"/>
    <s v="Inversiones Enex S.A. Inversiones Enex S.A."/>
    <n v="1990"/>
    <x v="1"/>
    <x v="1"/>
    <x v="1"/>
    <x v="2"/>
  </r>
  <r>
    <x v="1"/>
    <d v="2026-09-09T00:00:00"/>
    <s v="App Shell"/>
    <n v="9862"/>
    <x v="1"/>
    <x v="1"/>
    <x v="1"/>
    <x v="7"/>
  </r>
  <r>
    <x v="1"/>
    <d v="2026-09-09T00:00:00"/>
    <s v="Meli Dólar"/>
    <n v="-21"/>
    <x v="0"/>
    <x v="0"/>
    <x v="0"/>
    <x v="0"/>
  </r>
  <r>
    <x v="1"/>
    <d v="2026-09-09T00:00:00"/>
    <s v="Redgloba El Amanecer"/>
    <n v="4100"/>
    <x v="1"/>
    <x v="1"/>
    <x v="1"/>
    <x v="2"/>
  </r>
  <r>
    <x v="1"/>
    <d v="2026-09-09T00:00:00"/>
    <s v="Meli Dólar"/>
    <n v="-390"/>
    <x v="0"/>
    <x v="0"/>
    <x v="0"/>
    <x v="0"/>
  </r>
  <r>
    <x v="1"/>
    <d v="2026-09-09T00:00:00"/>
    <s v="Compra de Meli Dólar"/>
    <n v="558"/>
    <x v="1"/>
    <x v="1"/>
    <x v="1"/>
    <x v="2"/>
  </r>
  <r>
    <x v="1"/>
    <d v="2026-09-09T00:00:00"/>
    <s v="Meli Dólar"/>
    <n v="-642"/>
    <x v="0"/>
    <x v="0"/>
    <x v="0"/>
    <x v="0"/>
  </r>
  <r>
    <x v="1"/>
    <d v="2026-09-09T00:00:00"/>
    <s v="Meli Dólar"/>
    <n v="-22"/>
    <x v="0"/>
    <x v="0"/>
    <x v="0"/>
    <x v="0"/>
  </r>
  <r>
    <x v="1"/>
    <d v="2026-09-09T00:00:00"/>
    <s v="Mercadopago Sodexoch"/>
    <n v="4459"/>
    <x v="1"/>
    <x v="1"/>
    <x v="2"/>
    <x v="3"/>
  </r>
  <r>
    <x v="1"/>
    <d v="2026-09-09T00:00:00"/>
    <s v="Meli Dólar"/>
    <n v="-82"/>
    <x v="0"/>
    <x v="0"/>
    <x v="0"/>
    <x v="0"/>
  </r>
  <r>
    <x v="1"/>
    <d v="2026-09-09T00:00:00"/>
    <s v="Icb Ruta B38"/>
    <n v="16490"/>
    <x v="1"/>
    <x v="1"/>
    <x v="1"/>
    <x v="6"/>
  </r>
  <r>
    <x v="1"/>
    <d v="2026-09-08T00:00:00"/>
    <s v="Meli Dólar"/>
    <n v="-25"/>
    <x v="0"/>
    <x v="0"/>
    <x v="0"/>
    <x v="0"/>
  </r>
  <r>
    <x v="1"/>
    <d v="2026-09-08T00:00:00"/>
    <s v="Cruz Verde L9202"/>
    <n v="4980"/>
    <x v="1"/>
    <x v="1"/>
    <x v="1"/>
    <x v="24"/>
  </r>
  <r>
    <x v="1"/>
    <d v="2026-09-08T00:00:00"/>
    <s v="Mercado Pago"/>
    <n v="-23"/>
    <x v="0"/>
    <x v="0"/>
    <x v="0"/>
    <x v="0"/>
  </r>
  <r>
    <x v="1"/>
    <d v="2026-09-08T00:00:00"/>
    <s v="Meli Dólar"/>
    <n v="-23"/>
    <x v="0"/>
    <x v="0"/>
    <x v="0"/>
    <x v="0"/>
  </r>
  <r>
    <x v="1"/>
    <d v="2026-09-08T00:00:00"/>
    <s v="Mercadopago Kathamy"/>
    <n v="4500"/>
    <x v="1"/>
    <x v="1"/>
    <x v="1"/>
    <x v="2"/>
  </r>
  <r>
    <x v="1"/>
    <d v="2026-09-08T00:00:00"/>
    <s v="Meli Dólar"/>
    <n v="-7"/>
    <x v="0"/>
    <x v="0"/>
    <x v="0"/>
    <x v="0"/>
  </r>
  <r>
    <x v="1"/>
    <d v="2026-09-08T00:00:00"/>
    <s v="Mercadopago Comercia"/>
    <n v="1300"/>
    <x v="1"/>
    <x v="1"/>
    <x v="1"/>
    <x v="2"/>
  </r>
  <r>
    <x v="1"/>
    <d v="2026-09-08T00:00:00"/>
    <s v="App Shell"/>
    <n v="14793"/>
    <x v="1"/>
    <x v="1"/>
    <x v="1"/>
    <x v="7"/>
  </r>
  <r>
    <x v="1"/>
    <d v="2026-09-08T00:00:00"/>
    <s v="Meli Dólar"/>
    <n v="-9"/>
    <x v="0"/>
    <x v="0"/>
    <x v="0"/>
    <x v="0"/>
  </r>
  <r>
    <x v="1"/>
    <d v="2026-09-08T00:00:00"/>
    <s v="Mal Paso"/>
    <n v="1790"/>
    <x v="1"/>
    <x v="1"/>
    <x v="1"/>
    <x v="2"/>
  </r>
  <r>
    <x v="1"/>
    <d v="2026-09-08T00:00:00"/>
    <s v="Meli Dólar"/>
    <n v="-22"/>
    <x v="0"/>
    <x v="0"/>
    <x v="0"/>
    <x v="0"/>
  </r>
  <r>
    <x v="1"/>
    <d v="2026-09-08T00:00:00"/>
    <s v="Mercadopago Sodexoch"/>
    <n v="4459"/>
    <x v="1"/>
    <x v="1"/>
    <x v="2"/>
    <x v="3"/>
  </r>
  <r>
    <x v="1"/>
    <d v="2026-09-07T00:00:00"/>
    <s v="Créditos de Mercado Pago"/>
    <n v="46860"/>
    <x v="1"/>
    <x v="1"/>
    <x v="1"/>
    <x v="23"/>
  </r>
  <r>
    <x v="1"/>
    <d v="2026-09-07T00:00:00"/>
    <s v="Mercado Pago"/>
    <n v="-62"/>
    <x v="0"/>
    <x v="0"/>
    <x v="0"/>
    <x v="0"/>
  </r>
  <r>
    <x v="1"/>
    <d v="2026-09-07T00:00:00"/>
    <s v="Meli Dólar"/>
    <n v="-144"/>
    <x v="0"/>
    <x v="0"/>
    <x v="0"/>
    <x v="0"/>
  </r>
  <r>
    <x v="1"/>
    <d v="2026-09-07T00:00:00"/>
    <s v="Magno Car Spa"/>
    <n v="28800"/>
    <x v="1"/>
    <x v="1"/>
    <x v="1"/>
    <x v="7"/>
  </r>
  <r>
    <x v="1"/>
    <d v="2026-09-07T00:00:00"/>
    <s v="Meli Dólar"/>
    <n v="-10"/>
    <x v="0"/>
    <x v="0"/>
    <x v="0"/>
    <x v="0"/>
  </r>
  <r>
    <x v="1"/>
    <d v="2026-09-07T00:00:00"/>
    <s v="Redgloba El Amanecer"/>
    <n v="2000"/>
    <x v="1"/>
    <x v="1"/>
    <x v="1"/>
    <x v="12"/>
  </r>
  <r>
    <x v="1"/>
    <d v="2026-09-07T00:00:00"/>
    <s v="App Shell"/>
    <n v="13963"/>
    <x v="1"/>
    <x v="1"/>
    <x v="1"/>
    <x v="7"/>
  </r>
  <r>
    <x v="1"/>
    <d v="2026-09-07T00:00:00"/>
    <s v="Meli Dólar"/>
    <n v="-23"/>
    <x v="0"/>
    <x v="0"/>
    <x v="0"/>
    <x v="0"/>
  </r>
  <r>
    <x v="1"/>
    <d v="2026-09-07T00:00:00"/>
    <s v="Pichara Vespucio Inter"/>
    <n v="4679"/>
    <x v="1"/>
    <x v="1"/>
    <x v="1"/>
    <x v="8"/>
  </r>
  <r>
    <x v="1"/>
    <d v="2026-09-07T00:00:00"/>
    <s v="Meli Dólar"/>
    <n v="-14"/>
    <x v="0"/>
    <x v="0"/>
    <x v="0"/>
    <x v="0"/>
  </r>
  <r>
    <x v="1"/>
    <d v="2026-09-07T00:00:00"/>
    <s v="Ripley Plaza Vespucio"/>
    <n v="2793"/>
    <x v="1"/>
    <x v="1"/>
    <x v="1"/>
    <x v="8"/>
  </r>
  <r>
    <x v="1"/>
    <d v="2026-09-07T00:00:00"/>
    <s v="Meli Dólar"/>
    <n v="-24"/>
    <x v="0"/>
    <x v="0"/>
    <x v="0"/>
    <x v="0"/>
  </r>
  <r>
    <x v="1"/>
    <d v="2026-09-07T00:00:00"/>
    <s v="Plaza Vespucio"/>
    <n v="4890"/>
    <x v="1"/>
    <x v="1"/>
    <x v="1"/>
    <x v="8"/>
  </r>
  <r>
    <x v="1"/>
    <d v="2026-09-07T00:00:00"/>
    <s v="Meli Dólar"/>
    <n v="-35"/>
    <x v="0"/>
    <x v="0"/>
    <x v="0"/>
    <x v="0"/>
  </r>
  <r>
    <x v="1"/>
    <d v="2026-09-07T00:00:00"/>
    <s v="Mercadopago Angeli"/>
    <n v="6900"/>
    <x v="1"/>
    <x v="1"/>
    <x v="1"/>
    <x v="12"/>
  </r>
  <r>
    <x v="1"/>
    <d v="2026-09-07T00:00:00"/>
    <s v="Meli Dólar"/>
    <n v="-22"/>
    <x v="0"/>
    <x v="0"/>
    <x v="0"/>
    <x v="0"/>
  </r>
  <r>
    <x v="1"/>
    <d v="2026-09-07T00:00:00"/>
    <s v="Mercadopago Sodexoch"/>
    <n v="4459"/>
    <x v="1"/>
    <x v="1"/>
    <x v="2"/>
    <x v="3"/>
  </r>
  <r>
    <x v="1"/>
    <d v="2026-09-06T00:00:00"/>
    <s v="Meli Dólar"/>
    <n v="-18"/>
    <x v="0"/>
    <x v="0"/>
    <x v="0"/>
    <x v="0"/>
  </r>
  <r>
    <x v="1"/>
    <d v="2026-09-06T00:00:00"/>
    <s v="Mercadopago Miniwalk"/>
    <n v="3600"/>
    <x v="1"/>
    <x v="1"/>
    <x v="1"/>
    <x v="2"/>
  </r>
  <r>
    <x v="1"/>
    <d v="2026-09-06T00:00:00"/>
    <s v="Meli Dólar"/>
    <n v="-3"/>
    <x v="0"/>
    <x v="0"/>
    <x v="0"/>
    <x v="0"/>
  </r>
  <r>
    <x v="1"/>
    <d v="2026-09-06T00:00:00"/>
    <s v="Mercadopago Parking"/>
    <n v="600"/>
    <x v="1"/>
    <x v="1"/>
    <x v="1"/>
    <x v="19"/>
  </r>
  <r>
    <x v="1"/>
    <d v="2026-09-06T00:00:00"/>
    <s v="Meli Dólar"/>
    <n v="-291"/>
    <x v="0"/>
    <x v="0"/>
    <x v="0"/>
    <x v="0"/>
  </r>
  <r>
    <x v="1"/>
    <d v="2026-09-06T00:00:00"/>
    <s v="Walker Martinez 315"/>
    <n v="58190"/>
    <x v="1"/>
    <x v="1"/>
    <x v="1"/>
    <x v="6"/>
  </r>
  <r>
    <x v="1"/>
    <d v="2026-09-06T00:00:00"/>
    <s v="Meli Dólar"/>
    <n v="-31"/>
    <x v="0"/>
    <x v="0"/>
    <x v="0"/>
    <x v="0"/>
  </r>
  <r>
    <x v="1"/>
    <d v="2026-09-06T00:00:00"/>
    <s v="Cruz Verde L9202"/>
    <n v="6156"/>
    <x v="1"/>
    <x v="1"/>
    <x v="1"/>
    <x v="24"/>
  </r>
  <r>
    <x v="1"/>
    <d v="2026-09-06T00:00:00"/>
    <s v="Meli Dólar"/>
    <n v="-177"/>
    <x v="0"/>
    <x v="0"/>
    <x v="0"/>
    <x v="0"/>
  </r>
  <r>
    <x v="1"/>
    <d v="2026-09-06T00:00:00"/>
    <s v="Tottus Walker Martinez"/>
    <n v="35310"/>
    <x v="1"/>
    <x v="1"/>
    <x v="1"/>
    <x v="6"/>
  </r>
  <r>
    <x v="1"/>
    <d v="2026-09-05T00:00:00"/>
    <s v="Copec App"/>
    <n v="4440"/>
    <x v="1"/>
    <x v="1"/>
    <x v="1"/>
    <x v="2"/>
  </r>
  <r>
    <x v="1"/>
    <d v="2026-09-05T00:00:00"/>
    <s v="Jaime Cardenas"/>
    <n v="758000"/>
    <x v="1"/>
    <x v="1"/>
    <x v="2"/>
    <x v="22"/>
  </r>
  <r>
    <x v="1"/>
    <d v="2026-09-05T00:00:00"/>
    <s v="Marcos Parada"/>
    <n v="130000"/>
    <x v="1"/>
    <x v="1"/>
    <x v="1"/>
    <x v="33"/>
  </r>
  <r>
    <x v="1"/>
    <d v="2026-09-05T00:00:00"/>
    <s v="YoutubeYoutube"/>
    <n v="5500"/>
    <x v="1"/>
    <x v="1"/>
    <x v="1"/>
    <x v="17"/>
  </r>
  <r>
    <x v="1"/>
    <d v="2026-09-05T00:00:00"/>
    <s v="Raisa Manzor"/>
    <n v="3000"/>
    <x v="1"/>
    <x v="1"/>
    <x v="1"/>
    <x v="2"/>
  </r>
  <r>
    <x v="1"/>
    <d v="2026-09-05T00:00:00"/>
    <s v="Meli Dólar"/>
    <n v="-25"/>
    <x v="0"/>
    <x v="0"/>
    <x v="0"/>
    <x v="0"/>
  </r>
  <r>
    <x v="1"/>
    <d v="2026-09-05T00:00:00"/>
    <s v="Olaf Edmundo Biaggini"/>
    <n v="4950"/>
    <x v="1"/>
    <x v="1"/>
    <x v="1"/>
    <x v="2"/>
  </r>
  <r>
    <x v="1"/>
    <d v="2026-09-05T00:00:00"/>
    <s v="Meli Dólar"/>
    <n v="-74"/>
    <x v="0"/>
    <x v="0"/>
    <x v="0"/>
    <x v="0"/>
  </r>
  <r>
    <x v="1"/>
    <d v="2026-09-05T00:00:00"/>
    <s v="Don Benito La Florida"/>
    <n v="14750"/>
    <x v="1"/>
    <x v="1"/>
    <x v="1"/>
    <x v="10"/>
  </r>
  <r>
    <x v="1"/>
    <d v="2026-09-05T00:00:00"/>
    <s v="Carlos Rubio"/>
    <n v="22000"/>
    <x v="1"/>
    <x v="1"/>
    <x v="1"/>
    <x v="24"/>
  </r>
  <r>
    <x v="1"/>
    <d v="2026-09-05T00:00:00"/>
    <s v="Cristian Fabres"/>
    <n v="1000"/>
    <x v="1"/>
    <x v="1"/>
    <x v="1"/>
    <x v="2"/>
  </r>
  <r>
    <x v="1"/>
    <d v="2026-09-05T00:00:00"/>
    <s v="Cristian Fabres"/>
    <n v="3000"/>
    <x v="1"/>
    <x v="1"/>
    <x v="1"/>
    <x v="2"/>
  </r>
  <r>
    <x v="1"/>
    <d v="2026-09-04T00:00:00"/>
    <s v="Meli Dólar"/>
    <n v="-99"/>
    <x v="0"/>
    <x v="0"/>
    <x v="0"/>
    <x v="0"/>
  </r>
  <r>
    <x v="1"/>
    <d v="2026-09-04T00:00:00"/>
    <s v="Pica Pica Spa"/>
    <n v="19800"/>
    <x v="1"/>
    <x v="1"/>
    <x v="1"/>
    <x v="10"/>
  </r>
  <r>
    <x v="1"/>
    <d v="2026-09-04T00:00:00"/>
    <s v="Meli Dólar"/>
    <n v="-835"/>
    <x v="0"/>
    <x v="0"/>
    <x v="0"/>
    <x v="0"/>
  </r>
  <r>
    <x v="1"/>
    <d v="2026-09-04T00:00:00"/>
    <s v="Sodimac"/>
    <n v="167047"/>
    <x v="1"/>
    <x v="1"/>
    <x v="1"/>
    <x v="33"/>
  </r>
  <r>
    <x v="1"/>
    <d v="2026-09-04T00:00:00"/>
    <s v="Mercado Pago"/>
    <n v="-214"/>
    <x v="0"/>
    <x v="0"/>
    <x v="0"/>
    <x v="0"/>
  </r>
  <r>
    <x v="1"/>
    <d v="2026-09-04T00:00:00"/>
    <s v="Meli Dólar"/>
    <n v="-17"/>
    <x v="0"/>
    <x v="0"/>
    <x v="0"/>
    <x v="0"/>
  </r>
  <r>
    <x v="1"/>
    <d v="2026-09-04T00:00:00"/>
    <s v="Mal Paso"/>
    <n v="3300"/>
    <x v="1"/>
    <x v="1"/>
    <x v="1"/>
    <x v="2"/>
  </r>
  <r>
    <x v="1"/>
    <d v="2026-09-04T00:00:00"/>
    <s v="Meli Dólar"/>
    <n v="-22"/>
    <x v="0"/>
    <x v="0"/>
    <x v="0"/>
    <x v="0"/>
  </r>
  <r>
    <x v="1"/>
    <d v="2026-09-04T00:00:00"/>
    <s v="Mercadopago Sodexoch"/>
    <n v="4459"/>
    <x v="1"/>
    <x v="1"/>
    <x v="2"/>
    <x v="3"/>
  </r>
  <r>
    <x v="1"/>
    <d v="2026-09-04T00:00:00"/>
    <s v="Fernando Javier Arriagada Concha"/>
    <n v="28000"/>
    <x v="1"/>
    <x v="1"/>
    <x v="2"/>
    <x v="21"/>
  </r>
  <r>
    <x v="1"/>
    <d v="2026-09-04T00:00:00"/>
    <s v="Wellhub"/>
    <n v="800"/>
    <x v="1"/>
    <x v="1"/>
    <x v="2"/>
    <x v="21"/>
  </r>
  <r>
    <x v="1"/>
    <d v="2026-09-04T00:00:00"/>
    <s v="Wellhub"/>
    <n v="800"/>
    <x v="1"/>
    <x v="1"/>
    <x v="2"/>
    <x v="21"/>
  </r>
  <r>
    <x v="1"/>
    <d v="2026-09-04T00:00:00"/>
    <s v="Meli Dólar"/>
    <n v="-40"/>
    <x v="0"/>
    <x v="0"/>
    <x v="0"/>
    <x v="0"/>
  </r>
  <r>
    <x v="1"/>
    <d v="2026-09-04T00:00:00"/>
    <s v="Falabella Pza Vespucio"/>
    <n v="7990"/>
    <x v="1"/>
    <x v="1"/>
    <x v="1"/>
    <x v="8"/>
  </r>
  <r>
    <x v="1"/>
    <d v="2026-09-04T00:00:00"/>
    <s v="Meli Dólar"/>
    <n v="-116"/>
    <x v="0"/>
    <x v="0"/>
    <x v="0"/>
    <x v="0"/>
  </r>
  <r>
    <x v="1"/>
    <d v="2026-09-04T00:00:00"/>
    <s v="Falabella Pza Vespucio"/>
    <n v="23230"/>
    <x v="1"/>
    <x v="1"/>
    <x v="1"/>
    <x v="8"/>
  </r>
  <r>
    <x v="1"/>
    <d v="2026-09-03T00:00:00"/>
    <s v="Mercado Pago"/>
    <n v="-75"/>
    <x v="0"/>
    <x v="0"/>
    <x v="0"/>
    <x v="0"/>
  </r>
  <r>
    <x v="1"/>
    <d v="2026-09-03T00:00:00"/>
    <s v="Meli Dólar"/>
    <n v="-12"/>
    <x v="0"/>
    <x v="0"/>
    <x v="0"/>
    <x v="0"/>
  </r>
  <r>
    <x v="1"/>
    <d v="2026-09-03T00:00:00"/>
    <s v="Mercadopago Desarrol"/>
    <n v="2490"/>
    <x v="1"/>
    <x v="1"/>
    <x v="1"/>
    <x v="11"/>
  </r>
  <r>
    <x v="1"/>
    <d v="2026-09-03T00:00:00"/>
    <s v="RobloxRoblox"/>
    <n v="3300"/>
    <x v="1"/>
    <x v="1"/>
    <x v="1"/>
    <x v="17"/>
  </r>
  <r>
    <x v="1"/>
    <d v="2026-09-03T00:00:00"/>
    <s v="YoutubeYoutube"/>
    <n v="3300"/>
    <x v="1"/>
    <x v="1"/>
    <x v="1"/>
    <x v="17"/>
  </r>
  <r>
    <x v="1"/>
    <d v="2026-09-03T00:00:00"/>
    <s v="Karina Sepulveda"/>
    <n v="30000"/>
    <x v="1"/>
    <x v="1"/>
    <x v="1"/>
    <x v="1"/>
  </r>
  <r>
    <x v="1"/>
    <d v="2026-09-03T00:00:00"/>
    <s v="Fabiola Frias"/>
    <n v="50000"/>
    <x v="1"/>
    <x v="1"/>
    <x v="1"/>
    <x v="1"/>
  </r>
  <r>
    <x v="1"/>
    <d v="2026-09-03T00:00:00"/>
    <s v="Copec App"/>
    <n v="19785"/>
    <x v="1"/>
    <x v="1"/>
    <x v="1"/>
    <x v="7"/>
  </r>
  <r>
    <x v="1"/>
    <d v="2026-09-03T00:00:00"/>
    <s v="Meli Dólar"/>
    <n v="-409"/>
    <x v="0"/>
    <x v="0"/>
    <x v="0"/>
    <x v="0"/>
  </r>
  <r>
    <x v="1"/>
    <d v="2026-09-03T00:00:00"/>
    <s v="Adidas La Fabrica"/>
    <n v="81882"/>
    <x v="1"/>
    <x v="1"/>
    <x v="1"/>
    <x v="12"/>
  </r>
  <r>
    <x v="1"/>
    <d v="2026-09-03T00:00:00"/>
    <s v="Meli Dólar"/>
    <n v="-6"/>
    <x v="0"/>
    <x v="0"/>
    <x v="0"/>
    <x v="0"/>
  </r>
  <r>
    <x v="1"/>
    <d v="2026-09-03T00:00:00"/>
    <s v="Parking Mall Florida C"/>
    <n v="1250"/>
    <x v="1"/>
    <x v="1"/>
    <x v="1"/>
    <x v="19"/>
  </r>
  <r>
    <x v="1"/>
    <d v="2026-09-03T00:00:00"/>
    <s v="Keila Guara"/>
    <n v="22000"/>
    <x v="1"/>
    <x v="1"/>
    <x v="1"/>
    <x v="11"/>
  </r>
  <r>
    <x v="1"/>
    <d v="2026-09-03T00:00:00"/>
    <s v="Meli Dólar"/>
    <n v="-258"/>
    <x v="0"/>
    <x v="0"/>
    <x v="0"/>
    <x v="0"/>
  </r>
  <r>
    <x v="1"/>
    <d v="2026-09-03T00:00:00"/>
    <s v="Jumbo"/>
    <n v="51600"/>
    <x v="1"/>
    <x v="1"/>
    <x v="1"/>
    <x v="33"/>
  </r>
  <r>
    <x v="1"/>
    <d v="2026-09-03T00:00:00"/>
    <s v="Entrada Alexisonfire"/>
    <n v="57500"/>
    <x v="1"/>
    <x v="1"/>
    <x v="1"/>
    <x v="17"/>
  </r>
  <r>
    <x v="1"/>
    <d v="2026-09-02T00:00:00"/>
    <s v="Mercado Pago"/>
    <n v="-76"/>
    <x v="0"/>
    <x v="0"/>
    <x v="0"/>
    <x v="0"/>
  </r>
  <r>
    <x v="1"/>
    <d v="2026-09-02T00:00:00"/>
    <s v="UnimarcUnimarc"/>
    <n v="99952"/>
    <x v="1"/>
    <x v="1"/>
    <x v="1"/>
    <x v="6"/>
  </r>
  <r>
    <x v="1"/>
    <d v="2026-09-02T00:00:00"/>
    <s v="Meli Dólar"/>
    <n v="-78"/>
    <x v="0"/>
    <x v="0"/>
    <x v="0"/>
    <x v="0"/>
  </r>
  <r>
    <x v="1"/>
    <d v="2026-09-02T00:00:00"/>
    <s v="Pichara Mall Plaza Ves"/>
    <n v="15590"/>
    <x v="1"/>
    <x v="1"/>
    <x v="1"/>
    <x v="24"/>
  </r>
  <r>
    <x v="1"/>
    <d v="2026-09-02T00:00:00"/>
    <s v="Meli Dólar"/>
    <n v="-40"/>
    <x v="0"/>
    <x v="0"/>
    <x v="0"/>
    <x v="0"/>
  </r>
  <r>
    <x v="1"/>
    <d v="2026-09-02T00:00:00"/>
    <s v="Farmacias Del Doctor S"/>
    <n v="8000"/>
    <x v="1"/>
    <x v="1"/>
    <x v="1"/>
    <x v="24"/>
  </r>
  <r>
    <x v="1"/>
    <d v="2026-09-02T00:00:00"/>
    <s v="Meli Dólar"/>
    <n v="-75"/>
    <x v="0"/>
    <x v="0"/>
    <x v="0"/>
    <x v="0"/>
  </r>
  <r>
    <x v="1"/>
    <d v="2026-09-02T00:00:00"/>
    <s v="Clinica Davila Vespuci"/>
    <n v="15078"/>
    <x v="1"/>
    <x v="1"/>
    <x v="1"/>
    <x v="24"/>
  </r>
  <r>
    <x v="1"/>
    <d v="2026-09-02T00:00:00"/>
    <s v="Meli Dólar"/>
    <n v="-79"/>
    <x v="0"/>
    <x v="0"/>
    <x v="0"/>
    <x v="0"/>
  </r>
  <r>
    <x v="1"/>
    <d v="2026-09-02T00:00:00"/>
    <s v="Plaza Vespucio"/>
    <n v="15735"/>
    <x v="1"/>
    <x v="1"/>
    <x v="1"/>
    <x v="8"/>
  </r>
  <r>
    <x v="1"/>
    <d v="2026-09-02T00:00:00"/>
    <s v="SodexoSodexo"/>
    <n v="4326"/>
    <x v="1"/>
    <x v="1"/>
    <x v="2"/>
    <x v="3"/>
  </r>
  <r>
    <x v="1"/>
    <d v="2026-09-02T00:00:00"/>
    <s v="Fernando Javier Arriagada Concha"/>
    <n v="2000"/>
    <x v="1"/>
    <x v="1"/>
    <x v="1"/>
    <x v="2"/>
  </r>
  <r>
    <x v="1"/>
    <d v="2026-09-02T00:00:00"/>
    <s v="Meli Dólar"/>
    <n v="-229"/>
    <x v="0"/>
    <x v="0"/>
    <x v="0"/>
    <x v="0"/>
  </r>
  <r>
    <x v="1"/>
    <d v="2026-09-02T00:00:00"/>
    <s v="Icb Ruta 973"/>
    <n v="45721"/>
    <x v="1"/>
    <x v="1"/>
    <x v="1"/>
    <x v="6"/>
  </r>
  <r>
    <x v="1"/>
    <d v="2026-09-02T00:00:00"/>
    <s v="Copec App"/>
    <n v="19788"/>
    <x v="1"/>
    <x v="1"/>
    <x v="1"/>
    <x v="7"/>
  </r>
  <r>
    <x v="1"/>
    <d v="2026-09-01T00:00:00"/>
    <s v="Fintoc"/>
    <n v="34040"/>
    <x v="1"/>
    <x v="1"/>
    <x v="1"/>
    <x v="30"/>
  </r>
  <r>
    <x v="1"/>
    <d v="2026-09-01T00:00:00"/>
    <s v="Pablo Ignacio Escobar"/>
    <n v="140000"/>
    <x v="1"/>
    <x v="1"/>
    <x v="1"/>
    <x v="8"/>
  </r>
  <r>
    <x v="1"/>
    <d v="2026-09-01T00:00:00"/>
    <s v="Meli Dólar"/>
    <n v="-13"/>
    <x v="0"/>
    <x v="0"/>
    <x v="0"/>
    <x v="0"/>
  </r>
  <r>
    <x v="1"/>
    <d v="2026-09-01T00:00:00"/>
    <s v="Mercadopago Greatlhe"/>
    <n v="2500"/>
    <x v="1"/>
    <x v="1"/>
    <x v="1"/>
    <x v="2"/>
  </r>
  <r>
    <x v="1"/>
    <d v="2026-09-01T00:00:00"/>
    <s v="Meli Dólar"/>
    <n v="-75"/>
    <x v="0"/>
    <x v="0"/>
    <x v="0"/>
    <x v="0"/>
  </r>
  <r>
    <x v="1"/>
    <d v="2026-09-01T00:00:00"/>
    <s v="Outletfit"/>
    <n v="14990"/>
    <x v="1"/>
    <x v="1"/>
    <x v="1"/>
    <x v="8"/>
  </r>
  <r>
    <x v="1"/>
    <d v="2026-09-01T00:00:00"/>
    <s v="Meli Dólar"/>
    <n v="-4"/>
    <x v="0"/>
    <x v="0"/>
    <x v="0"/>
    <x v="0"/>
  </r>
  <r>
    <x v="1"/>
    <d v="2026-09-01T00:00:00"/>
    <s v="Outletfit"/>
    <n v="700"/>
    <x v="1"/>
    <x v="1"/>
    <x v="1"/>
    <x v="2"/>
  </r>
  <r>
    <x v="1"/>
    <d v="2026-09-01T00:00:00"/>
    <s v="Ea Sports"/>
    <n v="490"/>
    <x v="1"/>
    <x v="1"/>
    <x v="1"/>
    <x v="17"/>
  </r>
  <r>
    <x v="1"/>
    <d v="2026-09-01T00:00:00"/>
    <s v="Meli Dólar"/>
    <n v="-43"/>
    <x v="0"/>
    <x v="0"/>
    <x v="0"/>
    <x v="0"/>
  </r>
  <r>
    <x v="1"/>
    <d v="2026-09-01T00:00:00"/>
    <s v="Carnes Mauri"/>
    <n v="8540"/>
    <x v="1"/>
    <x v="1"/>
    <x v="1"/>
    <x v="6"/>
  </r>
  <r>
    <x v="1"/>
    <d v="2026-09-01T00:00:00"/>
    <s v="Ingreso de dinero"/>
    <n v="-2000000"/>
    <x v="0"/>
    <x v="0"/>
    <x v="0"/>
    <x v="28"/>
  </r>
  <r>
    <x v="1"/>
    <d v="2026-09-01T00:00:00"/>
    <s v="Alejandra Bozo"/>
    <n v="30000"/>
    <x v="1"/>
    <x v="1"/>
    <x v="1"/>
    <x v="8"/>
  </r>
  <r>
    <x v="1"/>
    <d v="2026-09-01T00:00:00"/>
    <s v="Entel HogarEntel Hogar"/>
    <n v="35981"/>
    <x v="1"/>
    <x v="1"/>
    <x v="2"/>
    <x v="26"/>
  </r>
  <r>
    <x v="1"/>
    <d v="2026-09-01T00:00:00"/>
    <s v="Aguas AndinasAguas Andinas"/>
    <n v="26831"/>
    <x v="1"/>
    <x v="1"/>
    <x v="2"/>
    <x v="26"/>
  </r>
  <r>
    <x v="1"/>
    <d v="2026-09-01T00:00:00"/>
    <s v="Meli Dólar"/>
    <n v="-44"/>
    <x v="0"/>
    <x v="0"/>
    <x v="0"/>
    <x v="0"/>
  </r>
  <r>
    <x v="1"/>
    <d v="2026-09-01T00:00:00"/>
    <s v="Mercadopago Jairo"/>
    <n v="8890"/>
    <x v="1"/>
    <x v="1"/>
    <x v="1"/>
    <x v="2"/>
  </r>
  <r>
    <x v="1"/>
    <d v="2026-09-01T00:00:00"/>
    <s v="Meli Dólar"/>
    <n v="-29"/>
    <x v="0"/>
    <x v="0"/>
    <x v="0"/>
    <x v="0"/>
  </r>
  <r>
    <x v="1"/>
    <d v="2026-09-01T00:00:00"/>
    <s v="Mal Paso"/>
    <n v="5810"/>
    <x v="1"/>
    <x v="1"/>
    <x v="1"/>
    <x v="2"/>
  </r>
  <r>
    <x v="1"/>
    <d v="2026-09-01T00:00:00"/>
    <s v="Meli Dólar"/>
    <n v="-15"/>
    <x v="0"/>
    <x v="0"/>
    <x v="0"/>
    <x v="0"/>
  </r>
  <r>
    <x v="1"/>
    <d v="2026-09-01T00:00:00"/>
    <s v="Heladomania"/>
    <n v="3000"/>
    <x v="1"/>
    <x v="1"/>
    <x v="1"/>
    <x v="2"/>
  </r>
  <r>
    <x v="1"/>
    <d v="2026-09-01T00:00:00"/>
    <s v="Ingreso de dinero"/>
    <n v="-1106315"/>
    <x v="0"/>
    <x v="0"/>
    <x v="0"/>
    <x v="28"/>
  </r>
  <r>
    <x v="1"/>
    <d v="2026-09-01T00:00:00"/>
    <s v="Meli Dólar"/>
    <n v="-22"/>
    <x v="0"/>
    <x v="0"/>
    <x v="0"/>
    <x v="0"/>
  </r>
  <r>
    <x v="1"/>
    <d v="2026-09-01T00:00:00"/>
    <s v="Mercadopago Sodexoch"/>
    <n v="4459"/>
    <x v="1"/>
    <x v="1"/>
    <x v="2"/>
    <x v="3"/>
  </r>
  <r>
    <x v="1"/>
    <d v="2026-09-01T00:00:00"/>
    <s v="Google OneGoogle One"/>
    <n v="4690"/>
    <x v="1"/>
    <x v="1"/>
    <x v="2"/>
    <x v="4"/>
  </r>
  <r>
    <x v="1"/>
    <d v="2026-09-01T00:00:00"/>
    <s v="Pedidosya PlusPedidosya Plus"/>
    <n v="1850"/>
    <x v="1"/>
    <x v="1"/>
    <x v="2"/>
    <x v="4"/>
  </r>
  <r>
    <x v="2"/>
    <d v="2026-08-31T00:00:00"/>
    <s v="Karina Sepulveda"/>
    <n v="5000"/>
    <x v="1"/>
    <x v="1"/>
    <x v="1"/>
    <x v="1"/>
  </r>
  <r>
    <x v="2"/>
    <d v="2026-08-31T00:00:00"/>
    <s v="Meli Dólar"/>
    <n v="-10"/>
    <x v="0"/>
    <x v="0"/>
    <x v="0"/>
    <x v="0"/>
  </r>
  <r>
    <x v="2"/>
    <d v="2026-08-31T00:00:00"/>
    <s v="Importadora Azul"/>
    <n v="2000"/>
    <x v="1"/>
    <x v="3"/>
    <x v="1"/>
    <x v="1"/>
  </r>
  <r>
    <x v="2"/>
    <d v="2026-08-31T00:00:00"/>
    <s v="Meli Dólar"/>
    <n v="-22"/>
    <x v="0"/>
    <x v="0"/>
    <x v="0"/>
    <x v="0"/>
  </r>
  <r>
    <x v="2"/>
    <d v="2026-08-31T00:00:00"/>
    <s v="Mercadopago Sodexoch"/>
    <n v="4459"/>
    <x v="1"/>
    <x v="1"/>
    <x v="2"/>
    <x v="3"/>
  </r>
  <r>
    <x v="2"/>
    <d v="2026-08-31T00:00:00"/>
    <s v="Karina Sepulveda"/>
    <n v="1600"/>
    <x v="1"/>
    <x v="1"/>
    <x v="1"/>
    <x v="1"/>
  </r>
  <r>
    <x v="2"/>
    <d v="2026-08-31T00:00:00"/>
    <s v="Ingreso de dinero"/>
    <n v="-7400"/>
    <x v="0"/>
    <x v="0"/>
    <x v="0"/>
    <x v="5"/>
  </r>
  <r>
    <x v="2"/>
    <d v="2026-08-30T00:00:00"/>
    <s v="Aramco"/>
    <n v="35000"/>
    <x v="1"/>
    <x v="4"/>
    <x v="1"/>
    <x v="7"/>
  </r>
  <r>
    <x v="2"/>
    <d v="2026-08-30T00:00:00"/>
    <s v="Uber Efectivo"/>
    <n v="-35000"/>
    <x v="0"/>
    <x v="0"/>
    <x v="0"/>
    <x v="5"/>
  </r>
  <r>
    <x v="2"/>
    <d v="2026-08-30T00:00:00"/>
    <s v="Unimarc"/>
    <n v="10000"/>
    <x v="1"/>
    <x v="4"/>
    <x v="1"/>
    <x v="6"/>
  </r>
  <r>
    <x v="2"/>
    <d v="2026-08-30T00:00:00"/>
    <s v="Uber Efectivo"/>
    <n v="-10000"/>
    <x v="0"/>
    <x v="0"/>
    <x v="0"/>
    <x v="5"/>
  </r>
  <r>
    <x v="2"/>
    <d v="2026-08-30T00:00:00"/>
    <s v="Mass"/>
    <n v="70000"/>
    <x v="1"/>
    <x v="4"/>
    <x v="1"/>
    <x v="6"/>
  </r>
  <r>
    <x v="2"/>
    <d v="2026-08-30T00:00:00"/>
    <s v="Ingreso de dinero"/>
    <n v="-7298"/>
    <x v="0"/>
    <x v="0"/>
    <x v="0"/>
    <x v="5"/>
  </r>
  <r>
    <x v="2"/>
    <d v="2026-08-30T00:00:00"/>
    <s v="Copec App"/>
    <n v="3190"/>
    <x v="1"/>
    <x v="1"/>
    <x v="1"/>
    <x v="2"/>
  </r>
  <r>
    <x v="2"/>
    <d v="2026-08-30T00:00:00"/>
    <s v="Uber Efectivo"/>
    <n v="-70000"/>
    <x v="0"/>
    <x v="0"/>
    <x v="0"/>
    <x v="5"/>
  </r>
  <r>
    <x v="2"/>
    <d v="2026-08-29T00:00:00"/>
    <s v="Meli Dólar"/>
    <n v="-4"/>
    <x v="0"/>
    <x v="0"/>
    <x v="0"/>
    <x v="0"/>
  </r>
  <r>
    <x v="2"/>
    <d v="2026-08-29T00:00:00"/>
    <s v="Outletfit"/>
    <n v="700"/>
    <x v="1"/>
    <x v="1"/>
    <x v="1"/>
    <x v="2"/>
  </r>
  <r>
    <x v="2"/>
    <d v="2026-08-29T00:00:00"/>
    <s v="Copec App"/>
    <n v="13953"/>
    <x v="1"/>
    <x v="1"/>
    <x v="1"/>
    <x v="2"/>
  </r>
  <r>
    <x v="2"/>
    <d v="2026-08-28T00:00:00"/>
    <s v="Mass"/>
    <n v="25000"/>
    <x v="1"/>
    <x v="4"/>
    <x v="1"/>
    <x v="6"/>
  </r>
  <r>
    <x v="2"/>
    <d v="2026-08-28T00:00:00"/>
    <s v="Ingreso de dinero"/>
    <n v="-12800"/>
    <x v="0"/>
    <x v="0"/>
    <x v="0"/>
    <x v="5"/>
  </r>
  <r>
    <x v="2"/>
    <d v="2026-08-28T00:00:00"/>
    <s v="Mercado Pago"/>
    <n v="-1"/>
    <x v="0"/>
    <x v="0"/>
    <x v="0"/>
    <x v="0"/>
  </r>
  <r>
    <x v="2"/>
    <d v="2026-08-28T00:00:00"/>
    <s v="Meli Dólar"/>
    <n v="-25"/>
    <x v="0"/>
    <x v="0"/>
    <x v="0"/>
    <x v="0"/>
  </r>
  <r>
    <x v="2"/>
    <d v="2026-08-28T00:00:00"/>
    <s v="Mal Paso"/>
    <n v="4950"/>
    <x v="1"/>
    <x v="1"/>
    <x v="1"/>
    <x v="2"/>
  </r>
  <r>
    <x v="2"/>
    <d v="2026-08-28T00:00:00"/>
    <s v="Meli Dólar"/>
    <n v="-22"/>
    <x v="0"/>
    <x v="0"/>
    <x v="0"/>
    <x v="0"/>
  </r>
  <r>
    <x v="2"/>
    <d v="2026-08-28T00:00:00"/>
    <s v="Mercadopago Sodexoch"/>
    <n v="4459"/>
    <x v="1"/>
    <x v="1"/>
    <x v="2"/>
    <x v="3"/>
  </r>
  <r>
    <x v="2"/>
    <d v="2026-08-28T00:00:00"/>
    <s v="Ingreso de dinero"/>
    <n v="-12300"/>
    <x v="0"/>
    <x v="0"/>
    <x v="0"/>
    <x v="5"/>
  </r>
  <r>
    <x v="2"/>
    <d v="2026-08-28T00:00:00"/>
    <s v="Uber Efectivo"/>
    <n v="-25000"/>
    <x v="0"/>
    <x v="0"/>
    <x v="0"/>
    <x v="5"/>
  </r>
  <r>
    <x v="2"/>
    <d v="2026-08-27T00:00:00"/>
    <s v="UnimarcUnimarc"/>
    <n v="15141"/>
    <x v="1"/>
    <x v="1"/>
    <x v="1"/>
    <x v="6"/>
  </r>
  <r>
    <x v="2"/>
    <d v="2026-08-27T00:00:00"/>
    <s v="Ingreso de dinero"/>
    <n v="-8100"/>
    <x v="0"/>
    <x v="0"/>
    <x v="0"/>
    <x v="5"/>
  </r>
  <r>
    <x v="2"/>
    <d v="2026-08-27T00:00:00"/>
    <s v="Mercado Pago"/>
    <n v="-2"/>
    <x v="0"/>
    <x v="0"/>
    <x v="0"/>
    <x v="0"/>
  </r>
  <r>
    <x v="2"/>
    <d v="2026-08-27T00:00:00"/>
    <s v="Mercadopago Sodexoch"/>
    <n v="4459"/>
    <x v="1"/>
    <x v="1"/>
    <x v="2"/>
    <x v="3"/>
  </r>
  <r>
    <x v="2"/>
    <d v="2026-08-27T00:00:00"/>
    <s v="Meli Dólar"/>
    <n v="-13"/>
    <x v="0"/>
    <x v="0"/>
    <x v="0"/>
    <x v="0"/>
  </r>
  <r>
    <x v="2"/>
    <d v="2026-08-27T00:00:00"/>
    <s v="Mercadopago Greatlhe"/>
    <n v="2500"/>
    <x v="1"/>
    <x v="1"/>
    <x v="1"/>
    <x v="2"/>
  </r>
  <r>
    <x v="2"/>
    <d v="2026-08-27T00:00:00"/>
    <s v="Meli Dólar"/>
    <n v="-4"/>
    <x v="0"/>
    <x v="0"/>
    <x v="0"/>
    <x v="0"/>
  </r>
  <r>
    <x v="2"/>
    <d v="2026-08-27T00:00:00"/>
    <s v="Outletfit"/>
    <n v="700"/>
    <x v="1"/>
    <x v="1"/>
    <x v="1"/>
    <x v="2"/>
  </r>
  <r>
    <x v="2"/>
    <d v="2026-08-27T00:00:00"/>
    <s v="Fernando Javier Arriagada Concha"/>
    <n v="2000"/>
    <x v="1"/>
    <x v="1"/>
    <x v="1"/>
    <x v="2"/>
  </r>
  <r>
    <x v="2"/>
    <d v="2026-08-27T00:00:00"/>
    <s v="Ingreso de dinero"/>
    <n v="-13700"/>
    <x v="0"/>
    <x v="0"/>
    <x v="0"/>
    <x v="5"/>
  </r>
  <r>
    <x v="2"/>
    <d v="2026-08-26T00:00:00"/>
    <s v="Mercado Pago"/>
    <n v="-2"/>
    <x v="0"/>
    <x v="0"/>
    <x v="0"/>
    <x v="0"/>
  </r>
  <r>
    <x v="2"/>
    <d v="2026-08-26T00:00:00"/>
    <s v="Fernando Arriagada"/>
    <n v="63661"/>
    <x v="1"/>
    <x v="1"/>
    <x v="2"/>
    <x v="26"/>
  </r>
  <r>
    <x v="2"/>
    <d v="2026-08-26T00:00:00"/>
    <s v="Meli Dólar"/>
    <n v="-27"/>
    <x v="0"/>
    <x v="0"/>
    <x v="0"/>
    <x v="0"/>
  </r>
  <r>
    <x v="2"/>
    <d v="2026-08-26T00:00:00"/>
    <s v="Mal Paso"/>
    <n v="5300"/>
    <x v="1"/>
    <x v="1"/>
    <x v="1"/>
    <x v="2"/>
  </r>
  <r>
    <x v="2"/>
    <d v="2026-08-26T00:00:00"/>
    <s v="Meli Dólar"/>
    <n v="-22"/>
    <x v="0"/>
    <x v="0"/>
    <x v="0"/>
    <x v="0"/>
  </r>
  <r>
    <x v="2"/>
    <d v="2026-08-26T00:00:00"/>
    <s v="Mercadopago Sodexoch"/>
    <n v="4459"/>
    <x v="1"/>
    <x v="1"/>
    <x v="2"/>
    <x v="3"/>
  </r>
  <r>
    <x v="2"/>
    <d v="2026-08-26T00:00:00"/>
    <s v="Copec"/>
    <n v="10000"/>
    <x v="1"/>
    <x v="4"/>
    <x v="1"/>
    <x v="7"/>
  </r>
  <r>
    <x v="2"/>
    <d v="2026-08-26T00:00:00"/>
    <s v="Meli Dólar"/>
    <n v="-5"/>
    <x v="0"/>
    <x v="0"/>
    <x v="0"/>
    <x v="0"/>
  </r>
  <r>
    <x v="2"/>
    <d v="2026-08-26T00:00:00"/>
    <s v="Vendomatica 303"/>
    <n v="1000"/>
    <x v="1"/>
    <x v="1"/>
    <x v="1"/>
    <x v="2"/>
  </r>
  <r>
    <x v="2"/>
    <d v="2026-08-26T00:00:00"/>
    <s v="Uber Efectivo"/>
    <n v="-10000"/>
    <x v="0"/>
    <x v="0"/>
    <x v="0"/>
    <x v="5"/>
  </r>
  <r>
    <x v="2"/>
    <d v="2026-08-25T00:00:00"/>
    <s v="Copec"/>
    <n v="10000"/>
    <x v="1"/>
    <x v="4"/>
    <x v="1"/>
    <x v="7"/>
  </r>
  <r>
    <x v="2"/>
    <d v="2026-08-25T00:00:00"/>
    <s v="Uber Pagos Chile"/>
    <n v="-24775"/>
    <x v="0"/>
    <x v="0"/>
    <x v="0"/>
    <x v="5"/>
  </r>
  <r>
    <x v="2"/>
    <d v="2026-08-25T00:00:00"/>
    <s v="Copec App"/>
    <n v="3590"/>
    <x v="1"/>
    <x v="1"/>
    <x v="1"/>
    <x v="2"/>
  </r>
  <r>
    <x v="2"/>
    <d v="2026-08-25T00:00:00"/>
    <s v="Mercado Pago"/>
    <n v="-2"/>
    <x v="0"/>
    <x v="0"/>
    <x v="0"/>
    <x v="0"/>
  </r>
  <r>
    <x v="2"/>
    <d v="2026-08-25T00:00:00"/>
    <s v="Meli Dólar"/>
    <n v="-13"/>
    <x v="0"/>
    <x v="0"/>
    <x v="0"/>
    <x v="0"/>
  </r>
  <r>
    <x v="2"/>
    <d v="2026-08-25T00:00:00"/>
    <s v="Mercadopago Greatlhe"/>
    <n v="2500"/>
    <x v="1"/>
    <x v="1"/>
    <x v="1"/>
    <x v="2"/>
  </r>
  <r>
    <x v="2"/>
    <d v="2026-08-25T00:00:00"/>
    <s v="Meli Dólar"/>
    <n v="-22"/>
    <x v="0"/>
    <x v="0"/>
    <x v="0"/>
    <x v="0"/>
  </r>
  <r>
    <x v="2"/>
    <d v="2026-08-25T00:00:00"/>
    <s v="Mercadopago Sodexoch"/>
    <n v="4459"/>
    <x v="1"/>
    <x v="1"/>
    <x v="2"/>
    <x v="3"/>
  </r>
  <r>
    <x v="2"/>
    <d v="2026-08-25T00:00:00"/>
    <s v="Meli Dólar"/>
    <n v="-17"/>
    <x v="0"/>
    <x v="0"/>
    <x v="0"/>
    <x v="0"/>
  </r>
  <r>
    <x v="2"/>
    <d v="2026-08-25T00:00:00"/>
    <s v="Mal Paso"/>
    <n v="3300"/>
    <x v="1"/>
    <x v="1"/>
    <x v="1"/>
    <x v="2"/>
  </r>
  <r>
    <x v="2"/>
    <d v="2026-08-25T00:00:00"/>
    <s v="Rojas Garrido Tania Silvia Del Carmen"/>
    <n v="-16990"/>
    <x v="0"/>
    <x v="0"/>
    <x v="0"/>
    <x v="29"/>
  </r>
  <r>
    <x v="2"/>
    <d v="2026-08-25T00:00:00"/>
    <s v="Uber Efectivo"/>
    <n v="-10000"/>
    <x v="0"/>
    <x v="0"/>
    <x v="0"/>
    <x v="5"/>
  </r>
  <r>
    <x v="2"/>
    <d v="2026-08-24T00:00:00"/>
    <s v="Shell"/>
    <n v="15000"/>
    <x v="1"/>
    <x v="4"/>
    <x v="1"/>
    <x v="7"/>
  </r>
  <r>
    <x v="2"/>
    <d v="2026-08-24T00:00:00"/>
    <s v="Uber Pagos Chile"/>
    <n v="-39837"/>
    <x v="0"/>
    <x v="0"/>
    <x v="0"/>
    <x v="5"/>
  </r>
  <r>
    <x v="2"/>
    <d v="2026-08-24T00:00:00"/>
    <s v="Ingreso de dinero"/>
    <n v="-12900"/>
    <x v="0"/>
    <x v="0"/>
    <x v="0"/>
    <x v="5"/>
  </r>
  <r>
    <x v="2"/>
    <d v="2026-08-24T00:00:00"/>
    <s v="Mercado Pago"/>
    <n v="-2"/>
    <x v="0"/>
    <x v="0"/>
    <x v="0"/>
    <x v="0"/>
  </r>
  <r>
    <x v="2"/>
    <d v="2026-08-24T00:00:00"/>
    <s v="Fernando Javier Arriagada Concha"/>
    <n v="700"/>
    <x v="1"/>
    <x v="1"/>
    <x v="1"/>
    <x v="2"/>
  </r>
  <r>
    <x v="2"/>
    <d v="2026-08-24T00:00:00"/>
    <s v="SpotifySpotify"/>
    <n v="6750"/>
    <x v="1"/>
    <x v="1"/>
    <x v="2"/>
    <x v="4"/>
  </r>
  <r>
    <x v="2"/>
    <d v="2026-08-24T00:00:00"/>
    <s v="Meli Dólar"/>
    <n v="-22"/>
    <x v="0"/>
    <x v="0"/>
    <x v="0"/>
    <x v="0"/>
  </r>
  <r>
    <x v="2"/>
    <d v="2026-08-24T00:00:00"/>
    <s v="Mercadopago Sodexoch"/>
    <n v="4459"/>
    <x v="1"/>
    <x v="1"/>
    <x v="2"/>
    <x v="3"/>
  </r>
  <r>
    <x v="2"/>
    <d v="2026-08-24T00:00:00"/>
    <s v="Meli Dólar"/>
    <n v="-4"/>
    <x v="0"/>
    <x v="0"/>
    <x v="0"/>
    <x v="0"/>
  </r>
  <r>
    <x v="2"/>
    <d v="2026-08-24T00:00:00"/>
    <s v="Outletfit"/>
    <n v="700"/>
    <x v="1"/>
    <x v="1"/>
    <x v="1"/>
    <x v="2"/>
  </r>
  <r>
    <x v="2"/>
    <d v="2026-08-24T00:00:00"/>
    <s v="Meli DólarCashback"/>
    <n v="-24"/>
    <x v="0"/>
    <x v="0"/>
    <x v="0"/>
    <x v="0"/>
  </r>
  <r>
    <x v="2"/>
    <d v="2026-08-24T00:00:00"/>
    <s v="Icb Ruta 991"/>
    <n v="4830"/>
    <x v="1"/>
    <x v="1"/>
    <x v="1"/>
    <x v="6"/>
  </r>
  <r>
    <x v="2"/>
    <d v="2026-08-24T00:00:00"/>
    <s v="Venta de Meli Dólar"/>
    <n v="-998"/>
    <x v="0"/>
    <x v="0"/>
    <x v="0"/>
    <x v="0"/>
  </r>
  <r>
    <x v="2"/>
    <d v="2026-08-24T00:00:00"/>
    <s v="Uber Efectivo"/>
    <n v="-15000"/>
    <x v="0"/>
    <x v="0"/>
    <x v="0"/>
    <x v="5"/>
  </r>
  <r>
    <x v="2"/>
    <d v="2026-08-23T00:00:00"/>
    <s v="Meli Dólar"/>
    <n v="-15"/>
    <x v="0"/>
    <x v="0"/>
    <x v="0"/>
    <x v="0"/>
  </r>
  <r>
    <x v="2"/>
    <d v="2026-08-23T00:00:00"/>
    <s v="Pica Pica Spa"/>
    <n v="3000"/>
    <x v="1"/>
    <x v="1"/>
    <x v="1"/>
    <x v="10"/>
  </r>
  <r>
    <x v="2"/>
    <d v="2026-08-23T00:00:00"/>
    <s v="Uber Efectivo"/>
    <n v="-50000"/>
    <x v="0"/>
    <x v="0"/>
    <x v="0"/>
    <x v="5"/>
  </r>
  <r>
    <x v="2"/>
    <d v="2026-08-23T00:00:00"/>
    <s v="Mass"/>
    <n v="50000"/>
    <x v="1"/>
    <x v="4"/>
    <x v="1"/>
    <x v="6"/>
  </r>
  <r>
    <x v="2"/>
    <d v="2026-08-23T00:00:00"/>
    <s v="Meli Dólar"/>
    <n v="-25"/>
    <x v="0"/>
    <x v="0"/>
    <x v="0"/>
    <x v="0"/>
  </r>
  <r>
    <x v="2"/>
    <d v="2026-08-23T00:00:00"/>
    <s v="Pica Pica Spa"/>
    <n v="5000"/>
    <x v="1"/>
    <x v="1"/>
    <x v="1"/>
    <x v="10"/>
  </r>
  <r>
    <x v="2"/>
    <d v="2026-08-23T00:00:00"/>
    <s v="Ingreso de dinero"/>
    <n v="-20500"/>
    <x v="0"/>
    <x v="0"/>
    <x v="0"/>
    <x v="5"/>
  </r>
  <r>
    <x v="2"/>
    <d v="2026-08-23T00:00:00"/>
    <s v="Meli Dólar"/>
    <n v="-21"/>
    <x v="0"/>
    <x v="0"/>
    <x v="0"/>
    <x v="0"/>
  </r>
  <r>
    <x v="2"/>
    <d v="2026-08-23T00:00:00"/>
    <s v="Mercadopago Eltomeci"/>
    <n v="4200"/>
    <x v="1"/>
    <x v="1"/>
    <x v="1"/>
    <x v="2"/>
  </r>
  <r>
    <x v="2"/>
    <d v="2026-08-23T00:00:00"/>
    <s v="UnimarcUnimarc"/>
    <n v="9603"/>
    <x v="1"/>
    <x v="1"/>
    <x v="1"/>
    <x v="6"/>
  </r>
  <r>
    <x v="2"/>
    <d v="2026-08-23T00:00:00"/>
    <s v="Gonzalez, Gonzalez Y Compania Gonzalez, Gonzalez Y Compania"/>
    <n v="15"/>
    <x v="1"/>
    <x v="1"/>
    <x v="1"/>
    <x v="2"/>
  </r>
  <r>
    <x v="2"/>
    <d v="2026-08-22T00:00:00"/>
    <s v="App Shell"/>
    <n v="10000"/>
    <x v="1"/>
    <x v="1"/>
    <x v="1"/>
    <x v="7"/>
  </r>
  <r>
    <x v="2"/>
    <d v="2026-08-22T00:00:00"/>
    <s v="Ingreso de dinero"/>
    <n v="-5000"/>
    <x v="0"/>
    <x v="0"/>
    <x v="0"/>
    <x v="5"/>
  </r>
  <r>
    <x v="2"/>
    <d v="2026-08-22T00:00:00"/>
    <s v="Meli Dólar"/>
    <n v="-13"/>
    <x v="0"/>
    <x v="0"/>
    <x v="0"/>
    <x v="0"/>
  </r>
  <r>
    <x v="2"/>
    <d v="2026-08-22T00:00:00"/>
    <s v="Mercadopago Greatlhe"/>
    <n v="2500"/>
    <x v="1"/>
    <x v="1"/>
    <x v="1"/>
    <x v="2"/>
  </r>
  <r>
    <x v="2"/>
    <d v="2026-08-22T00:00:00"/>
    <s v="Meli Dólar"/>
    <n v="-4"/>
    <x v="0"/>
    <x v="0"/>
    <x v="0"/>
    <x v="0"/>
  </r>
  <r>
    <x v="2"/>
    <d v="2026-08-22T00:00:00"/>
    <s v="Outletfit"/>
    <n v="700"/>
    <x v="1"/>
    <x v="1"/>
    <x v="1"/>
    <x v="2"/>
  </r>
  <r>
    <x v="2"/>
    <d v="2026-08-22T00:00:00"/>
    <s v="Copec App"/>
    <n v="9890"/>
    <x v="1"/>
    <x v="1"/>
    <x v="1"/>
    <x v="7"/>
  </r>
  <r>
    <x v="2"/>
    <d v="2026-08-22T00:00:00"/>
    <s v="Ingreso de dinero"/>
    <n v="-13900"/>
    <x v="0"/>
    <x v="0"/>
    <x v="0"/>
    <x v="5"/>
  </r>
  <r>
    <x v="2"/>
    <d v="2026-08-22T00:00:00"/>
    <s v="Meli Dólar"/>
    <n v="-6"/>
    <x v="0"/>
    <x v="0"/>
    <x v="0"/>
    <x v="0"/>
  </r>
  <r>
    <x v="2"/>
    <d v="2026-08-22T00:00:00"/>
    <s v="Vania Diaz"/>
    <n v="1200"/>
    <x v="1"/>
    <x v="1"/>
    <x v="1"/>
    <x v="2"/>
  </r>
  <r>
    <x v="2"/>
    <d v="2026-08-22T00:00:00"/>
    <s v="Wellhub"/>
    <n v="27589"/>
    <x v="1"/>
    <x v="1"/>
    <x v="2"/>
    <x v="21"/>
  </r>
  <r>
    <x v="2"/>
    <d v="2026-08-22T00:00:00"/>
    <s v="Copec App"/>
    <n v="3190"/>
    <x v="1"/>
    <x v="1"/>
    <x v="1"/>
    <x v="2"/>
  </r>
  <r>
    <x v="2"/>
    <d v="2026-08-21T00:00:00"/>
    <s v="Mercado Pago"/>
    <n v="-6"/>
    <x v="0"/>
    <x v="0"/>
    <x v="0"/>
    <x v="0"/>
  </r>
  <r>
    <x v="2"/>
    <d v="2026-08-21T00:00:00"/>
    <s v="Uber Pagos Chile"/>
    <n v="-12403"/>
    <x v="0"/>
    <x v="0"/>
    <x v="0"/>
    <x v="5"/>
  </r>
  <r>
    <x v="2"/>
    <d v="2026-08-21T00:00:00"/>
    <s v="Copec App"/>
    <n v="5680"/>
    <x v="1"/>
    <x v="1"/>
    <x v="1"/>
    <x v="2"/>
  </r>
  <r>
    <x v="2"/>
    <d v="2026-08-21T00:00:00"/>
    <s v="App Shell"/>
    <n v="15000"/>
    <x v="1"/>
    <x v="1"/>
    <x v="1"/>
    <x v="7"/>
  </r>
  <r>
    <x v="2"/>
    <d v="2026-08-21T00:00:00"/>
    <s v="Alejandra Bozo"/>
    <n v="6000"/>
    <x v="1"/>
    <x v="1"/>
    <x v="1"/>
    <x v="24"/>
  </r>
  <r>
    <x v="2"/>
    <d v="2026-08-20T00:00:00"/>
    <s v="Uber Pagos Chile"/>
    <n v="-55804"/>
    <x v="0"/>
    <x v="0"/>
    <x v="0"/>
    <x v="5"/>
  </r>
  <r>
    <x v="2"/>
    <d v="2026-08-20T00:00:00"/>
    <s v="Maria Soledad Concha"/>
    <n v="20000"/>
    <x v="1"/>
    <x v="1"/>
    <x v="1"/>
    <x v="34"/>
  </r>
  <r>
    <x v="2"/>
    <d v="2026-08-20T00:00:00"/>
    <s v="Mercado Pago"/>
    <n v="-3"/>
    <x v="0"/>
    <x v="0"/>
    <x v="0"/>
    <x v="0"/>
  </r>
  <r>
    <x v="2"/>
    <d v="2026-08-19T00:00:00"/>
    <s v="App Shell"/>
    <n v="10000"/>
    <x v="1"/>
    <x v="1"/>
    <x v="1"/>
    <x v="7"/>
  </r>
  <r>
    <x v="2"/>
    <d v="2026-08-19T00:00:00"/>
    <s v="Mercado Pago"/>
    <n v="-5"/>
    <x v="0"/>
    <x v="0"/>
    <x v="0"/>
    <x v="0"/>
  </r>
  <r>
    <x v="2"/>
    <d v="2026-08-19T00:00:00"/>
    <s v="Meli Dólar"/>
    <n v="-22"/>
    <x v="0"/>
    <x v="0"/>
    <x v="0"/>
    <x v="0"/>
  </r>
  <r>
    <x v="2"/>
    <d v="2026-08-19T00:00:00"/>
    <s v="Mercadopago Sodexoch"/>
    <n v="4459"/>
    <x v="1"/>
    <x v="1"/>
    <x v="2"/>
    <x v="3"/>
  </r>
  <r>
    <x v="2"/>
    <d v="2026-08-19T00:00:00"/>
    <s v="Meli Dólar"/>
    <n v="-133"/>
    <x v="0"/>
    <x v="0"/>
    <x v="0"/>
    <x v="0"/>
  </r>
  <r>
    <x v="2"/>
    <d v="2026-08-19T00:00:00"/>
    <s v="Unimarc Vicente Valdes"/>
    <n v="26672"/>
    <x v="1"/>
    <x v="1"/>
    <x v="1"/>
    <x v="6"/>
  </r>
  <r>
    <x v="2"/>
    <d v="2026-08-19T00:00:00"/>
    <s v="Meli Dólar"/>
    <n v="-3"/>
    <x v="0"/>
    <x v="0"/>
    <x v="0"/>
    <x v="0"/>
  </r>
  <r>
    <x v="2"/>
    <d v="2026-08-19T00:00:00"/>
    <s v="Saba Estacionamientos"/>
    <n v="550"/>
    <x v="1"/>
    <x v="1"/>
    <x v="1"/>
    <x v="19"/>
  </r>
  <r>
    <x v="2"/>
    <d v="2026-08-19T00:00:00"/>
    <s v="Fernando Javier Arriagada Concha"/>
    <n v="8000"/>
    <x v="1"/>
    <x v="1"/>
    <x v="1"/>
    <x v="10"/>
  </r>
  <r>
    <x v="2"/>
    <d v="2026-08-19T00:00:00"/>
    <s v="Meli Dólar"/>
    <n v="-15"/>
    <x v="0"/>
    <x v="0"/>
    <x v="0"/>
    <x v="0"/>
  </r>
  <r>
    <x v="2"/>
    <d v="2026-08-19T00:00:00"/>
    <s v="Alicia Jazmin Carfulen"/>
    <n v="3000"/>
    <x v="1"/>
    <x v="1"/>
    <x v="1"/>
    <x v="2"/>
  </r>
  <r>
    <x v="2"/>
    <d v="2026-08-18T00:00:00"/>
    <s v="Copec App"/>
    <n v="3590"/>
    <x v="1"/>
    <x v="1"/>
    <x v="1"/>
    <x v="2"/>
  </r>
  <r>
    <x v="2"/>
    <d v="2026-08-18T00:00:00"/>
    <s v="Mercado Pago"/>
    <n v="-5"/>
    <x v="0"/>
    <x v="0"/>
    <x v="0"/>
    <x v="0"/>
  </r>
  <r>
    <x v="2"/>
    <d v="2026-08-18T00:00:00"/>
    <s v="Meli Dólar"/>
    <n v="-4"/>
    <x v="0"/>
    <x v="0"/>
    <x v="0"/>
    <x v="0"/>
  </r>
  <r>
    <x v="2"/>
    <d v="2026-08-18T00:00:00"/>
    <s v="Outletfit"/>
    <n v="700"/>
    <x v="1"/>
    <x v="1"/>
    <x v="1"/>
    <x v="2"/>
  </r>
  <r>
    <x v="2"/>
    <d v="2026-08-18T00:00:00"/>
    <s v="Meli Dólar"/>
    <n v="-54"/>
    <x v="0"/>
    <x v="0"/>
    <x v="0"/>
    <x v="0"/>
  </r>
  <r>
    <x v="2"/>
    <d v="2026-08-18T00:00:00"/>
    <s v="Carnes Mauri"/>
    <n v="10810"/>
    <x v="1"/>
    <x v="1"/>
    <x v="1"/>
    <x v="6"/>
  </r>
  <r>
    <x v="2"/>
    <d v="2026-08-18T00:00:00"/>
    <s v="Meli Dólar"/>
    <n v="-45"/>
    <x v="0"/>
    <x v="0"/>
    <x v="0"/>
    <x v="0"/>
  </r>
  <r>
    <x v="2"/>
    <d v="2026-08-18T00:00:00"/>
    <s v="Mass"/>
    <n v="9050"/>
    <x v="1"/>
    <x v="1"/>
    <x v="1"/>
    <x v="6"/>
  </r>
  <r>
    <x v="2"/>
    <d v="2026-08-18T00:00:00"/>
    <s v="App Shell"/>
    <n v="14787"/>
    <x v="1"/>
    <x v="1"/>
    <x v="1"/>
    <x v="7"/>
  </r>
  <r>
    <x v="2"/>
    <d v="2026-08-18T00:00:00"/>
    <s v="Meli Dólar"/>
    <n v="-5"/>
    <x v="0"/>
    <x v="0"/>
    <x v="0"/>
    <x v="0"/>
  </r>
  <r>
    <x v="2"/>
    <d v="2026-08-18T00:00:00"/>
    <s v="Vendomatica 303"/>
    <n v="1000"/>
    <x v="1"/>
    <x v="1"/>
    <x v="1"/>
    <x v="2"/>
  </r>
  <r>
    <x v="2"/>
    <d v="2026-08-18T00:00:00"/>
    <s v="Meli Dólar"/>
    <n v="-22"/>
    <x v="0"/>
    <x v="0"/>
    <x v="0"/>
    <x v="0"/>
  </r>
  <r>
    <x v="2"/>
    <d v="2026-08-18T00:00:00"/>
    <s v="Mercadopago Sodexoch"/>
    <n v="4459"/>
    <x v="1"/>
    <x v="1"/>
    <x v="2"/>
    <x v="3"/>
  </r>
  <r>
    <x v="2"/>
    <d v="2026-08-18T00:00:00"/>
    <s v="Meli Dólar"/>
    <n v="-493"/>
    <x v="0"/>
    <x v="0"/>
    <x v="0"/>
    <x v="0"/>
  </r>
  <r>
    <x v="2"/>
    <d v="2026-08-18T00:00:00"/>
    <s v="Crédito de Mercado Pago"/>
    <n v="-13390"/>
    <x v="0"/>
    <x v="0"/>
    <x v="0"/>
    <x v="23"/>
  </r>
  <r>
    <x v="2"/>
    <d v="2026-08-18T00:00:00"/>
    <s v="Mercado LibreMercado Libre"/>
    <n v="20890"/>
    <x v="1"/>
    <x v="1"/>
    <x v="1"/>
    <x v="24"/>
  </r>
  <r>
    <x v="2"/>
    <d v="2026-08-17T00:00:00"/>
    <s v="Uber Pagos Chile"/>
    <n v="-73772"/>
    <x v="0"/>
    <x v="0"/>
    <x v="0"/>
    <x v="5"/>
  </r>
  <r>
    <x v="2"/>
    <d v="2026-08-17T00:00:00"/>
    <s v="Mercado Pago"/>
    <n v="-7"/>
    <x v="0"/>
    <x v="0"/>
    <x v="0"/>
    <x v="0"/>
  </r>
  <r>
    <x v="2"/>
    <d v="2026-08-17T00:00:00"/>
    <s v="App Shell"/>
    <n v="15287"/>
    <x v="1"/>
    <x v="1"/>
    <x v="1"/>
    <x v="7"/>
  </r>
  <r>
    <x v="2"/>
    <d v="2026-08-17T00:00:00"/>
    <s v="Meli Dólar"/>
    <n v="-22"/>
    <x v="0"/>
    <x v="0"/>
    <x v="0"/>
    <x v="0"/>
  </r>
  <r>
    <x v="2"/>
    <d v="2026-08-17T00:00:00"/>
    <s v="Mercadopago Sodexoch"/>
    <n v="4459"/>
    <x v="1"/>
    <x v="1"/>
    <x v="2"/>
    <x v="3"/>
  </r>
  <r>
    <x v="2"/>
    <d v="2026-08-17T00:00:00"/>
    <s v="Venta de Meli Dólar"/>
    <n v="-2829"/>
    <x v="0"/>
    <x v="0"/>
    <x v="0"/>
    <x v="0"/>
  </r>
  <r>
    <x v="2"/>
    <d v="2026-08-17T00:00:00"/>
    <s v="Ahorro"/>
    <n v="-31079"/>
    <x v="0"/>
    <x v="0"/>
    <x v="0"/>
    <x v="35"/>
  </r>
  <r>
    <x v="2"/>
    <d v="2026-08-17T00:00:00"/>
    <s v="Meli Dólar"/>
    <n v="-138"/>
    <x v="0"/>
    <x v="0"/>
    <x v="0"/>
    <x v="0"/>
  </r>
  <r>
    <x v="2"/>
    <d v="2026-08-17T00:00:00"/>
    <s v="Icb Ruta 991"/>
    <n v="27569"/>
    <x v="1"/>
    <x v="1"/>
    <x v="1"/>
    <x v="6"/>
  </r>
  <r>
    <x v="2"/>
    <d v="2026-08-16T00:00:00"/>
    <s v="Meli Dólar"/>
    <n v="-80"/>
    <x v="0"/>
    <x v="0"/>
    <x v="0"/>
    <x v="0"/>
  </r>
  <r>
    <x v="2"/>
    <d v="2026-08-16T00:00:00"/>
    <s v="Mass"/>
    <n v="16030"/>
    <x v="1"/>
    <x v="1"/>
    <x v="1"/>
    <x v="6"/>
  </r>
  <r>
    <x v="2"/>
    <d v="2026-08-16T00:00:00"/>
    <s v="Meli Dólar"/>
    <n v="-137"/>
    <x v="0"/>
    <x v="0"/>
    <x v="0"/>
    <x v="0"/>
  </r>
  <r>
    <x v="2"/>
    <d v="2026-08-16T00:00:00"/>
    <s v="Unimarc Vicente Valdes"/>
    <n v="27486"/>
    <x v="1"/>
    <x v="1"/>
    <x v="1"/>
    <x v="6"/>
  </r>
  <r>
    <x v="2"/>
    <d v="2026-08-16T00:00:00"/>
    <s v="Meli Dólar"/>
    <n v="-28"/>
    <x v="0"/>
    <x v="0"/>
    <x v="0"/>
    <x v="0"/>
  </r>
  <r>
    <x v="2"/>
    <d v="2026-08-16T00:00:00"/>
    <s v="Plaza Vespucio"/>
    <n v="5590"/>
    <x v="1"/>
    <x v="1"/>
    <x v="1"/>
    <x v="24"/>
  </r>
  <r>
    <x v="2"/>
    <d v="2026-08-16T00:00:00"/>
    <s v="Meli Dólar"/>
    <n v="-13"/>
    <x v="0"/>
    <x v="0"/>
    <x v="0"/>
    <x v="0"/>
  </r>
  <r>
    <x v="2"/>
    <d v="2026-08-16T00:00:00"/>
    <s v="Mercadopago Greatlhe"/>
    <n v="2500"/>
    <x v="1"/>
    <x v="1"/>
    <x v="1"/>
    <x v="2"/>
  </r>
  <r>
    <x v="2"/>
    <d v="2026-08-16T00:00:00"/>
    <s v="Meli Dólar"/>
    <n v="-26"/>
    <x v="0"/>
    <x v="0"/>
    <x v="0"/>
    <x v="0"/>
  </r>
  <r>
    <x v="2"/>
    <d v="2026-08-16T00:00:00"/>
    <s v="Tottus Walker Martinez"/>
    <n v="5196"/>
    <x v="1"/>
    <x v="1"/>
    <x v="1"/>
    <x v="11"/>
  </r>
  <r>
    <x v="2"/>
    <d v="2026-08-16T00:00:00"/>
    <s v="Copec App"/>
    <n v="3290"/>
    <x v="1"/>
    <x v="1"/>
    <x v="1"/>
    <x v="2"/>
  </r>
  <r>
    <x v="2"/>
    <d v="2026-08-16T00:00:00"/>
    <s v="Copec App"/>
    <n v="9889"/>
    <x v="1"/>
    <x v="1"/>
    <x v="1"/>
    <x v="7"/>
  </r>
  <r>
    <x v="2"/>
    <d v="2026-08-15T00:00:00"/>
    <s v="Meli Dólar"/>
    <n v="-85"/>
    <x v="0"/>
    <x v="0"/>
    <x v="0"/>
    <x v="0"/>
  </r>
  <r>
    <x v="2"/>
    <d v="2026-08-15T00:00:00"/>
    <s v="Restaurant Cevichazo"/>
    <n v="17050"/>
    <x v="1"/>
    <x v="1"/>
    <x v="1"/>
    <x v="10"/>
  </r>
  <r>
    <x v="2"/>
    <d v="2026-08-15T00:00:00"/>
    <s v="Meli Dólar"/>
    <n v="-20"/>
    <x v="0"/>
    <x v="0"/>
    <x v="0"/>
    <x v="0"/>
  </r>
  <r>
    <x v="2"/>
    <d v="2026-08-15T00:00:00"/>
    <s v="Mercadopago Morisacc"/>
    <n v="4000"/>
    <x v="1"/>
    <x v="1"/>
    <x v="1"/>
    <x v="11"/>
  </r>
  <r>
    <x v="2"/>
    <d v="2026-08-15T00:00:00"/>
    <s v="Meli Dólar"/>
    <n v="-30"/>
    <x v="0"/>
    <x v="0"/>
    <x v="0"/>
    <x v="0"/>
  </r>
  <r>
    <x v="2"/>
    <d v="2026-08-15T00:00:00"/>
    <s v="Santaisabel Plazavespu"/>
    <n v="5910"/>
    <x v="1"/>
    <x v="1"/>
    <x v="1"/>
    <x v="6"/>
  </r>
  <r>
    <x v="2"/>
    <d v="2026-08-15T00:00:00"/>
    <s v="Fernando Javier Arriagada ConchaTransferencia enviada"/>
    <n v="10000"/>
    <x v="1"/>
    <x v="1"/>
    <x v="1"/>
    <x v="11"/>
  </r>
  <r>
    <x v="2"/>
    <d v="2026-08-15T00:00:00"/>
    <s v="Meli Dólar"/>
    <n v="-98"/>
    <x v="0"/>
    <x v="0"/>
    <x v="0"/>
    <x v="0"/>
  </r>
  <r>
    <x v="2"/>
    <d v="2026-08-15T00:00:00"/>
    <s v="Zara Plaza Vespucio"/>
    <n v="19590"/>
    <x v="1"/>
    <x v="1"/>
    <x v="1"/>
    <x v="12"/>
  </r>
  <r>
    <x v="2"/>
    <d v="2026-08-15T00:00:00"/>
    <s v="Gonzalez, Gonzalez Y Compania Gonzalez, Gonzalez Y CompaniaPago"/>
    <n v="3580"/>
    <x v="1"/>
    <x v="1"/>
    <x v="1"/>
    <x v="2"/>
  </r>
  <r>
    <x v="2"/>
    <d v="2026-08-15T00:00:00"/>
    <s v="Meli Dólar"/>
    <n v="-100"/>
    <x v="0"/>
    <x v="0"/>
    <x v="0"/>
    <x v="0"/>
  </r>
  <r>
    <x v="2"/>
    <d v="2026-08-15T00:00:00"/>
    <s v="Shel Walker Martinez F"/>
    <n v="20000"/>
    <x v="1"/>
    <x v="1"/>
    <x v="1"/>
    <x v="7"/>
  </r>
  <r>
    <x v="2"/>
    <d v="2026-08-14T00:00:00"/>
    <s v="Uber Pagos Chile"/>
    <n v="-75783"/>
    <x v="0"/>
    <x v="0"/>
    <x v="0"/>
    <x v="5"/>
  </r>
  <r>
    <x v="2"/>
    <d v="2026-08-14T00:00:00"/>
    <s v="Meli Dólar"/>
    <n v="-13"/>
    <x v="0"/>
    <x v="0"/>
    <x v="0"/>
    <x v="0"/>
  </r>
  <r>
    <x v="2"/>
    <d v="2026-08-14T00:00:00"/>
    <s v="Mercadopago Greatlhe"/>
    <n v="2500"/>
    <x v="1"/>
    <x v="1"/>
    <x v="1"/>
    <x v="2"/>
  </r>
  <r>
    <x v="2"/>
    <d v="2026-08-14T00:00:00"/>
    <s v="Meli Dólar"/>
    <n v="-11"/>
    <x v="0"/>
    <x v="0"/>
    <x v="0"/>
    <x v="0"/>
  </r>
  <r>
    <x v="2"/>
    <d v="2026-08-14T00:00:00"/>
    <s v="Outletfit"/>
    <n v="2100"/>
    <x v="1"/>
    <x v="1"/>
    <x v="1"/>
    <x v="2"/>
  </r>
  <r>
    <x v="2"/>
    <d v="2026-08-14T00:00:00"/>
    <s v="Mercado Pago"/>
    <n v="-19"/>
    <x v="0"/>
    <x v="0"/>
    <x v="0"/>
    <x v="0"/>
  </r>
  <r>
    <x v="2"/>
    <d v="2026-08-14T00:00:00"/>
    <s v="Mercado Pago"/>
    <n v="-3"/>
    <x v="0"/>
    <x v="0"/>
    <x v="0"/>
    <x v="0"/>
  </r>
  <r>
    <x v="2"/>
    <d v="2026-08-14T00:00:00"/>
    <s v="Meli Dólar"/>
    <n v="-7"/>
    <x v="0"/>
    <x v="0"/>
    <x v="0"/>
    <x v="0"/>
  </r>
  <r>
    <x v="2"/>
    <d v="2026-08-14T00:00:00"/>
    <s v="Saba Estacionamientos"/>
    <n v="1350"/>
    <x v="1"/>
    <x v="1"/>
    <x v="1"/>
    <x v="19"/>
  </r>
  <r>
    <x v="2"/>
    <d v="2026-08-14T00:00:00"/>
    <s v="Meli Dólar"/>
    <n v="-77"/>
    <x v="0"/>
    <x v="0"/>
    <x v="0"/>
    <x v="0"/>
  </r>
  <r>
    <x v="2"/>
    <d v="2026-08-14T00:00:00"/>
    <s v="Mercadopago Bijouchi"/>
    <n v="15340"/>
    <x v="1"/>
    <x v="1"/>
    <x v="1"/>
    <x v="11"/>
  </r>
  <r>
    <x v="2"/>
    <d v="2026-08-14T00:00:00"/>
    <s v="Meli Dólar"/>
    <n v="-25"/>
    <x v="0"/>
    <x v="0"/>
    <x v="0"/>
    <x v="0"/>
  </r>
  <r>
    <x v="2"/>
    <d v="2026-08-14T00:00:00"/>
    <s v="Gabriel Bencomo Spa"/>
    <n v="5000"/>
    <x v="1"/>
    <x v="1"/>
    <x v="1"/>
    <x v="11"/>
  </r>
  <r>
    <x v="2"/>
    <d v="2026-08-14T00:00:00"/>
    <s v="Mercado Pago"/>
    <n v="-2000"/>
    <x v="0"/>
    <x v="0"/>
    <x v="0"/>
    <x v="0"/>
  </r>
  <r>
    <x v="2"/>
    <d v="2026-08-14T00:00:00"/>
    <s v="Meli Dólar"/>
    <n v="-22"/>
    <x v="0"/>
    <x v="0"/>
    <x v="0"/>
    <x v="0"/>
  </r>
  <r>
    <x v="2"/>
    <d v="2026-08-14T00:00:00"/>
    <s v="Mercadopago Sodexoch"/>
    <n v="4459"/>
    <x v="1"/>
    <x v="1"/>
    <x v="2"/>
    <x v="3"/>
  </r>
  <r>
    <x v="2"/>
    <d v="2026-08-14T00:00:00"/>
    <s v="Meli Dólar"/>
    <n v="-5"/>
    <x v="0"/>
    <x v="0"/>
    <x v="0"/>
    <x v="0"/>
  </r>
  <r>
    <x v="2"/>
    <d v="2026-08-14T00:00:00"/>
    <s v="Vendomatica 62"/>
    <n v="1000"/>
    <x v="1"/>
    <x v="1"/>
    <x v="1"/>
    <x v="2"/>
  </r>
  <r>
    <x v="2"/>
    <d v="2026-08-13T00:00:00"/>
    <s v="Mercado Pago"/>
    <n v="-8"/>
    <x v="0"/>
    <x v="0"/>
    <x v="0"/>
    <x v="0"/>
  </r>
  <r>
    <x v="2"/>
    <d v="2026-08-13T00:00:00"/>
    <s v="Mercado Pago"/>
    <n v="-1"/>
    <x v="0"/>
    <x v="0"/>
    <x v="0"/>
    <x v="0"/>
  </r>
  <r>
    <x v="2"/>
    <d v="2026-08-13T00:00:00"/>
    <s v="App ShellPago"/>
    <n v="13518"/>
    <x v="1"/>
    <x v="1"/>
    <x v="1"/>
    <x v="7"/>
  </r>
  <r>
    <x v="2"/>
    <d v="2026-08-13T00:00:00"/>
    <s v="Meli Dólar"/>
    <n v="-18"/>
    <x v="0"/>
    <x v="0"/>
    <x v="0"/>
    <x v="0"/>
  </r>
  <r>
    <x v="2"/>
    <d v="2026-08-13T00:00:00"/>
    <s v="Heladomania"/>
    <n v="3500"/>
    <x v="1"/>
    <x v="1"/>
    <x v="1"/>
    <x v="2"/>
  </r>
  <r>
    <x v="2"/>
    <d v="2026-08-13T00:00:00"/>
    <s v="Meli Dólar"/>
    <n v="-7"/>
    <x v="0"/>
    <x v="0"/>
    <x v="0"/>
    <x v="0"/>
  </r>
  <r>
    <x v="2"/>
    <d v="2026-08-13T00:00:00"/>
    <s v="Mal Paso"/>
    <n v="1400"/>
    <x v="1"/>
    <x v="1"/>
    <x v="1"/>
    <x v="2"/>
  </r>
  <r>
    <x v="2"/>
    <d v="2026-08-13T00:00:00"/>
    <s v="Meli Dólar"/>
    <n v="-22"/>
    <x v="0"/>
    <x v="0"/>
    <x v="0"/>
    <x v="0"/>
  </r>
  <r>
    <x v="2"/>
    <d v="2026-08-13T00:00:00"/>
    <s v="Mercadopago Sodexoch"/>
    <n v="4459"/>
    <x v="1"/>
    <x v="1"/>
    <x v="2"/>
    <x v="3"/>
  </r>
  <r>
    <x v="2"/>
    <d v="2026-08-13T00:00:00"/>
    <s v="Ingreso de dinero"/>
    <n v="-6500"/>
    <x v="0"/>
    <x v="0"/>
    <x v="0"/>
    <x v="5"/>
  </r>
  <r>
    <x v="2"/>
    <d v="2026-08-12T00:00:00"/>
    <s v="Meli Dólar"/>
    <n v="-10"/>
    <x v="0"/>
    <x v="0"/>
    <x v="0"/>
    <x v="0"/>
  </r>
  <r>
    <x v="2"/>
    <d v="2026-08-12T00:00:00"/>
    <s v="Unimarc Rojas Magallan"/>
    <n v="2016"/>
    <x v="1"/>
    <x v="1"/>
    <x v="1"/>
    <x v="6"/>
  </r>
  <r>
    <x v="2"/>
    <d v="2026-08-12T00:00:00"/>
    <s v="Meli Dólar"/>
    <n v="-264"/>
    <x v="0"/>
    <x v="0"/>
    <x v="0"/>
    <x v="0"/>
  </r>
  <r>
    <x v="2"/>
    <d v="2026-08-12T00:00:00"/>
    <s v="Unimarc Rojas Magallan"/>
    <n v="52853"/>
    <x v="1"/>
    <x v="1"/>
    <x v="1"/>
    <x v="6"/>
  </r>
  <r>
    <x v="2"/>
    <d v="2026-08-12T00:00:00"/>
    <s v="Mercado Pago"/>
    <n v="-1"/>
    <x v="0"/>
    <x v="0"/>
    <x v="0"/>
    <x v="0"/>
  </r>
  <r>
    <x v="2"/>
    <d v="2026-08-12T00:00:00"/>
    <s v="Mercado Pago"/>
    <n v="-8"/>
    <x v="0"/>
    <x v="0"/>
    <x v="0"/>
    <x v="0"/>
  </r>
  <r>
    <x v="2"/>
    <d v="2026-08-12T00:00:00"/>
    <s v="App Shell"/>
    <n v="14787"/>
    <x v="1"/>
    <x v="1"/>
    <x v="1"/>
    <x v="7"/>
  </r>
  <r>
    <x v="2"/>
    <d v="2026-08-12T00:00:00"/>
    <s v="Meli Dólar"/>
    <n v="-45"/>
    <x v="0"/>
    <x v="0"/>
    <x v="0"/>
    <x v="0"/>
  </r>
  <r>
    <x v="2"/>
    <d v="2026-08-12T00:00:00"/>
    <s v="H&amp;M Mall Plaza Vespuci"/>
    <n v="8990"/>
    <x v="1"/>
    <x v="1"/>
    <x v="1"/>
    <x v="12"/>
  </r>
  <r>
    <x v="2"/>
    <d v="2026-08-12T00:00:00"/>
    <s v="Meli Dólar"/>
    <n v="-22"/>
    <x v="0"/>
    <x v="0"/>
    <x v="0"/>
    <x v="0"/>
  </r>
  <r>
    <x v="2"/>
    <d v="2026-08-12T00:00:00"/>
    <s v="Mercadopago Sodexoch"/>
    <n v="4459"/>
    <x v="1"/>
    <x v="1"/>
    <x v="2"/>
    <x v="3"/>
  </r>
  <r>
    <x v="2"/>
    <d v="2026-08-12T00:00:00"/>
    <s v="Meli Dólar"/>
    <n v="-13"/>
    <x v="0"/>
    <x v="0"/>
    <x v="0"/>
    <x v="0"/>
  </r>
  <r>
    <x v="2"/>
    <d v="2026-08-12T00:00:00"/>
    <s v="Mercadopago Greatlhe"/>
    <n v="2500"/>
    <x v="1"/>
    <x v="1"/>
    <x v="1"/>
    <x v="2"/>
  </r>
  <r>
    <x v="2"/>
    <d v="2026-08-12T00:00:00"/>
    <s v="Ingreso de dinero"/>
    <n v="-15000"/>
    <x v="0"/>
    <x v="0"/>
    <x v="0"/>
    <x v="5"/>
  </r>
  <r>
    <x v="2"/>
    <d v="2026-08-11T00:00:00"/>
    <s v="Uber Pagos Chile"/>
    <n v="-30449"/>
    <x v="0"/>
    <x v="0"/>
    <x v="0"/>
    <x v="5"/>
  </r>
  <r>
    <x v="2"/>
    <d v="2026-08-11T00:00:00"/>
    <s v="Mercado Pago"/>
    <n v="-9"/>
    <x v="0"/>
    <x v="0"/>
    <x v="0"/>
    <x v="0"/>
  </r>
  <r>
    <x v="2"/>
    <d v="2026-08-11T00:00:00"/>
    <s v="Mercado Pago"/>
    <n v="-1"/>
    <x v="0"/>
    <x v="0"/>
    <x v="0"/>
    <x v="0"/>
  </r>
  <r>
    <x v="2"/>
    <d v="2026-08-11T00:00:00"/>
    <s v="Meli Dólar"/>
    <n v="-39"/>
    <x v="0"/>
    <x v="0"/>
    <x v="0"/>
    <x v="0"/>
  </r>
  <r>
    <x v="2"/>
    <d v="2026-08-11T00:00:00"/>
    <s v="Mercadopago Jairo"/>
    <n v="7890"/>
    <x v="1"/>
    <x v="1"/>
    <x v="1"/>
    <x v="2"/>
  </r>
  <r>
    <x v="2"/>
    <d v="2026-08-11T00:00:00"/>
    <s v="Meli Dólar"/>
    <n v="-22"/>
    <x v="0"/>
    <x v="0"/>
    <x v="0"/>
    <x v="0"/>
  </r>
  <r>
    <x v="2"/>
    <d v="2026-08-11T00:00:00"/>
    <s v="Mercadopago Sodexoch"/>
    <n v="4459"/>
    <x v="1"/>
    <x v="1"/>
    <x v="2"/>
    <x v="3"/>
  </r>
  <r>
    <x v="2"/>
    <d v="2026-08-11T00:00:00"/>
    <s v="App Shell"/>
    <n v="14776"/>
    <x v="1"/>
    <x v="1"/>
    <x v="1"/>
    <x v="7"/>
  </r>
  <r>
    <x v="2"/>
    <d v="2026-08-10T00:00:00"/>
    <s v="Ingreso de dinero"/>
    <n v="-14390"/>
    <x v="0"/>
    <x v="0"/>
    <x v="0"/>
    <x v="5"/>
  </r>
  <r>
    <x v="2"/>
    <d v="2026-08-10T00:00:00"/>
    <s v="Mercado Pago"/>
    <n v="-2"/>
    <x v="0"/>
    <x v="0"/>
    <x v="0"/>
    <x v="0"/>
  </r>
  <r>
    <x v="2"/>
    <d v="2026-08-10T00:00:00"/>
    <s v="Mercado Pago"/>
    <n v="-20"/>
    <x v="0"/>
    <x v="0"/>
    <x v="0"/>
    <x v="0"/>
  </r>
  <r>
    <x v="2"/>
    <d v="2026-08-10T00:00:00"/>
    <s v="App Shell"/>
    <n v="9858"/>
    <x v="1"/>
    <x v="1"/>
    <x v="1"/>
    <x v="7"/>
  </r>
  <r>
    <x v="2"/>
    <d v="2026-08-10T00:00:00"/>
    <s v="Cristian Andrés Ramírez Barrenechea"/>
    <n v="15000"/>
    <x v="1"/>
    <x v="1"/>
    <x v="1"/>
    <x v="12"/>
  </r>
  <r>
    <x v="2"/>
    <d v="2026-08-10T00:00:00"/>
    <s v="Meli Dólar"/>
    <n v="-22"/>
    <x v="0"/>
    <x v="0"/>
    <x v="0"/>
    <x v="0"/>
  </r>
  <r>
    <x v="2"/>
    <d v="2026-08-10T00:00:00"/>
    <s v="Mercadopago Sodexoch"/>
    <n v="4459"/>
    <x v="1"/>
    <x v="1"/>
    <x v="2"/>
    <x v="3"/>
  </r>
  <r>
    <x v="2"/>
    <d v="2026-08-10T00:00:00"/>
    <s v="Meli Dólar"/>
    <n v="-16"/>
    <x v="0"/>
    <x v="0"/>
    <x v="0"/>
    <x v="0"/>
  </r>
  <r>
    <x v="2"/>
    <d v="2026-08-10T00:00:00"/>
    <s v="Outletfit"/>
    <n v="3200"/>
    <x v="1"/>
    <x v="1"/>
    <x v="1"/>
    <x v="2"/>
  </r>
  <r>
    <x v="2"/>
    <d v="2026-08-10T00:00:00"/>
    <s v="Meli Dólar"/>
    <n v="-149"/>
    <x v="0"/>
    <x v="0"/>
    <x v="0"/>
    <x v="0"/>
  </r>
  <r>
    <x v="2"/>
    <d v="2026-08-10T00:00:00"/>
    <s v="Icb Ruta 832"/>
    <n v="29714"/>
    <x v="1"/>
    <x v="1"/>
    <x v="1"/>
    <x v="6"/>
  </r>
  <r>
    <x v="2"/>
    <d v="2026-08-09T00:00:00"/>
    <s v="Meli Dólar"/>
    <n v="-322"/>
    <x v="0"/>
    <x v="0"/>
    <x v="0"/>
    <x v="0"/>
  </r>
  <r>
    <x v="2"/>
    <d v="2026-08-09T00:00:00"/>
    <s v="Hip Lider La Reina"/>
    <n v="64491"/>
    <x v="1"/>
    <x v="1"/>
    <x v="1"/>
    <x v="6"/>
  </r>
  <r>
    <x v="2"/>
    <d v="2026-08-09T00:00:00"/>
    <s v="Meli Dólar"/>
    <n v="-28"/>
    <x v="0"/>
    <x v="0"/>
    <x v="0"/>
    <x v="0"/>
  </r>
  <r>
    <x v="2"/>
    <d v="2026-08-09T00:00:00"/>
    <s v="Mall Plaza Los Dominic"/>
    <n v="5600"/>
    <x v="1"/>
    <x v="1"/>
    <x v="1"/>
    <x v="19"/>
  </r>
  <r>
    <x v="2"/>
    <d v="2026-08-09T00:00:00"/>
    <s v="Meli Dólar"/>
    <n v="-20"/>
    <x v="0"/>
    <x v="0"/>
    <x v="0"/>
    <x v="0"/>
  </r>
  <r>
    <x v="2"/>
    <d v="2026-08-09T00:00:00"/>
    <s v="Mall Plaza Los Dominic"/>
    <n v="3960"/>
    <x v="1"/>
    <x v="1"/>
    <x v="1"/>
    <x v="10"/>
  </r>
  <r>
    <x v="2"/>
    <d v="2026-08-09T00:00:00"/>
    <s v="Meli Dólar"/>
    <n v="-3"/>
    <x v="0"/>
    <x v="0"/>
    <x v="0"/>
    <x v="0"/>
  </r>
  <r>
    <x v="2"/>
    <d v="2026-08-09T00:00:00"/>
    <s v="Id01 Super Bikes 3 2"/>
    <n v="690"/>
    <x v="1"/>
    <x v="1"/>
    <x v="1"/>
    <x v="17"/>
  </r>
  <r>
    <x v="2"/>
    <d v="2026-08-09T00:00:00"/>
    <s v="Meli Dólar"/>
    <n v="-3"/>
    <x v="0"/>
    <x v="0"/>
    <x v="0"/>
    <x v="0"/>
  </r>
  <r>
    <x v="2"/>
    <d v="2026-08-09T00:00:00"/>
    <s v="Id01 Super Bikes 3 2"/>
    <n v="690"/>
    <x v="1"/>
    <x v="1"/>
    <x v="1"/>
    <x v="17"/>
  </r>
  <r>
    <x v="2"/>
    <d v="2026-08-09T00:00:00"/>
    <s v="Meli Dólar"/>
    <n v="-6"/>
    <x v="0"/>
    <x v="0"/>
    <x v="0"/>
    <x v="0"/>
  </r>
  <r>
    <x v="2"/>
    <d v="2026-08-09T00:00:00"/>
    <s v="Id01 Super Bikes 3 1"/>
    <n v="1190"/>
    <x v="1"/>
    <x v="1"/>
    <x v="1"/>
    <x v="17"/>
  </r>
  <r>
    <x v="2"/>
    <d v="2026-08-09T00:00:00"/>
    <s v="Meli Dólar"/>
    <n v="-175"/>
    <x v="0"/>
    <x v="0"/>
    <x v="0"/>
    <x v="0"/>
  </r>
  <r>
    <x v="2"/>
    <d v="2026-08-09T00:00:00"/>
    <s v="Falabella Los Dominico"/>
    <n v="34990"/>
    <x v="1"/>
    <x v="1"/>
    <x v="1"/>
    <x v="18"/>
  </r>
  <r>
    <x v="2"/>
    <d v="2026-08-09T00:00:00"/>
    <s v="Meli Dólar"/>
    <n v="-109"/>
    <x v="0"/>
    <x v="0"/>
    <x v="0"/>
    <x v="0"/>
  </r>
  <r>
    <x v="2"/>
    <d v="2026-08-09T00:00:00"/>
    <s v="M Los Dominicos Par Av"/>
    <n v="21800"/>
    <x v="1"/>
    <x v="1"/>
    <x v="1"/>
    <x v="17"/>
  </r>
  <r>
    <x v="2"/>
    <d v="2026-08-09T00:00:00"/>
    <s v="Meli Dólar"/>
    <n v="-286"/>
    <x v="0"/>
    <x v="0"/>
    <x v="0"/>
    <x v="0"/>
  </r>
  <r>
    <x v="2"/>
    <d v="2026-08-09T00:00:00"/>
    <s v="52001-Ch Mall Plaza Do"/>
    <n v="57200"/>
    <x v="1"/>
    <x v="1"/>
    <x v="1"/>
    <x v="10"/>
  </r>
  <r>
    <x v="2"/>
    <d v="2026-08-09T00:00:00"/>
    <s v="Meli Dólar"/>
    <n v="-327"/>
    <x v="0"/>
    <x v="0"/>
    <x v="0"/>
    <x v="0"/>
  </r>
  <r>
    <x v="2"/>
    <d v="2026-08-09T00:00:00"/>
    <s v="Copec Macul 5880"/>
    <n v="65304"/>
    <x v="1"/>
    <x v="1"/>
    <x v="1"/>
    <x v="7"/>
  </r>
  <r>
    <x v="2"/>
    <d v="2026-08-09T00:00:00"/>
    <s v="Copec App"/>
    <n v="3490"/>
    <x v="1"/>
    <x v="1"/>
    <x v="1"/>
    <x v="2"/>
  </r>
  <r>
    <x v="2"/>
    <d v="2026-08-08T00:00:00"/>
    <s v="Meli Dólar"/>
    <n v="-125"/>
    <x v="0"/>
    <x v="0"/>
    <x v="0"/>
    <x v="0"/>
  </r>
  <r>
    <x v="2"/>
    <d v="2026-08-08T00:00:00"/>
    <s v="Falabella Pza Vespucio"/>
    <n v="24990"/>
    <x v="1"/>
    <x v="1"/>
    <x v="1"/>
    <x v="8"/>
  </r>
  <r>
    <x v="2"/>
    <d v="2026-08-08T00:00:00"/>
    <s v="App Shell"/>
    <n v="13952"/>
    <x v="1"/>
    <x v="1"/>
    <x v="1"/>
    <x v="7"/>
  </r>
  <r>
    <x v="2"/>
    <d v="2026-08-08T00:00:00"/>
    <s v="Meli Dólar"/>
    <n v="-36"/>
    <x v="0"/>
    <x v="0"/>
    <x v="0"/>
    <x v="0"/>
  </r>
  <r>
    <x v="2"/>
    <d v="2026-08-08T00:00:00"/>
    <s v="Mercadopago Haypan"/>
    <n v="7100"/>
    <x v="1"/>
    <x v="1"/>
    <x v="1"/>
    <x v="2"/>
  </r>
  <r>
    <x v="2"/>
    <d v="2026-08-08T00:00:00"/>
    <s v="Meli Dólar"/>
    <n v="-17"/>
    <x v="0"/>
    <x v="0"/>
    <x v="0"/>
    <x v="0"/>
  </r>
  <r>
    <x v="2"/>
    <d v="2026-08-08T00:00:00"/>
    <s v="Mercadopago Dulceamo"/>
    <n v="3390"/>
    <x v="1"/>
    <x v="1"/>
    <x v="1"/>
    <x v="2"/>
  </r>
  <r>
    <x v="2"/>
    <d v="2026-08-08T00:00:00"/>
    <s v="Meli Dólar"/>
    <n v="-75"/>
    <x v="0"/>
    <x v="0"/>
    <x v="0"/>
    <x v="0"/>
  </r>
  <r>
    <x v="2"/>
    <d v="2026-08-08T00:00:00"/>
    <s v="Edgard Alejandro Morea"/>
    <n v="14990"/>
    <x v="1"/>
    <x v="1"/>
    <x v="1"/>
    <x v="6"/>
  </r>
  <r>
    <x v="2"/>
    <d v="2026-08-08T00:00:00"/>
    <s v="Copec App"/>
    <n v="7470"/>
    <x v="1"/>
    <x v="1"/>
    <x v="1"/>
    <x v="2"/>
  </r>
  <r>
    <x v="2"/>
    <d v="2026-08-08T00:00:00"/>
    <s v="Meli Dólar"/>
    <n v="-22"/>
    <x v="0"/>
    <x v="0"/>
    <x v="0"/>
    <x v="0"/>
  </r>
  <r>
    <x v="2"/>
    <d v="2026-08-08T00:00:00"/>
    <s v="Comercial Flix Spa"/>
    <n v="4400"/>
    <x v="1"/>
    <x v="1"/>
    <x v="1"/>
    <x v="12"/>
  </r>
  <r>
    <x v="2"/>
    <d v="2026-08-08T00:00:00"/>
    <s v="Meli Dólar"/>
    <n v="-5"/>
    <x v="0"/>
    <x v="0"/>
    <x v="0"/>
    <x v="0"/>
  </r>
  <r>
    <x v="2"/>
    <d v="2026-08-08T00:00:00"/>
    <s v="Under Republica"/>
    <n v="990"/>
    <x v="1"/>
    <x v="1"/>
    <x v="1"/>
    <x v="10"/>
  </r>
  <r>
    <x v="2"/>
    <d v="2026-08-08T00:00:00"/>
    <s v="Meli Dólar"/>
    <n v="-24"/>
    <x v="0"/>
    <x v="0"/>
    <x v="0"/>
    <x v="0"/>
  </r>
  <r>
    <x v="2"/>
    <d v="2026-08-08T00:00:00"/>
    <s v="Mercadopago Dunkin"/>
    <n v="4854"/>
    <x v="1"/>
    <x v="1"/>
    <x v="1"/>
    <x v="10"/>
  </r>
  <r>
    <x v="2"/>
    <d v="2026-08-08T00:00:00"/>
    <s v="FlowFlow"/>
    <n v="15989"/>
    <x v="1"/>
    <x v="1"/>
    <x v="1"/>
    <x v="24"/>
  </r>
  <r>
    <x v="2"/>
    <d v="2026-08-08T00:00:00"/>
    <s v="Venta de Meli Dólar"/>
    <n v="-3363"/>
    <x v="0"/>
    <x v="0"/>
    <x v="0"/>
    <x v="0"/>
  </r>
  <r>
    <x v="2"/>
    <d v="2026-08-08T00:00:00"/>
    <s v="PedidosyaPedidosya"/>
    <n v="15690"/>
    <x v="1"/>
    <x v="1"/>
    <x v="1"/>
    <x v="10"/>
  </r>
  <r>
    <x v="2"/>
    <d v="2026-08-07T00:00:00"/>
    <s v="Clinica Davila Vespuci"/>
    <n v="15086"/>
    <x v="1"/>
    <x v="1"/>
    <x v="1"/>
    <x v="24"/>
  </r>
  <r>
    <x v="2"/>
    <d v="2026-08-07T00:00:00"/>
    <s v="Meli Dólar"/>
    <n v="-22"/>
    <x v="0"/>
    <x v="0"/>
    <x v="0"/>
    <x v="0"/>
  </r>
  <r>
    <x v="2"/>
    <d v="2026-08-07T00:00:00"/>
    <s v="Mercadopago Sodexoch"/>
    <n v="4459"/>
    <x v="1"/>
    <x v="1"/>
    <x v="2"/>
    <x v="3"/>
  </r>
  <r>
    <x v="2"/>
    <d v="2026-08-07T00:00:00"/>
    <s v="Meli Dólar"/>
    <n v="-5"/>
    <x v="0"/>
    <x v="0"/>
    <x v="0"/>
    <x v="0"/>
  </r>
  <r>
    <x v="2"/>
    <d v="2026-08-07T00:00:00"/>
    <s v="Vendomatica 303"/>
    <n v="1000"/>
    <x v="1"/>
    <x v="1"/>
    <x v="1"/>
    <x v="2"/>
  </r>
  <r>
    <x v="2"/>
    <d v="2026-08-07T00:00:00"/>
    <s v="Meli Dólar"/>
    <n v="-75"/>
    <x v="0"/>
    <x v="0"/>
    <x v="0"/>
    <x v="0"/>
  </r>
  <r>
    <x v="2"/>
    <d v="2026-08-07T00:00:00"/>
    <s v="Shel Walker Martinez F"/>
    <n v="15000"/>
    <x v="1"/>
    <x v="1"/>
    <x v="1"/>
    <x v="7"/>
  </r>
  <r>
    <x v="2"/>
    <d v="2026-08-07T00:00:00"/>
    <s v="Copec App"/>
    <n v="3380"/>
    <x v="1"/>
    <x v="1"/>
    <x v="1"/>
    <x v="2"/>
  </r>
  <r>
    <x v="2"/>
    <d v="2026-08-07T00:00:00"/>
    <s v="Fernando Javier Arriagada Concha"/>
    <n v="20000"/>
    <x v="1"/>
    <x v="1"/>
    <x v="1"/>
    <x v="12"/>
  </r>
  <r>
    <x v="2"/>
    <d v="2026-08-07T00:00:00"/>
    <s v="Fernando Javier Arriagada Concha"/>
    <n v="10000"/>
    <x v="1"/>
    <x v="1"/>
    <x v="1"/>
    <x v="10"/>
  </r>
  <r>
    <x v="2"/>
    <d v="2026-08-07T00:00:00"/>
    <s v="Meli Dólar"/>
    <n v="-4"/>
    <x v="0"/>
    <x v="0"/>
    <x v="0"/>
    <x v="0"/>
  </r>
  <r>
    <x v="2"/>
    <d v="2026-08-07T00:00:00"/>
    <s v="Salcobrand 405"/>
    <n v="720"/>
    <x v="1"/>
    <x v="1"/>
    <x v="1"/>
    <x v="24"/>
  </r>
  <r>
    <x v="2"/>
    <d v="2026-08-07T00:00:00"/>
    <s v="Mercado Pago"/>
    <n v="-3"/>
    <x v="0"/>
    <x v="0"/>
    <x v="0"/>
    <x v="0"/>
  </r>
  <r>
    <x v="2"/>
    <d v="2026-08-07T00:00:00"/>
    <s v="Mercado Pago"/>
    <n v="-69"/>
    <x v="0"/>
    <x v="0"/>
    <x v="0"/>
    <x v="0"/>
  </r>
  <r>
    <x v="2"/>
    <d v="2026-08-07T00:00:00"/>
    <s v="Meli Dólar"/>
    <n v="-75"/>
    <x v="0"/>
    <x v="0"/>
    <x v="0"/>
    <x v="0"/>
  </r>
  <r>
    <x v="2"/>
    <d v="2026-08-06T00:00:00"/>
    <s v="Alejandra Bozo"/>
    <n v="15000"/>
    <x v="1"/>
    <x v="1"/>
    <x v="1"/>
    <x v="24"/>
  </r>
  <r>
    <x v="2"/>
    <d v="2026-08-06T00:00:00"/>
    <s v="Meli Dólar"/>
    <n v="-736"/>
    <x v="0"/>
    <x v="0"/>
    <x v="0"/>
    <x v="0"/>
  </r>
  <r>
    <x v="2"/>
    <d v="2026-08-06T00:00:00"/>
    <s v="Crédito de Mercado Pago"/>
    <n v="-36780"/>
    <x v="0"/>
    <x v="0"/>
    <x v="0"/>
    <x v="23"/>
  </r>
  <r>
    <x v="2"/>
    <d v="2026-08-06T00:00:00"/>
    <s v="Mercado LibreMercado Libre"/>
    <n v="36780"/>
    <x v="1"/>
    <x v="1"/>
    <x v="1"/>
    <x v="23"/>
  </r>
  <r>
    <x v="2"/>
    <d v="2026-08-06T00:00:00"/>
    <s v="Uber Pagos Chile"/>
    <n v="-72541"/>
    <x v="0"/>
    <x v="0"/>
    <x v="0"/>
    <x v="5"/>
  </r>
  <r>
    <x v="2"/>
    <d v="2026-08-06T00:00:00"/>
    <s v="Meli Dólar"/>
    <n v="-9"/>
    <x v="0"/>
    <x v="0"/>
    <x v="0"/>
    <x v="0"/>
  </r>
  <r>
    <x v="2"/>
    <d v="2026-08-06T00:00:00"/>
    <s v="Outletfit"/>
    <n v="1800"/>
    <x v="1"/>
    <x v="1"/>
    <x v="1"/>
    <x v="2"/>
  </r>
  <r>
    <x v="2"/>
    <d v="2026-08-06T00:00:00"/>
    <s v="Meli Dólar"/>
    <n v="-108"/>
    <x v="0"/>
    <x v="0"/>
    <x v="0"/>
    <x v="0"/>
  </r>
  <r>
    <x v="2"/>
    <d v="2026-08-06T00:00:00"/>
    <s v="Unimarc Rojas Magallan"/>
    <n v="21537"/>
    <x v="1"/>
    <x v="1"/>
    <x v="1"/>
    <x v="6"/>
  </r>
  <r>
    <x v="2"/>
    <d v="2026-08-06T00:00:00"/>
    <s v="Mercado Pago"/>
    <n v="-49"/>
    <x v="0"/>
    <x v="0"/>
    <x v="0"/>
    <x v="0"/>
  </r>
  <r>
    <x v="2"/>
    <d v="2026-08-06T00:00:00"/>
    <s v="Mercado Pago"/>
    <n v="-2"/>
    <x v="0"/>
    <x v="0"/>
    <x v="0"/>
    <x v="0"/>
  </r>
  <r>
    <x v="2"/>
    <d v="2026-08-06T00:00:00"/>
    <s v="Meli Dólar"/>
    <n v="-22"/>
    <x v="0"/>
    <x v="0"/>
    <x v="0"/>
    <x v="0"/>
  </r>
  <r>
    <x v="2"/>
    <d v="2026-08-06T00:00:00"/>
    <s v="Mercadopago Sodexoch"/>
    <n v="4459"/>
    <x v="1"/>
    <x v="1"/>
    <x v="2"/>
    <x v="3"/>
  </r>
  <r>
    <x v="2"/>
    <d v="2026-08-06T00:00:00"/>
    <s v="Karina Sepulveda Hernandez"/>
    <n v="12000"/>
    <x v="1"/>
    <x v="1"/>
    <x v="1"/>
    <x v="1"/>
  </r>
  <r>
    <x v="2"/>
    <d v="2026-08-06T00:00:00"/>
    <s v="GoogleGoogle"/>
    <n v="20050"/>
    <x v="1"/>
    <x v="1"/>
    <x v="1"/>
    <x v="4"/>
  </r>
  <r>
    <x v="2"/>
    <d v="2026-08-06T00:00:00"/>
    <s v="Créditos de Mercado Pago"/>
    <n v="43426"/>
    <x v="1"/>
    <x v="1"/>
    <x v="1"/>
    <x v="23"/>
  </r>
  <r>
    <x v="2"/>
    <d v="2026-08-05T00:00:00"/>
    <s v="Rendimientos BICE"/>
    <n v="-201"/>
    <x v="0"/>
    <x v="0"/>
    <x v="0"/>
    <x v="0"/>
  </r>
  <r>
    <x v="2"/>
    <d v="2026-08-05T00:00:00"/>
    <s v="Beneficio de Mercado Pago"/>
    <n v="-53"/>
    <x v="0"/>
    <x v="0"/>
    <x v="0"/>
    <x v="0"/>
  </r>
  <r>
    <x v="2"/>
    <d v="2026-08-05T00:00:00"/>
    <s v="Copec app"/>
    <n v="2390"/>
    <x v="1"/>
    <x v="1"/>
    <x v="1"/>
    <x v="2"/>
  </r>
  <r>
    <x v="2"/>
    <d v="2026-08-05T00:00:00"/>
    <s v="Las araucarias"/>
    <n v="2500"/>
    <x v="1"/>
    <x v="1"/>
    <x v="1"/>
    <x v="2"/>
  </r>
  <r>
    <x v="2"/>
    <d v="2026-08-05T00:00:00"/>
    <s v="Mercadopago *sodexoch"/>
    <n v="4459"/>
    <x v="1"/>
    <x v="1"/>
    <x v="2"/>
    <x v="3"/>
  </r>
  <r>
    <x v="2"/>
    <d v="2026-08-05T00:00:00"/>
    <s v="Fernando caballero"/>
    <n v="11000"/>
    <x v="1"/>
    <x v="1"/>
    <x v="1"/>
    <x v="10"/>
  </r>
  <r>
    <x v="2"/>
    <d v="2026-08-05T00:00:00"/>
    <s v="Shel walker martinez f"/>
    <n v="25000"/>
    <x v="1"/>
    <x v="1"/>
    <x v="1"/>
    <x v="7"/>
  </r>
  <r>
    <x v="2"/>
    <d v="2026-08-05T00:00:00"/>
    <s v="Felipe Andres Valenzuela Gallardo"/>
    <n v="200000"/>
    <x v="1"/>
    <x v="1"/>
    <x v="1"/>
    <x v="34"/>
  </r>
  <r>
    <x v="2"/>
    <d v="2026-08-05T00:00:00"/>
    <s v="Jaime Cardenas"/>
    <n v="733000"/>
    <x v="1"/>
    <x v="1"/>
    <x v="2"/>
    <x v="22"/>
  </r>
  <r>
    <x v="2"/>
    <d v="2026-08-04T00:00:00"/>
    <s v="Uber Pagos Chile"/>
    <n v="-12284"/>
    <x v="0"/>
    <x v="0"/>
    <x v="0"/>
    <x v="5"/>
  </r>
  <r>
    <x v="2"/>
    <d v="2026-08-04T00:00:00"/>
    <s v="Transferencia recibida"/>
    <n v="-3000"/>
    <x v="0"/>
    <x v="0"/>
    <x v="0"/>
    <x v="0"/>
  </r>
  <r>
    <x v="2"/>
    <d v="2026-08-04T00:00:00"/>
    <s v="Rendimientos BICE"/>
    <n v="-204"/>
    <x v="0"/>
    <x v="0"/>
    <x v="0"/>
    <x v="0"/>
  </r>
  <r>
    <x v="2"/>
    <d v="2026-08-04T00:00:00"/>
    <s v="Beneficio de Mercado Pago"/>
    <n v="-54"/>
    <x v="0"/>
    <x v="0"/>
    <x v="0"/>
    <x v="0"/>
  </r>
  <r>
    <x v="2"/>
    <d v="2026-08-04T00:00:00"/>
    <s v="Outletfit"/>
    <n v="3200"/>
    <x v="1"/>
    <x v="1"/>
    <x v="1"/>
    <x v="2"/>
  </r>
  <r>
    <x v="2"/>
    <d v="2026-08-04T00:00:00"/>
    <s v="Pistacho y nuez"/>
    <n v="3810"/>
    <x v="1"/>
    <x v="1"/>
    <x v="1"/>
    <x v="2"/>
  </r>
  <r>
    <x v="2"/>
    <d v="2026-08-04T00:00:00"/>
    <s v="Mercadopago *sodexoch"/>
    <n v="4459"/>
    <x v="1"/>
    <x v="1"/>
    <x v="2"/>
    <x v="3"/>
  </r>
  <r>
    <x v="2"/>
    <d v="2026-08-04T00:00:00"/>
    <s v="PedidosYaPedidosYa"/>
    <n v="8180"/>
    <x v="1"/>
    <x v="1"/>
    <x v="1"/>
    <x v="10"/>
  </r>
  <r>
    <x v="2"/>
    <d v="2026-08-04T00:00:00"/>
    <s v="Wellhub cl"/>
    <n v="27589"/>
    <x v="1"/>
    <x v="1"/>
    <x v="2"/>
    <x v="21"/>
  </r>
  <r>
    <x v="2"/>
    <d v="2026-08-04T00:00:00"/>
    <s v="Ahorro"/>
    <n v="31000"/>
    <x v="1"/>
    <x v="1"/>
    <x v="3"/>
    <x v="16"/>
  </r>
  <r>
    <x v="2"/>
    <d v="2026-08-04T00:00:00"/>
    <s v="Unimarc rojas magallan"/>
    <n v="35016"/>
    <x v="1"/>
    <x v="1"/>
    <x v="1"/>
    <x v="6"/>
  </r>
  <r>
    <x v="2"/>
    <d v="2026-08-04T00:00:00"/>
    <s v="Fernando Arriagada"/>
    <n v="51500"/>
    <x v="1"/>
    <x v="1"/>
    <x v="2"/>
    <x v="26"/>
  </r>
  <r>
    <x v="2"/>
    <d v="2026-08-03T00:00:00"/>
    <s v="Fernando Javier Arriagada Concha"/>
    <n v="-1817180"/>
    <x v="0"/>
    <x v="0"/>
    <x v="0"/>
    <x v="28"/>
  </r>
  <r>
    <x v="2"/>
    <d v="2026-08-03T00:00:00"/>
    <s v="Rendimientos BICE"/>
    <n v="-63"/>
    <x v="0"/>
    <x v="0"/>
    <x v="0"/>
    <x v="0"/>
  </r>
  <r>
    <x v="2"/>
    <d v="2026-08-03T00:00:00"/>
    <s v="Beneficio de Mercado Pago"/>
    <n v="-17"/>
    <x v="0"/>
    <x v="0"/>
    <x v="0"/>
    <x v="0"/>
  </r>
  <r>
    <x v="2"/>
    <d v="2026-08-03T00:00:00"/>
    <s v="Outletfit"/>
    <n v="3200"/>
    <x v="1"/>
    <x v="1"/>
    <x v="1"/>
    <x v="2"/>
  </r>
  <r>
    <x v="2"/>
    <d v="2026-08-03T00:00:00"/>
    <s v="Olaf edmundo biaggini"/>
    <n v="3350"/>
    <x v="1"/>
    <x v="1"/>
    <x v="1"/>
    <x v="2"/>
  </r>
  <r>
    <x v="2"/>
    <d v="2026-08-03T00:00:00"/>
    <s v="Mercadopago *sodexoch"/>
    <n v="4459"/>
    <x v="1"/>
    <x v="1"/>
    <x v="2"/>
    <x v="3"/>
  </r>
  <r>
    <x v="2"/>
    <d v="2026-08-03T00:00:00"/>
    <s v="Mercadopago *cafelasc"/>
    <n v="4590"/>
    <x v="1"/>
    <x v="1"/>
    <x v="1"/>
    <x v="2"/>
  </r>
  <r>
    <x v="2"/>
    <d v="2026-08-03T00:00:00"/>
    <s v="Icb ruta 973"/>
    <n v="13648"/>
    <x v="1"/>
    <x v="1"/>
    <x v="1"/>
    <x v="6"/>
  </r>
  <r>
    <x v="2"/>
    <d v="2026-08-03T00:00:00"/>
    <s v="App Shell"/>
    <n v="18582"/>
    <x v="1"/>
    <x v="1"/>
    <x v="1"/>
    <x v="7"/>
  </r>
  <r>
    <x v="2"/>
    <d v="2026-08-03T00:00:00"/>
    <s v="Entel HogarEntel Hogar"/>
    <n v="35981"/>
    <x v="1"/>
    <x v="1"/>
    <x v="2"/>
    <x v="26"/>
  </r>
  <r>
    <x v="2"/>
    <d v="2026-08-03T00:00:00"/>
    <s v="Aguas AndinasAguas Andinas"/>
    <n v="66717"/>
    <x v="1"/>
    <x v="1"/>
    <x v="2"/>
    <x v="26"/>
  </r>
  <r>
    <x v="2"/>
    <d v="2026-08-03T00:00:00"/>
    <s v="Condominio Tarragona"/>
    <n v="311000"/>
    <x v="1"/>
    <x v="1"/>
    <x v="2"/>
    <x v="27"/>
  </r>
  <r>
    <x v="2"/>
    <d v="2026-08-02T00:00:00"/>
    <s v="Mercadopago *eltomeci"/>
    <n v="1000"/>
    <x v="1"/>
    <x v="1"/>
    <x v="1"/>
    <x v="2"/>
  </r>
  <r>
    <x v="2"/>
    <d v="2026-08-02T00:00:00"/>
    <s v="Mercadopago *dulcearo"/>
    <n v="4100"/>
    <x v="1"/>
    <x v="1"/>
    <x v="1"/>
    <x v="2"/>
  </r>
  <r>
    <x v="2"/>
    <d v="2026-08-02T00:00:00"/>
    <s v="Ahum l541 r.magallan 3"/>
    <n v="6737"/>
    <x v="1"/>
    <x v="1"/>
    <x v="1"/>
    <x v="24"/>
  </r>
  <r>
    <x v="2"/>
    <d v="2026-08-02T00:00:00"/>
    <s v="Pistacho y nuez"/>
    <n v="7170"/>
    <x v="1"/>
    <x v="1"/>
    <x v="1"/>
    <x v="2"/>
  </r>
  <r>
    <x v="2"/>
    <d v="2026-08-02T00:00:00"/>
    <s v="Unimarc rojas magallan"/>
    <n v="7344"/>
    <x v="1"/>
    <x v="1"/>
    <x v="1"/>
    <x v="6"/>
  </r>
  <r>
    <x v="2"/>
    <d v="2026-08-02T00:00:00"/>
    <s v="Hip lider departamenta"/>
    <n v="11480"/>
    <x v="1"/>
    <x v="1"/>
    <x v="1"/>
    <x v="6"/>
  </r>
  <r>
    <x v="2"/>
    <d v="2026-08-02T00:00:00"/>
    <s v="Diego Rubio"/>
    <n v="22000"/>
    <x v="1"/>
    <x v="1"/>
    <x v="1"/>
    <x v="24"/>
  </r>
  <r>
    <x v="2"/>
    <d v="2026-08-02T00:00:00"/>
    <s v="Unimarc rojas magallan"/>
    <n v="71481"/>
    <x v="1"/>
    <x v="1"/>
    <x v="1"/>
    <x v="6"/>
  </r>
  <r>
    <x v="2"/>
    <d v="2026-08-02T00:00:00"/>
    <s v="Pablo Ignacio Escobar"/>
    <n v="140000"/>
    <x v="1"/>
    <x v="1"/>
    <x v="1"/>
    <x v="8"/>
  </r>
  <r>
    <x v="2"/>
    <d v="2026-08-01T00:00:00"/>
    <s v="Pve2"/>
    <n v="1490"/>
    <x v="1"/>
    <x v="1"/>
    <x v="1"/>
    <x v="2"/>
  </r>
  <r>
    <x v="2"/>
    <d v="2026-08-01T00:00:00"/>
    <s v="PedidosYa PlusPedidosYa Plus"/>
    <n v="1849"/>
    <x v="1"/>
    <x v="1"/>
    <x v="2"/>
    <x v="4"/>
  </r>
  <r>
    <x v="2"/>
    <d v="2026-08-01T00:00:00"/>
    <s v="Saba estacionamientos"/>
    <n v="2300"/>
    <x v="1"/>
    <x v="1"/>
    <x v="1"/>
    <x v="19"/>
  </r>
  <r>
    <x v="2"/>
    <d v="2026-08-01T00:00:00"/>
    <s v="Zara plaza vespucio"/>
    <n v="3990"/>
    <x v="1"/>
    <x v="1"/>
    <x v="1"/>
    <x v="12"/>
  </r>
  <r>
    <x v="2"/>
    <d v="2026-08-01T00:00:00"/>
    <s v="Google PlayGoogle Play"/>
    <n v="4690"/>
    <x v="1"/>
    <x v="1"/>
    <x v="1"/>
    <x v="17"/>
  </r>
  <r>
    <x v="2"/>
    <d v="2026-08-01T00:00:00"/>
    <s v="Zara plaza vespucio"/>
    <n v="7990"/>
    <x v="1"/>
    <x v="1"/>
    <x v="1"/>
    <x v="12"/>
  </r>
  <r>
    <x v="2"/>
    <d v="2026-08-01T00:00:00"/>
    <s v="Mercadopago *eltomeci"/>
    <n v="10290"/>
    <x v="1"/>
    <x v="1"/>
    <x v="1"/>
    <x v="2"/>
  </r>
  <r>
    <x v="2"/>
    <d v="2026-08-01T00:00:00"/>
    <s v="Alejandra Bozo"/>
    <n v="11000"/>
    <x v="1"/>
    <x v="1"/>
    <x v="1"/>
    <x v="24"/>
  </r>
  <r>
    <x v="2"/>
    <d v="2026-08-01T00:00:00"/>
    <s v="PedidosYaPedidosYa"/>
    <n v="13350"/>
    <x v="1"/>
    <x v="1"/>
    <x v="1"/>
    <x v="10"/>
  </r>
  <r>
    <x v="2"/>
    <d v="2026-08-01T00:00:00"/>
    <s v="App Shell"/>
    <n v="14843"/>
    <x v="1"/>
    <x v="1"/>
    <x v="1"/>
    <x v="7"/>
  </r>
  <r>
    <x v="2"/>
    <d v="2026-08-01T00:00:00"/>
    <s v="Bascunan guerrero"/>
    <n v="16500"/>
    <x v="1"/>
    <x v="1"/>
    <x v="1"/>
    <x v="12"/>
  </r>
  <r>
    <x v="2"/>
    <d v="2026-08-01T00:00:00"/>
    <s v="Unimarc vicente valdes"/>
    <n v="34214"/>
    <x v="1"/>
    <x v="1"/>
    <x v="1"/>
    <x v="6"/>
  </r>
  <r>
    <x v="2"/>
    <d v="2026-08-01T00:00:00"/>
    <s v="Fernando Javier Arriagada Concha"/>
    <n v="60000"/>
    <x v="1"/>
    <x v="1"/>
    <x v="1"/>
    <x v="15"/>
  </r>
  <r>
    <x v="2"/>
    <d v="2026-08-01T00:00:00"/>
    <s v="Zara plaza vespucio"/>
    <n v="63930"/>
    <x v="1"/>
    <x v="1"/>
    <x v="1"/>
    <x v="12"/>
  </r>
  <r>
    <x v="2"/>
    <d v="2026-08-01T00:00:00"/>
    <s v="Edinson Herrera"/>
    <n v="119700"/>
    <x v="1"/>
    <x v="1"/>
    <x v="1"/>
    <x v="14"/>
  </r>
  <r>
    <x v="2"/>
    <d v="2026-07-31T00:00:00"/>
    <s v="SULLIVAN BOSICH Y COMPANIA LIMITADA"/>
    <n v="-1000000"/>
    <x v="0"/>
    <x v="0"/>
    <x v="0"/>
    <x v="28"/>
  </r>
  <r>
    <x v="2"/>
    <d v="2026-07-31T00:00:00"/>
    <s v="Fernando Javier Arriagada Concha"/>
    <n v="-300000"/>
    <x v="0"/>
    <x v="0"/>
    <x v="0"/>
    <x v="28"/>
  </r>
  <r>
    <x v="2"/>
    <d v="2026-07-31T00:00:00"/>
    <s v="Rendimientos BICE"/>
    <n v="-1"/>
    <x v="0"/>
    <x v="0"/>
    <x v="0"/>
    <x v="0"/>
  </r>
  <r>
    <x v="2"/>
    <d v="2026-07-31T00:00:00"/>
    <s v="Mercadopago *greatlhe"/>
    <n v="890"/>
    <x v="1"/>
    <x v="1"/>
    <x v="1"/>
    <x v="2"/>
  </r>
  <r>
    <x v="2"/>
    <d v="2026-07-31T00:00:00"/>
    <s v="Mercadopago *cafelasc"/>
    <n v="1550"/>
    <x v="1"/>
    <x v="1"/>
    <x v="1"/>
    <x v="2"/>
  </r>
  <r>
    <x v="2"/>
    <d v="2026-07-31T00:00:00"/>
    <s v="Roblox.com 18888582569"/>
    <n v="5500"/>
    <x v="1"/>
    <x v="1"/>
    <x v="1"/>
    <x v="17"/>
  </r>
  <r>
    <x v="2"/>
    <d v="2026-07-31T00:00:00"/>
    <s v="Cv 068"/>
    <n v="10231"/>
    <x v="1"/>
    <x v="1"/>
    <x v="1"/>
    <x v="24"/>
  </r>
  <r>
    <x v="2"/>
    <d v="2026-07-31T00:00:00"/>
    <s v="Mal paso"/>
    <n v="13200"/>
    <x v="1"/>
    <x v="1"/>
    <x v="1"/>
    <x v="2"/>
  </r>
  <r>
    <x v="2"/>
    <d v="2026-07-31T00:00:00"/>
    <s v="Mercadopago *lalosspa"/>
    <n v="27870"/>
    <x v="1"/>
    <x v="1"/>
    <x v="1"/>
    <x v="10"/>
  </r>
  <r>
    <x v="3"/>
    <d v="2025-10-05T01:21:00"/>
    <s v="Transferencia En Linea A Otro Banco Fernando Arriagada"/>
    <n v="733000"/>
    <x v="1"/>
    <x v="1"/>
    <x v="2"/>
    <x v="22"/>
  </r>
  <r>
    <x v="3"/>
    <d v="2025-10-05T00:53:00"/>
    <s v="Transferencia En Linea A Otro Banco Fernando Arriagada"/>
    <n v="27100"/>
    <x v="1"/>
    <x v="1"/>
    <x v="2"/>
    <x v="26"/>
  </r>
  <r>
    <x v="3"/>
    <d v="2025-10-04T19:45:00"/>
    <s v="Pass Line Ltda"/>
    <n v="9200"/>
    <x v="1"/>
    <x v="3"/>
    <x v="1"/>
    <x v="17"/>
  </r>
  <r>
    <x v="3"/>
    <d v="2025-10-04T15:05:00"/>
    <s v="Dl*google Youtu"/>
    <n v="1100"/>
    <x v="1"/>
    <x v="3"/>
    <x v="1"/>
    <x v="17"/>
  </r>
  <r>
    <x v="3"/>
    <d v="2025-10-04T12:53:00"/>
    <s v="Google *Roblox"/>
    <n v="1100"/>
    <x v="1"/>
    <x v="3"/>
    <x v="1"/>
    <x v="17"/>
  </r>
  <r>
    <x v="3"/>
    <d v="2025-10-04T11:35:00"/>
    <s v="Transferencia En Linea A Otro Banco Fernando Arriagada"/>
    <n v="40000"/>
    <x v="1"/>
    <x v="1"/>
    <x v="1"/>
    <x v="15"/>
  </r>
  <r>
    <x v="3"/>
    <d v="2025-10-03T19:19:00"/>
    <s v="Agpro *Top Bea"/>
    <n v="50000"/>
    <x v="1"/>
    <x v="3"/>
    <x v="1"/>
    <x v="24"/>
  </r>
  <r>
    <x v="3"/>
    <d v="2025-10-03T18:45:00"/>
    <s v="Mp *Fitfoodvend"/>
    <n v="1190"/>
    <x v="1"/>
    <x v="3"/>
    <x v="1"/>
    <x v="3"/>
  </r>
  <r>
    <x v="3"/>
    <d v="2025-10-03T18:12:00"/>
    <s v="Mardoqueo Ferna"/>
    <n v="1590"/>
    <x v="1"/>
    <x v="3"/>
    <x v="1"/>
    <x v="2"/>
  </r>
  <r>
    <x v="3"/>
    <d v="2025-10-03T17:59:00"/>
    <s v="Kentucky Fried"/>
    <n v="2550"/>
    <x v="1"/>
    <x v="3"/>
    <x v="1"/>
    <x v="10"/>
  </r>
  <r>
    <x v="3"/>
    <d v="2025-10-03T13:59:00"/>
    <s v="Copec App"/>
    <n v="4580"/>
    <x v="1"/>
    <x v="3"/>
    <x v="1"/>
    <x v="2"/>
  </r>
  <r>
    <x v="3"/>
    <d v="2025-10-03T12:10:00"/>
    <s v="Merpago*autoser"/>
    <n v="1700"/>
    <x v="1"/>
    <x v="3"/>
    <x v="1"/>
    <x v="3"/>
  </r>
  <r>
    <x v="3"/>
    <d v="2025-10-03T04:13:00"/>
    <s v="Mp *Fitfoodvend"/>
    <n v="1190"/>
    <x v="1"/>
    <x v="3"/>
    <x v="1"/>
    <x v="3"/>
  </r>
  <r>
    <x v="3"/>
    <d v="2025-10-02T15:59:00"/>
    <s v="Transferencia En Linea A Otro Banco Cristian Sandoval"/>
    <n v="2000"/>
    <x v="1"/>
    <x v="1"/>
    <x v="1"/>
    <x v="2"/>
  </r>
  <r>
    <x v="3"/>
    <d v="2025-10-02T00:00:00"/>
    <s v="COMPRA PARKING MALL PLAZA"/>
    <n v="1450"/>
    <x v="1"/>
    <x v="3"/>
    <x v="1"/>
    <x v="19"/>
  </r>
  <r>
    <x v="3"/>
    <d v="2025-10-02T00:00:00"/>
    <s v="Importadora Azul"/>
    <n v="4800"/>
    <x v="1"/>
    <x v="3"/>
    <x v="1"/>
    <x v="2"/>
  </r>
  <r>
    <x v="3"/>
    <d v="2025-10-02T00:00:00"/>
    <s v="Pedidosya Cl"/>
    <n v="17040"/>
    <x v="1"/>
    <x v="3"/>
    <x v="1"/>
    <x v="10"/>
  </r>
  <r>
    <x v="3"/>
    <d v="2025-10-01T22:33:00"/>
    <s v="Mercadopago *Jaime Las Condes Chl"/>
    <n v="2700"/>
    <x v="1"/>
    <x v="1"/>
    <x v="1"/>
    <x v="2"/>
  </r>
  <r>
    <x v="3"/>
    <d v="2025-10-01T22:20:00"/>
    <s v="Pedidosya Cl"/>
    <n v="17040"/>
    <x v="1"/>
    <x v="3"/>
    <x v="1"/>
    <x v="10"/>
  </r>
  <r>
    <x v="3"/>
    <d v="2025-10-01T00:00:00"/>
    <s v="Pedidosya Cl Plus"/>
    <n v="1449"/>
    <x v="1"/>
    <x v="3"/>
    <x v="1"/>
    <x v="4"/>
  </r>
  <r>
    <x v="3"/>
    <d v="2025-09-30T00:00:00"/>
    <s v="Intereses TC Banco Falabella"/>
    <n v="18429"/>
    <x v="1"/>
    <x v="3"/>
    <x v="1"/>
    <x v="25"/>
  </r>
  <r>
    <x v="3"/>
    <d v="2025-09-30T00:00:00"/>
    <s v="Intereses TC Banco Ripley"/>
    <n v="37685"/>
    <x v="1"/>
    <x v="3"/>
    <x v="1"/>
    <x v="25"/>
  </r>
  <r>
    <x v="3"/>
    <d v="2025-09-30T00:00:00"/>
    <s v="COMPRA SHEL WALKER MARTINEZ F"/>
    <n v="10000"/>
    <x v="1"/>
    <x v="3"/>
    <x v="1"/>
    <x v="7"/>
  </r>
  <r>
    <x v="3"/>
    <d v="2025-09-30T00:00:00"/>
    <s v="Wpay Plus Cred Ticke"/>
    <n v="22770"/>
    <x v="1"/>
    <x v="3"/>
    <x v="1"/>
    <x v="17"/>
  </r>
  <r>
    <x v="3"/>
    <d v="2025-09-30T00:00:00"/>
    <s v="COMPRA HELADOMANIA"/>
    <n v="1800"/>
    <x v="1"/>
    <x v="3"/>
    <x v="1"/>
    <x v="2"/>
  </r>
  <r>
    <x v="3"/>
    <d v="2025-09-30T00:00:00"/>
    <s v="COMPRA MERCADOPAGO *OLIMPO"/>
    <n v="1400"/>
    <x v="1"/>
    <x v="3"/>
    <x v="1"/>
    <x v="2"/>
  </r>
  <r>
    <x v="3"/>
    <d v="2025-09-30T00:00:00"/>
    <s v="COMPRA TIENDA SHELL LA FLOR F"/>
    <n v="3100"/>
    <x v="1"/>
    <x v="3"/>
    <x v="1"/>
    <x v="2"/>
  </r>
  <r>
    <x v="3"/>
    <d v="2025-09-30T00:00:00"/>
    <s v="Payu Ps*gympass"/>
    <n v="27589"/>
    <x v="1"/>
    <x v="3"/>
    <x v="2"/>
    <x v="21"/>
  </r>
  <r>
    <x v="3"/>
    <d v="2025-09-30T00:00:00"/>
    <s v="Payu Ps*gympass"/>
    <n v="27589"/>
    <x v="1"/>
    <x v="3"/>
    <x v="2"/>
    <x v="21"/>
  </r>
  <r>
    <x v="3"/>
    <d v="2025-09-30T00:00:00"/>
    <s v="COMPRA LUNKAI SPA"/>
    <n v="4500"/>
    <x v="1"/>
    <x v="3"/>
    <x v="1"/>
    <x v="10"/>
  </r>
  <r>
    <x v="3"/>
    <d v="2025-09-30T00:00:00"/>
    <s v="Koari Sushi Spa"/>
    <n v="48906"/>
    <x v="1"/>
    <x v="3"/>
    <x v="1"/>
    <x v="10"/>
  </r>
  <r>
    <x v="3"/>
    <d v="2025-09-30T00:00:00"/>
    <s v="Lunkai Spa"/>
    <n v="5800"/>
    <x v="1"/>
    <x v="3"/>
    <x v="1"/>
    <x v="10"/>
  </r>
  <r>
    <x v="3"/>
    <d v="2025-09-30T00:00:00"/>
    <s v="COMPRA HIP LIDER SAN PABLO"/>
    <n v="2016"/>
    <x v="1"/>
    <x v="3"/>
    <x v="1"/>
    <x v="6"/>
  </r>
  <r>
    <x v="3"/>
    <d v="2025-09-30T00:00:00"/>
    <s v="Dl*google Youtube"/>
    <n v="1790"/>
    <x v="1"/>
    <x v="3"/>
    <x v="1"/>
    <x v="4"/>
  </r>
  <r>
    <x v="3"/>
    <d v="2025-09-29T23:16:00"/>
    <s v="Transferencia En Linea A Otro Banco Soluciones Nutriciones Y Fisicas Spa"/>
    <n v="60000"/>
    <x v="1"/>
    <x v="1"/>
    <x v="2"/>
    <x v="8"/>
  </r>
  <r>
    <x v="3"/>
    <d v="2025-09-29T13:04:00"/>
    <s v="Casino Casa Matriz Santiago Chl"/>
    <n v="3700"/>
    <x v="1"/>
    <x v="1"/>
    <x v="1"/>
    <x v="3"/>
  </r>
  <r>
    <x v="3"/>
    <d v="2025-09-29T08:04:00"/>
    <s v="Servicios Y Comercial Huechuraba Chl"/>
    <n v="6679"/>
    <x v="1"/>
    <x v="1"/>
    <x v="1"/>
    <x v="2"/>
  </r>
  <r>
    <x v="3"/>
    <d v="2025-09-29T00:00:00"/>
    <s v="COMPRA PARKING MALL PLAZA"/>
    <n v="850"/>
    <x v="1"/>
    <x v="3"/>
    <x v="1"/>
    <x v="19"/>
  </r>
  <r>
    <x v="3"/>
    <d v="2025-09-29T00:00:00"/>
    <s v="COMPRA UNIMARC ROJAS MAGALLANES"/>
    <n v="24843"/>
    <x v="1"/>
    <x v="3"/>
    <x v="1"/>
    <x v="6"/>
  </r>
  <r>
    <x v="3"/>
    <d v="2025-09-28T20:15:00"/>
    <s v="Mercadopago *Efood1 Las Condes Chl"/>
    <n v="5000"/>
    <x v="1"/>
    <x v="1"/>
    <x v="1"/>
    <x v="2"/>
  </r>
  <r>
    <x v="3"/>
    <d v="2025-09-28T15:11:00"/>
    <s v="Sumup * Nova Construcc La Florida Chl"/>
    <n v="2430"/>
    <x v="1"/>
    <x v="1"/>
    <x v="1"/>
    <x v="19"/>
  </r>
  <r>
    <x v="3"/>
    <d v="2025-09-28T15:07:00"/>
    <s v="Mayorista 10 Parque La Santiago Chl"/>
    <n v="15760"/>
    <x v="1"/>
    <x v="1"/>
    <x v="1"/>
    <x v="6"/>
  </r>
  <r>
    <x v="3"/>
    <d v="2025-09-28T14:55:00"/>
    <s v="Falabella Pza Vespucio Santiago Chl"/>
    <n v="9990"/>
    <x v="1"/>
    <x v="1"/>
    <x v="1"/>
    <x v="24"/>
  </r>
  <r>
    <x v="3"/>
    <d v="2025-09-28T14:46:00"/>
    <s v="Dbs Plaza Vespucio Santiago Chl"/>
    <n v="19980"/>
    <x v="1"/>
    <x v="1"/>
    <x v="1"/>
    <x v="24"/>
  </r>
  <r>
    <x v="3"/>
    <d v="2025-09-28T09:23:00"/>
    <s v="Shel Walker Martinez F Santiago Chl"/>
    <n v="15000"/>
    <x v="1"/>
    <x v="1"/>
    <x v="1"/>
    <x v="7"/>
  </r>
  <r>
    <x v="3"/>
    <d v="2025-09-27T21:30:00"/>
    <s v="Hip Lider Santa Amalia Santiago Chl"/>
    <n v="132580"/>
    <x v="1"/>
    <x v="1"/>
    <x v="1"/>
    <x v="6"/>
  </r>
  <r>
    <x v="3"/>
    <d v="2025-09-27T17:05:00"/>
    <s v="Tuu*haulmer Agregador Curico Chl"/>
    <n v="34078"/>
    <x v="1"/>
    <x v="1"/>
    <x v="1"/>
    <x v="10"/>
  </r>
  <r>
    <x v="3"/>
    <d v="2025-09-27T16:12:00"/>
    <s v="Mall Plaza Los Dominic Santiago Chl"/>
    <n v="10960"/>
    <x v="1"/>
    <x v="1"/>
    <x v="1"/>
    <x v="10"/>
  </r>
  <r>
    <x v="3"/>
    <d v="2025-09-27T14:14:00"/>
    <s v="Palo De Rosa Chile Santiago Chl"/>
    <n v="27990"/>
    <x v="1"/>
    <x v="1"/>
    <x v="1"/>
    <x v="8"/>
  </r>
  <r>
    <x v="3"/>
    <d v="2025-09-26T22:10:00"/>
    <s v="Sermob Limitada - Remuneraciones"/>
    <n v="-1563087"/>
    <x v="0"/>
    <x v="0"/>
    <x v="0"/>
    <x v="28"/>
  </r>
  <r>
    <x v="4"/>
    <d v="2025-09-26T18:51:00"/>
    <s v="Unimarc Rojas Magallan Santiago Chl"/>
    <n v="10620"/>
    <x v="1"/>
    <x v="1"/>
    <x v="1"/>
    <x v="6"/>
  </r>
  <r>
    <x v="4"/>
    <d v="2025-09-26T15:49:00"/>
    <s v="Shel Walker Martinez F Santiago Chl"/>
    <n v="15000"/>
    <x v="1"/>
    <x v="1"/>
    <x v="1"/>
    <x v="7"/>
  </r>
  <r>
    <x v="4"/>
    <d v="2025-09-26T14:42:00"/>
    <s v="Mercadopago *Eltomeci Las Condes Chl"/>
    <n v="3250"/>
    <x v="1"/>
    <x v="1"/>
    <x v="1"/>
    <x v="2"/>
  </r>
  <r>
    <x v="4"/>
    <d v="2025-09-26T11:14:00"/>
    <s v="Merpago*autoservicio T Huechuraba Chl"/>
    <n v="1350"/>
    <x v="1"/>
    <x v="1"/>
    <x v="1"/>
    <x v="3"/>
  </r>
  <r>
    <x v="4"/>
    <d v="2025-09-26T08:00:00"/>
    <s v="Merpago*autoservicio T Huechuraba Chl"/>
    <n v="3300"/>
    <x v="1"/>
    <x v="1"/>
    <x v="1"/>
    <x v="3"/>
  </r>
  <r>
    <x v="4"/>
    <d v="2025-09-25T15:42:00"/>
    <s v="Marcos Andres Espinoza Santiago Chl"/>
    <n v="5290"/>
    <x v="1"/>
    <x v="1"/>
    <x v="1"/>
    <x v="2"/>
  </r>
  <r>
    <x v="4"/>
    <d v="2025-09-25T06:09:00"/>
    <s v="Transferencia En Linea A Otro Banco Fernando Arriagada"/>
    <n v="10000"/>
    <x v="1"/>
    <x v="1"/>
    <x v="1"/>
    <x v="15"/>
  </r>
  <r>
    <x v="4"/>
    <d v="2025-09-24T20:37:00"/>
    <s v="Unimarc Rojas Magallan Santiago Chl"/>
    <n v="34209"/>
    <x v="1"/>
    <x v="1"/>
    <x v="1"/>
    <x v="6"/>
  </r>
  <r>
    <x v="4"/>
    <d v="2025-09-24T18:54:00"/>
    <s v="Transferencia En Linea A Otro Banco Patricia Macaya"/>
    <n v="3000"/>
    <x v="1"/>
    <x v="1"/>
    <x v="1"/>
    <x v="1"/>
  </r>
  <r>
    <x v="4"/>
    <d v="2025-09-24T18:52:00"/>
    <s v="Transferencia En Linea A Otro Banco Valeria Caceres"/>
    <n v="3000"/>
    <x v="1"/>
    <x v="1"/>
    <x v="1"/>
    <x v="1"/>
  </r>
  <r>
    <x v="4"/>
    <d v="2025-09-24T17:55:00"/>
    <s v="Mercadopago *Sajakisu Las Condes Chl"/>
    <n v="14000"/>
    <x v="1"/>
    <x v="1"/>
    <x v="1"/>
    <x v="10"/>
  </r>
  <r>
    <x v="4"/>
    <d v="2025-09-24T17:47:00"/>
    <s v="Mercadopago *Eltomeci Las Condes Chl"/>
    <n v="5490"/>
    <x v="1"/>
    <x v="1"/>
    <x v="1"/>
    <x v="2"/>
  </r>
  <r>
    <x v="4"/>
    <d v="2025-09-24T15:50:00"/>
    <s v="Google Play Youtube Go Las Condes Chl"/>
    <n v="5850"/>
    <x v="1"/>
    <x v="1"/>
    <x v="1"/>
    <x v="4"/>
  </r>
  <r>
    <x v="4"/>
    <d v="2025-09-23T16:39:00"/>
    <s v="Heladomania Santiago Chl"/>
    <n v="1700"/>
    <x v="1"/>
    <x v="1"/>
    <x v="1"/>
    <x v="3"/>
  </r>
  <r>
    <x v="4"/>
    <d v="2025-09-22T20:29:00"/>
    <s v="Transferencia En Linea A Otro Banco Fernando Arriagada"/>
    <n v="22400"/>
    <x v="1"/>
    <x v="1"/>
    <x v="1"/>
    <x v="6"/>
  </r>
  <r>
    <x v="4"/>
    <d v="2025-09-22T13:17:00"/>
    <s v="Casino Casa Matriz Santiago Chl"/>
    <n v="3700"/>
    <x v="1"/>
    <x v="1"/>
    <x v="1"/>
    <x v="3"/>
  </r>
  <r>
    <x v="4"/>
    <d v="2025-09-22T07:40:00"/>
    <s v="Servicios Y Comercial Huechuraba Chl"/>
    <n v="974"/>
    <x v="1"/>
    <x v="1"/>
    <x v="1"/>
    <x v="3"/>
  </r>
  <r>
    <x v="4"/>
    <d v="2025-09-21T22:58:00"/>
    <s v="Transferencia En Linea A Otro Banco Soluciones Nutriciones Y Fisicas Spa"/>
    <n v="55000"/>
    <x v="1"/>
    <x v="1"/>
    <x v="1"/>
    <x v="8"/>
  </r>
  <r>
    <x v="4"/>
    <d v="2025-09-21T20:21:00"/>
    <s v="Lider.cl Mall Oneclick Santiago Chl"/>
    <n v="65026"/>
    <x v="1"/>
    <x v="1"/>
    <x v="1"/>
    <x v="6"/>
  </r>
  <r>
    <x v="4"/>
    <d v="2025-09-21T17:06:00"/>
    <s v="Sumup * Cristopher Ale San Jose De M Chl"/>
    <n v="3000"/>
    <x v="1"/>
    <x v="1"/>
    <x v="1"/>
    <x v="2"/>
  </r>
  <r>
    <x v="4"/>
    <d v="2025-09-21T16:40:00"/>
    <s v="Charlie Spa Cordillera Chl"/>
    <n v="12672"/>
    <x v="1"/>
    <x v="1"/>
    <x v="1"/>
    <x v="10"/>
  </r>
  <r>
    <x v="4"/>
    <d v="2025-09-21T13:44:00"/>
    <s v="Sumup * Nova Construcc La Florida Chl"/>
    <n v="1470"/>
    <x v="1"/>
    <x v="1"/>
    <x v="1"/>
    <x v="19"/>
  </r>
  <r>
    <x v="4"/>
    <d v="2025-09-21T13:42:00"/>
    <s v="Mayorista 10 Parque La Santiago Chl"/>
    <n v="6170"/>
    <x v="1"/>
    <x v="1"/>
    <x v="1"/>
    <x v="6"/>
  </r>
  <r>
    <x v="4"/>
    <d v="2025-09-21T13:30:00"/>
    <s v="Merpago*greatlhete Quilicura Chl"/>
    <n v="2390"/>
    <x v="1"/>
    <x v="1"/>
    <x v="1"/>
    <x v="2"/>
  </r>
  <r>
    <x v="4"/>
    <d v="2025-09-21T12:14:00"/>
    <s v="Sumup * Nova Construcc La Florida Chl"/>
    <n v="160"/>
    <x v="1"/>
    <x v="1"/>
    <x v="1"/>
    <x v="19"/>
  </r>
  <r>
    <x v="4"/>
    <d v="2025-09-20T13:34:00"/>
    <s v="Sumup * Nova Construcc La Florida Chl"/>
    <n v="1270"/>
    <x v="1"/>
    <x v="1"/>
    <x v="1"/>
    <x v="19"/>
  </r>
  <r>
    <x v="4"/>
    <d v="2025-09-20T13:31:00"/>
    <s v="Mayorista 10 Parque La Santiago Chl"/>
    <n v="37250"/>
    <x v="1"/>
    <x v="1"/>
    <x v="1"/>
    <x v="30"/>
  </r>
  <r>
    <x v="4"/>
    <d v="2025-09-20T13:15:00"/>
    <s v="Paseo Itermodal Catorc Santiago Chl"/>
    <n v="3200"/>
    <x v="1"/>
    <x v="1"/>
    <x v="1"/>
    <x v="2"/>
  </r>
  <r>
    <x v="4"/>
    <d v="2025-09-20T00:00:00"/>
    <s v="Seg Desgravamen Tr"/>
    <n v="2369"/>
    <x v="1"/>
    <x v="3"/>
    <x v="1"/>
    <x v="25"/>
  </r>
  <r>
    <x v="4"/>
    <d v="2025-09-19T19:27:00"/>
    <s v="Minimarket Calle Calle Santiago Chl"/>
    <n v="4900"/>
    <x v="1"/>
    <x v="1"/>
    <x v="1"/>
    <x v="2"/>
  </r>
  <r>
    <x v="4"/>
    <d v="2025-09-19T16:57:00"/>
    <s v="Mercadopago *Lacasona Las Condes Chl"/>
    <n v="4000"/>
    <x v="1"/>
    <x v="1"/>
    <x v="1"/>
    <x v="30"/>
  </r>
  <r>
    <x v="4"/>
    <d v="2025-09-19T15:43:00"/>
    <s v="Tuu*papachips Qulicura Chl"/>
    <n v="7000"/>
    <x v="1"/>
    <x v="1"/>
    <x v="1"/>
    <x v="30"/>
  </r>
  <r>
    <x v="4"/>
    <d v="2025-09-18T22:28:00"/>
    <s v="Shell S. Allende F787 Santiago Chl"/>
    <n v="10000"/>
    <x v="1"/>
    <x v="1"/>
    <x v="1"/>
    <x v="7"/>
  </r>
  <r>
    <x v="4"/>
    <d v="2025-09-17T09:17:00"/>
    <s v="Banco Del Estado La Florida Chl"/>
    <n v="40000"/>
    <x v="1"/>
    <x v="1"/>
    <x v="1"/>
    <x v="30"/>
  </r>
  <r>
    <x v="4"/>
    <d v="2025-09-17T08:31:00"/>
    <s v="Transferencia En Linea A Otro Banco Katherine Valdes"/>
    <n v="34000"/>
    <x v="1"/>
    <x v="1"/>
    <x v="1"/>
    <x v="30"/>
  </r>
  <r>
    <x v="4"/>
    <d v="2025-09-17T00:00:00"/>
    <s v="Sumup * Nova Constru"/>
    <n v="1470"/>
    <x v="1"/>
    <x v="3"/>
    <x v="1"/>
    <x v="19"/>
  </r>
  <r>
    <x v="4"/>
    <d v="2025-09-17T00:00:00"/>
    <s v="Mercadopago *Greatlh"/>
    <n v="3000"/>
    <x v="1"/>
    <x v="3"/>
    <x v="1"/>
    <x v="2"/>
  </r>
  <r>
    <x v="4"/>
    <d v="2025-09-17T00:00:00"/>
    <s v="Mercadopago *Dunkin"/>
    <n v="2695"/>
    <x v="1"/>
    <x v="3"/>
    <x v="1"/>
    <x v="2"/>
  </r>
  <r>
    <x v="4"/>
    <d v="2025-09-16T23:04:00"/>
    <s v="Transferencia En Linea A Otro Banco Medio De Pago Fintoc"/>
    <n v="16800"/>
    <x v="1"/>
    <x v="1"/>
    <x v="1"/>
    <x v="17"/>
  </r>
  <r>
    <x v="4"/>
    <d v="2025-09-16T21:04:00"/>
    <s v="Paseo Itermodal Catorc Santiago Chl"/>
    <n v="6000"/>
    <x v="1"/>
    <x v="1"/>
    <x v="1"/>
    <x v="2"/>
  </r>
  <r>
    <x v="4"/>
    <d v="2025-09-16T10:15:00"/>
    <s v="Hip Lider San Pablo Santiago Chl"/>
    <n v="1737"/>
    <x v="1"/>
    <x v="1"/>
    <x v="1"/>
    <x v="2"/>
  </r>
  <r>
    <x v="4"/>
    <d v="2025-09-16T00:00:00"/>
    <s v="Hip Lider San Pablo"/>
    <n v="1782"/>
    <x v="1"/>
    <x v="3"/>
    <x v="1"/>
    <x v="3"/>
  </r>
  <r>
    <x v="4"/>
    <d v="2025-09-16T00:00:00"/>
    <s v="Hip Lider San Pablo"/>
    <n v="1640"/>
    <x v="1"/>
    <x v="3"/>
    <x v="1"/>
    <x v="3"/>
  </r>
  <r>
    <x v="4"/>
    <d v="2025-09-15T21:58:00"/>
    <s v="Central Parking System La Florida Chl"/>
    <n v="1700"/>
    <x v="1"/>
    <x v="1"/>
    <x v="1"/>
    <x v="19"/>
  </r>
  <r>
    <x v="4"/>
    <d v="2025-09-15T18:00:00"/>
    <s v="Transferencia En Linea A Otro Banco Daniel Fuentes C."/>
    <n v="20000"/>
    <x v="1"/>
    <x v="1"/>
    <x v="1"/>
    <x v="30"/>
  </r>
  <r>
    <x v="4"/>
    <d v="2025-09-15T17:49:00"/>
    <s v="Dr. Simic 40% "/>
    <n v="30000"/>
    <x v="1"/>
    <x v="1"/>
    <x v="1"/>
    <x v="24"/>
  </r>
  <r>
    <x v="4"/>
    <d v="2025-09-15T17:49:00"/>
    <s v="Unimarc Rojas Magallan Santiago Chl"/>
    <n v="34000"/>
    <x v="1"/>
    <x v="1"/>
    <x v="1"/>
    <x v="6"/>
  </r>
  <r>
    <x v="4"/>
    <d v="2025-09-15T12:10:00"/>
    <s v="Transferencia En Linea A Otro Banco Medio De Pago Fintoc"/>
    <n v="16100"/>
    <x v="1"/>
    <x v="1"/>
    <x v="1"/>
    <x v="17"/>
  </r>
  <r>
    <x v="4"/>
    <d v="2025-09-15T00:00:00"/>
    <s v="Mercadopago *Fitfood"/>
    <n v="1190"/>
    <x v="1"/>
    <x v="3"/>
    <x v="1"/>
    <x v="3"/>
  </r>
  <r>
    <x v="4"/>
    <d v="2025-09-15T00:00:00"/>
    <s v="Mercadopago *Fitfood"/>
    <n v="1190"/>
    <x v="1"/>
    <x v="3"/>
    <x v="1"/>
    <x v="3"/>
  </r>
  <r>
    <x v="4"/>
    <d v="2025-09-15T00:00:00"/>
    <s v="Mercadopago *Fitfood"/>
    <n v="1190"/>
    <x v="1"/>
    <x v="3"/>
    <x v="1"/>
    <x v="3"/>
  </r>
  <r>
    <x v="4"/>
    <d v="2025-09-15T00:00:00"/>
    <s v="Casino Casa Matriz"/>
    <n v="3700"/>
    <x v="1"/>
    <x v="3"/>
    <x v="1"/>
    <x v="3"/>
  </r>
  <r>
    <x v="4"/>
    <d v="2025-09-14T18:24:00"/>
    <s v="Hip Lider Depar"/>
    <n v="31313"/>
    <x v="1"/>
    <x v="3"/>
    <x v="1"/>
    <x v="6"/>
  </r>
  <r>
    <x v="4"/>
    <d v="2025-09-14T17:48:00"/>
    <s v="Merpago*dunkin Fagase Lampa Chl"/>
    <n v="4490"/>
    <x v="1"/>
    <x v="1"/>
    <x v="1"/>
    <x v="10"/>
  </r>
  <r>
    <x v="4"/>
    <d v="2025-09-14T17:30:00"/>
    <s v="Sumup * Nova Construcc La Florida Chl"/>
    <n v="1550"/>
    <x v="1"/>
    <x v="1"/>
    <x v="1"/>
    <x v="19"/>
  </r>
  <r>
    <x v="4"/>
    <d v="2025-09-14T11:49:00"/>
    <s v="Albertina Gueva"/>
    <n v="3400"/>
    <x v="1"/>
    <x v="3"/>
    <x v="1"/>
    <x v="2"/>
  </r>
  <r>
    <x v="4"/>
    <d v="2025-09-14T11:46:00"/>
    <s v="Farm Belen Santiago Chl"/>
    <n v="13900"/>
    <x v="1"/>
    <x v="1"/>
    <x v="1"/>
    <x v="24"/>
  </r>
  <r>
    <x v="4"/>
    <d v="2025-09-13T21:53:00"/>
    <s v="Pazon De Bustamante Santiago Chl"/>
    <n v="12100"/>
    <x v="1"/>
    <x v="1"/>
    <x v="1"/>
    <x v="10"/>
  </r>
  <r>
    <x v="4"/>
    <d v="2025-09-13T21:45:00"/>
    <s v="Cinepolis La Re"/>
    <n v="13600"/>
    <x v="1"/>
    <x v="3"/>
    <x v="1"/>
    <x v="17"/>
  </r>
  <r>
    <x v="4"/>
    <d v="2025-09-13T21:43:00"/>
    <s v="Cinepolis La Re"/>
    <n v="9200"/>
    <x v="1"/>
    <x v="3"/>
    <x v="1"/>
    <x v="17"/>
  </r>
  <r>
    <x v="4"/>
    <d v="2025-09-13T12:41:00"/>
    <s v="Sioux"/>
    <n v="30990"/>
    <x v="1"/>
    <x v="3"/>
    <x v="1"/>
    <x v="12"/>
  </r>
  <r>
    <x v="4"/>
    <d v="2025-09-13T12:10:00"/>
    <s v="Sumup * Nova Co"/>
    <n v="1820"/>
    <x v="1"/>
    <x v="3"/>
    <x v="1"/>
    <x v="2"/>
  </r>
  <r>
    <x v="4"/>
    <d v="2025-09-13T12:06:00"/>
    <s v="Mayorista 10 Pa"/>
    <n v="11390"/>
    <x v="1"/>
    <x v="3"/>
    <x v="1"/>
    <x v="6"/>
  </r>
  <r>
    <x v="4"/>
    <d v="2025-09-13T10:49:00"/>
    <s v="Paseo Itermodal"/>
    <n v="2300"/>
    <x v="1"/>
    <x v="3"/>
    <x v="1"/>
    <x v="2"/>
  </r>
  <r>
    <x v="4"/>
    <d v="2025-09-12T09:45:00"/>
    <s v="Marcos Andres Espinoza Santiago Chl"/>
    <n v="2300"/>
    <x v="1"/>
    <x v="1"/>
    <x v="1"/>
    <x v="2"/>
  </r>
  <r>
    <x v="4"/>
    <d v="2025-09-12T00:00:00"/>
    <s v="Ahum L550 W.martinez"/>
    <n v="7990"/>
    <x v="1"/>
    <x v="3"/>
    <x v="1"/>
    <x v="24"/>
  </r>
  <r>
    <x v="4"/>
    <d v="2025-09-12T00:00:00"/>
    <s v="Sajaki Sushi"/>
    <n v="17710"/>
    <x v="1"/>
    <x v="3"/>
    <x v="1"/>
    <x v="10"/>
  </r>
  <r>
    <x v="4"/>
    <d v="2025-09-12T00:00:00"/>
    <s v="Tottus Walker Martin"/>
    <n v="3980"/>
    <x v="1"/>
    <x v="3"/>
    <x v="1"/>
    <x v="6"/>
  </r>
  <r>
    <x v="4"/>
    <d v="2025-09-12T00:00:00"/>
    <s v="Tienda La Florida"/>
    <n v="17123"/>
    <x v="1"/>
    <x v="3"/>
    <x v="1"/>
    <x v="6"/>
  </r>
  <r>
    <x v="4"/>
    <d v="2025-09-11T23:10:00"/>
    <s v="Sermob Limitada - Remuneraciones"/>
    <n v="-450000"/>
    <x v="0"/>
    <x v="0"/>
    <x v="0"/>
    <x v="28"/>
  </r>
  <r>
    <x v="4"/>
    <d v="2025-09-11T23:10:00"/>
    <s v="Sermob Limitada - Remuneraciones"/>
    <n v="-120000"/>
    <x v="0"/>
    <x v="0"/>
    <x v="0"/>
    <x v="28"/>
  </r>
  <r>
    <x v="4"/>
    <d v="2025-09-11T19:49:00"/>
    <s v="Dulce Aroma Santiago Chl"/>
    <n v="5100"/>
    <x v="1"/>
    <x v="1"/>
    <x v="1"/>
    <x v="2"/>
  </r>
  <r>
    <x v="4"/>
    <d v="2025-09-11T19:07:00"/>
    <s v="Ripley Plaza Vespucio Santiago Chl"/>
    <n v="7290"/>
    <x v="1"/>
    <x v="1"/>
    <x v="1"/>
    <x v="24"/>
  </r>
  <r>
    <x v="4"/>
    <d v="2025-09-11T18:27:00"/>
    <s v="Transferencia En Linea A Otro Banco Patricia Macaya 4°b Tempo"/>
    <n v="15000"/>
    <x v="1"/>
    <x v="1"/>
    <x v="1"/>
    <x v="1"/>
  </r>
  <r>
    <x v="4"/>
    <d v="2025-09-11T15:37:00"/>
    <s v="Heladomania Santiago Chl"/>
    <n v="1800"/>
    <x v="1"/>
    <x v="1"/>
    <x v="1"/>
    <x v="2"/>
  </r>
  <r>
    <x v="4"/>
    <d v="2025-09-11T14:29:00"/>
    <s v="Sumup * Nova Construcc La Florida Chl"/>
    <n v="1020"/>
    <x v="1"/>
    <x v="1"/>
    <x v="1"/>
    <x v="19"/>
  </r>
  <r>
    <x v="4"/>
    <d v="2025-09-11T14:28:00"/>
    <s v="Mayorista 10 Parque La Santiago Chl"/>
    <n v="7990"/>
    <x v="1"/>
    <x v="1"/>
    <x v="1"/>
    <x v="6"/>
  </r>
  <r>
    <x v="4"/>
    <d v="2025-09-11T14:24:00"/>
    <s v="Paseo Itermodal Catorc Santiago Chl"/>
    <n v="100"/>
    <x v="1"/>
    <x v="1"/>
    <x v="1"/>
    <x v="2"/>
  </r>
  <r>
    <x v="4"/>
    <d v="2025-09-11T14:24:00"/>
    <s v="Paseo Itermodal Catorc Santiago Chl"/>
    <n v="1500"/>
    <x v="1"/>
    <x v="1"/>
    <x v="1"/>
    <x v="2"/>
  </r>
  <r>
    <x v="4"/>
    <d v="2025-09-11T11:44:00"/>
    <s v="Transferencia En Linea A Otro Banco Maria Valeria Serrano"/>
    <n v="5000"/>
    <x v="1"/>
    <x v="1"/>
    <x v="1"/>
    <x v="8"/>
  </r>
  <r>
    <x v="4"/>
    <d v="2025-09-11T00:00:00"/>
    <s v="Central Parking Syst"/>
    <n v="500"/>
    <x v="1"/>
    <x v="3"/>
    <x v="1"/>
    <x v="19"/>
  </r>
  <r>
    <x v="4"/>
    <d v="2025-09-09T00:00:00"/>
    <s v="Importadora Azul"/>
    <n v="4800"/>
    <x v="1"/>
    <x v="3"/>
    <x v="1"/>
    <x v="1"/>
  </r>
  <r>
    <x v="4"/>
    <d v="2025-09-09T00:00:00"/>
    <s v="Heladomania"/>
    <n v="1800"/>
    <x v="1"/>
    <x v="3"/>
    <x v="1"/>
    <x v="2"/>
  </r>
  <r>
    <x v="4"/>
    <d v="2025-09-09T00:00:00"/>
    <s v="Copec App"/>
    <n v="4280"/>
    <x v="1"/>
    <x v="3"/>
    <x v="1"/>
    <x v="2"/>
  </r>
  <r>
    <x v="4"/>
    <d v="2025-09-09T00:00:00"/>
    <s v="Hip Lider Los Domini"/>
    <n v="2412"/>
    <x v="1"/>
    <x v="3"/>
    <x v="1"/>
    <x v="6"/>
  </r>
  <r>
    <x v="4"/>
    <d v="2025-09-08T19:31:00"/>
    <s v="Google Play Youtube Go Las Condes Chl"/>
    <n v="1790"/>
    <x v="1"/>
    <x v="1"/>
    <x v="1"/>
    <x v="4"/>
  </r>
  <r>
    <x v="4"/>
    <d v="2025-09-08T17:45:00"/>
    <s v="Farmacias Tobalaba Santiago Chl"/>
    <n v="11880"/>
    <x v="1"/>
    <x v="1"/>
    <x v="1"/>
    <x v="24"/>
  </r>
  <r>
    <x v="4"/>
    <d v="2025-09-08T08:54:00"/>
    <s v="Transferencia En Linea A Otro Banco Soluciones Nutriciones Y Fisicas Spa"/>
    <n v="110000"/>
    <x v="1"/>
    <x v="1"/>
    <x v="2"/>
    <x v="8"/>
  </r>
  <r>
    <x v="4"/>
    <d v="2025-09-08T00:00:00"/>
    <s v="Mercadopago *Fitfood"/>
    <n v="1190"/>
    <x v="1"/>
    <x v="3"/>
    <x v="1"/>
    <x v="3"/>
  </r>
  <r>
    <x v="4"/>
    <d v="2025-09-08T00:00:00"/>
    <s v="Mercadopago *Fitfood"/>
    <n v="1190"/>
    <x v="1"/>
    <x v="3"/>
    <x v="1"/>
    <x v="3"/>
  </r>
  <r>
    <x v="4"/>
    <d v="2025-09-08T00:00:00"/>
    <s v="Merpago*autoservicio"/>
    <n v="1700"/>
    <x v="1"/>
    <x v="3"/>
    <x v="1"/>
    <x v="3"/>
  </r>
  <r>
    <x v="4"/>
    <d v="2025-09-08T00:00:00"/>
    <s v="Casino Casa Matriz"/>
    <n v="3700"/>
    <x v="1"/>
    <x v="3"/>
    <x v="1"/>
    <x v="3"/>
  </r>
  <r>
    <x v="4"/>
    <d v="2025-09-08T00:00:00"/>
    <s v="Unimarc Rojas Magall"/>
    <n v="22806"/>
    <x v="1"/>
    <x v="3"/>
    <x v="1"/>
    <x v="6"/>
  </r>
  <r>
    <x v="4"/>
    <d v="2025-09-07T00:00:00"/>
    <s v="Mercadopago *Confiqu"/>
    <n v="6000"/>
    <x v="1"/>
    <x v="3"/>
    <x v="1"/>
    <x v="6"/>
  </r>
  <r>
    <x v="4"/>
    <d v="2025-09-07T00:00:00"/>
    <s v="Express Consistorial"/>
    <n v="77605"/>
    <x v="1"/>
    <x v="3"/>
    <x v="1"/>
    <x v="6"/>
  </r>
  <r>
    <x v="4"/>
    <d v="2025-09-06T19:08:00"/>
    <s v="Polemic Vivo La Florid Santiago Chl"/>
    <n v="13980"/>
    <x v="1"/>
    <x v="1"/>
    <x v="1"/>
    <x v="12"/>
  </r>
  <r>
    <x v="4"/>
    <d v="2025-09-06T19:00:00"/>
    <s v="Intime La Florida Santiago Chl"/>
    <n v="7990"/>
    <x v="1"/>
    <x v="1"/>
    <x v="1"/>
    <x v="12"/>
  </r>
  <r>
    <x v="4"/>
    <d v="2025-09-06T00:00:00"/>
    <s v="Dl*google Youtube"/>
    <n v="1100"/>
    <x v="1"/>
    <x v="3"/>
    <x v="1"/>
    <x v="4"/>
  </r>
  <r>
    <x v="4"/>
    <d v="2025-09-05T17:44:00"/>
    <s v="Giro en cajero automático en AVENIDA ROJAS MAGALLANES 3638"/>
    <n v="50000"/>
    <x v="1"/>
    <x v="1"/>
    <x v="1"/>
    <x v="15"/>
  </r>
  <r>
    <x v="4"/>
    <d v="2025-09-05T06:09:00"/>
    <s v="Walmart Chile Sa - Proveedores"/>
    <n v="-100735"/>
    <x v="0"/>
    <x v="0"/>
    <x v="0"/>
    <x v="36"/>
  </r>
  <r>
    <x v="4"/>
    <d v="2025-09-05T00:00:00"/>
    <s v="Transferencia enviada a jaime cardenas"/>
    <n v="733000"/>
    <x v="1"/>
    <x v="1"/>
    <x v="2"/>
    <x v="22"/>
  </r>
  <r>
    <x v="4"/>
    <d v="2025-09-05T00:00:00"/>
    <s v="Cheque Cobrado Por Otro Banco serie 181683"/>
    <n v="229970"/>
    <x v="1"/>
    <x v="1"/>
    <x v="2"/>
    <x v="1"/>
  </r>
  <r>
    <x v="4"/>
    <d v="2025-09-05T00:00:00"/>
    <s v="Unimarc Rojas Magall"/>
    <n v="30582"/>
    <x v="1"/>
    <x v="3"/>
    <x v="1"/>
    <x v="33"/>
  </r>
  <r>
    <x v="4"/>
    <d v="2025-09-05T00:00:00"/>
    <s v="Webpay Pj Walker Mar"/>
    <n v="34901"/>
    <x v="1"/>
    <x v="3"/>
    <x v="1"/>
    <x v="33"/>
  </r>
  <r>
    <x v="4"/>
    <d v="2025-09-05T00:00:00"/>
    <s v="Casa Unico Limitada"/>
    <n v="2000"/>
    <x v="1"/>
    <x v="3"/>
    <x v="1"/>
    <x v="2"/>
  </r>
  <r>
    <x v="4"/>
    <d v="2025-09-04T00:00:00"/>
    <s v="Dulce Aroma"/>
    <n v="4290"/>
    <x v="1"/>
    <x v="3"/>
    <x v="1"/>
    <x v="2"/>
  </r>
  <r>
    <x v="4"/>
    <d v="2025-09-04T00:00:00"/>
    <s v="Giro en cajero automático en CAMINO A VICUNA SIN NUMERO RUTA"/>
    <n v="10000"/>
    <x v="1"/>
    <x v="1"/>
    <x v="1"/>
    <x v="15"/>
  </r>
  <r>
    <x v="4"/>
    <d v="2025-09-04T00:00:00"/>
    <s v="Unificado Entel Sa"/>
    <n v="61784"/>
    <x v="1"/>
    <x v="3"/>
    <x v="2"/>
    <x v="26"/>
  </r>
  <r>
    <x v="4"/>
    <d v="2025-09-03T20:40:00"/>
    <s v="Unimarc Rojas M"/>
    <n v="53256"/>
    <x v="1"/>
    <x v="3"/>
    <x v="1"/>
    <x v="6"/>
  </r>
  <r>
    <x v="4"/>
    <d v="2025-09-03T20:16:00"/>
    <s v="Barukh Technolo"/>
    <n v="8000"/>
    <x v="1"/>
    <x v="3"/>
    <x v="1"/>
    <x v="18"/>
  </r>
  <r>
    <x v="4"/>
    <d v="2025-09-03T19:22:00"/>
    <s v="La Casita De La"/>
    <n v="48158"/>
    <x v="1"/>
    <x v="3"/>
    <x v="1"/>
    <x v="10"/>
  </r>
  <r>
    <x v="4"/>
    <d v="2025-09-03T17:08:00"/>
    <s v="Merpago*expresm"/>
    <n v="4350"/>
    <x v="1"/>
    <x v="3"/>
    <x v="1"/>
    <x v="2"/>
  </r>
  <r>
    <x v="4"/>
    <d v="2025-09-03T15:41:00"/>
    <s v="Marcos Andres E"/>
    <n v="3300"/>
    <x v="1"/>
    <x v="3"/>
    <x v="1"/>
    <x v="2"/>
  </r>
  <r>
    <x v="4"/>
    <d v="2025-09-03T15:38:00"/>
    <s v="Heladomania"/>
    <n v="2000"/>
    <x v="1"/>
    <x v="3"/>
    <x v="1"/>
    <x v="2"/>
  </r>
  <r>
    <x v="4"/>
    <d v="2025-09-03T13:39:00"/>
    <s v="Hip Lider San P"/>
    <n v="2493"/>
    <x v="1"/>
    <x v="3"/>
    <x v="1"/>
    <x v="6"/>
  </r>
  <r>
    <x v="4"/>
    <d v="2025-09-02T16:05:00"/>
    <s v="Heladomania Santiago Chl"/>
    <n v="2800"/>
    <x v="1"/>
    <x v="1"/>
    <x v="1"/>
    <x v="2"/>
  </r>
  <r>
    <x v="4"/>
    <d v="2025-09-01T11:03:00"/>
    <s v="Nico Gas La Florida Santiago Chl"/>
    <n v="71700"/>
    <x v="1"/>
    <x v="1"/>
    <x v="1"/>
    <x v="14"/>
  </r>
  <r>
    <x v="4"/>
    <d v="2025-09-01T00:00:00"/>
    <s v="Casino Casa Matriz"/>
    <n v="3700"/>
    <x v="1"/>
    <x v="3"/>
    <x v="1"/>
    <x v="3"/>
  </r>
  <r>
    <x v="4"/>
    <d v="2025-09-01T00:00:00"/>
    <s v="Mercadopago *Cielo"/>
    <n v="17990"/>
    <x v="1"/>
    <x v="3"/>
    <x v="1"/>
    <x v="24"/>
  </r>
  <r>
    <x v="4"/>
    <d v="2025-09-01T00:00:00"/>
    <s v="Merpago*autoservicio"/>
    <n v="1700"/>
    <x v="1"/>
    <x v="3"/>
    <x v="1"/>
    <x v="2"/>
  </r>
  <r>
    <x v="4"/>
    <d v="2025-09-01T00:00:00"/>
    <s v="Paseo Itermodal Cato"/>
    <n v="2500"/>
    <x v="1"/>
    <x v="3"/>
    <x v="1"/>
    <x v="2"/>
  </r>
  <r>
    <x v="4"/>
    <d v="2025-09-01T00:00:00"/>
    <s v="Unimarc Rojas Magall"/>
    <n v="9595"/>
    <x v="1"/>
    <x v="3"/>
    <x v="1"/>
    <x v="6"/>
  </r>
  <r>
    <x v="4"/>
    <d v="2025-09-01T00:00:00"/>
    <s v="Pedidosya Cl Plus"/>
    <n v="1449"/>
    <x v="1"/>
    <x v="3"/>
    <x v="1"/>
    <x v="4"/>
  </r>
  <r>
    <x v="4"/>
    <d v="2025-08-31T20:50:00"/>
    <s v="Copec App"/>
    <n v="10000"/>
    <x v="1"/>
    <x v="3"/>
    <x v="1"/>
    <x v="7"/>
  </r>
  <r>
    <x v="4"/>
    <d v="2025-08-31T20:32:00"/>
    <s v="Hip Lider Depar"/>
    <n v="124227"/>
    <x v="1"/>
    <x v="3"/>
    <x v="1"/>
    <x v="6"/>
  </r>
  <r>
    <x v="4"/>
    <d v="2025-08-31T19:02:00"/>
    <s v="Farm Belen"/>
    <n v="3990"/>
    <x v="1"/>
    <x v="3"/>
    <x v="1"/>
    <x v="24"/>
  </r>
  <r>
    <x v="4"/>
    <d v="2025-08-31T16:02:00"/>
    <s v="PAYSCAN*FUXI FUXI"/>
    <n v="2700"/>
    <x v="1"/>
    <x v="5"/>
    <x v="1"/>
    <x v="2"/>
  </r>
  <r>
    <x v="4"/>
    <d v="2025-08-31T15:47:00"/>
    <s v="Mpve41 L"/>
    <n v="12400"/>
    <x v="1"/>
    <x v="3"/>
    <x v="1"/>
    <x v="10"/>
  </r>
  <r>
    <x v="4"/>
    <d v="2025-08-31T15:00:00"/>
    <s v="Ripley Car S.a Plaza Vespucio"/>
    <n v="7990"/>
    <x v="1"/>
    <x v="3"/>
    <x v="1"/>
    <x v="24"/>
  </r>
  <r>
    <x v="4"/>
    <d v="2025-08-31T14:01:00"/>
    <s v="Patio La Florid"/>
    <n v="8990"/>
    <x v="1"/>
    <x v="3"/>
    <x v="1"/>
    <x v="12"/>
  </r>
  <r>
    <x v="4"/>
    <d v="2025-08-31T02:57:00"/>
    <s v="Ripley Car S.a Plaza Vespucio"/>
    <n v="24990"/>
    <x v="1"/>
    <x v="3"/>
    <x v="1"/>
    <x v="12"/>
  </r>
  <r>
    <x v="4"/>
    <d v="2025-08-31T00:00:00"/>
    <s v="COMPRA Parking Mallplaza"/>
    <n v="2300"/>
    <x v="1"/>
    <x v="5"/>
    <x v="1"/>
    <x v="19"/>
  </r>
  <r>
    <x v="4"/>
    <d v="2025-08-31T00:00:00"/>
    <s v="COMPRA BARBER SHOP PZA VESPUC"/>
    <n v="17990"/>
    <x v="1"/>
    <x v="5"/>
    <x v="1"/>
    <x v="24"/>
  </r>
  <r>
    <x v="4"/>
    <d v="2025-08-30T21:55:00"/>
    <s v="Mercadopago *Ag"/>
    <n v="35046"/>
    <x v="1"/>
    <x v="3"/>
    <x v="1"/>
    <x v="10"/>
  </r>
  <r>
    <x v="4"/>
    <d v="2025-08-30T20:38:00"/>
    <s v="Payscan*snack C"/>
    <n v="700"/>
    <x v="1"/>
    <x v="3"/>
    <x v="1"/>
    <x v="2"/>
  </r>
  <r>
    <x v="4"/>
    <d v="2025-08-30T20:02:00"/>
    <s v="Kentucky Fried"/>
    <n v="12990"/>
    <x v="1"/>
    <x v="3"/>
    <x v="1"/>
    <x v="10"/>
  </r>
  <r>
    <x v="4"/>
    <d v="2025-08-30T19:36:00"/>
    <s v="Patio La Florid"/>
    <n v="9990"/>
    <x v="1"/>
    <x v="3"/>
    <x v="1"/>
    <x v="12"/>
  </r>
  <r>
    <x v="4"/>
    <d v="2025-08-30T19:15:00"/>
    <s v="Sioux"/>
    <n v="11490"/>
    <x v="1"/>
    <x v="3"/>
    <x v="1"/>
    <x v="12"/>
  </r>
  <r>
    <x v="4"/>
    <d v="2025-08-30T13:05:00"/>
    <s v="Transferencia En Linea A Otro Banco Fernando Arriagada"/>
    <n v="40000"/>
    <x v="1"/>
    <x v="1"/>
    <x v="1"/>
    <x v="15"/>
  </r>
  <r>
    <x v="4"/>
    <d v="2025-08-30T13:00:00"/>
    <s v="Paseo Itermodal"/>
    <n v="1500"/>
    <x v="1"/>
    <x v="3"/>
    <x v="1"/>
    <x v="2"/>
  </r>
  <r>
    <x v="4"/>
    <d v="2025-08-30T11:08:00"/>
    <s v="Merpago*san Cam"/>
    <n v="4180"/>
    <x v="1"/>
    <x v="3"/>
    <x v="1"/>
    <x v="2"/>
  </r>
  <r>
    <x v="4"/>
    <d v="2025-08-30T09:45:00"/>
    <s v="Google Play You"/>
    <n v="590"/>
    <x v="1"/>
    <x v="3"/>
    <x v="1"/>
    <x v="17"/>
  </r>
  <r>
    <x v="4"/>
    <d v="2025-08-30T09:44:00"/>
    <s v="Dl*google Youtu"/>
    <n v="1100"/>
    <x v="1"/>
    <x v="3"/>
    <x v="1"/>
    <x v="17"/>
  </r>
  <r>
    <x v="4"/>
    <d v="2025-08-30T09:43:00"/>
    <s v="Google Play You"/>
    <n v="1100"/>
    <x v="1"/>
    <x v="3"/>
    <x v="1"/>
    <x v="17"/>
  </r>
  <r>
    <x v="4"/>
    <d v="2025-08-30T09:30:00"/>
    <s v="Google Play You"/>
    <n v="5500"/>
    <x v="1"/>
    <x v="3"/>
    <x v="1"/>
    <x v="17"/>
  </r>
  <r>
    <x v="4"/>
    <d v="2025-08-30T09:20:00"/>
    <s v="Payu *Wellhub"/>
    <n v="20990"/>
    <x v="1"/>
    <x v="3"/>
    <x v="2"/>
    <x v="21"/>
  </r>
  <r>
    <x v="4"/>
    <d v="2025-08-30T08:49:00"/>
    <s v="Payu *Wellhub"/>
    <n v="20990"/>
    <x v="1"/>
    <x v="3"/>
    <x v="2"/>
    <x v="21"/>
  </r>
  <r>
    <x v="4"/>
    <d v="2025-08-30T00:00:00"/>
    <s v="COMPRA Parking Mallplaza"/>
    <n v="2950"/>
    <x v="1"/>
    <x v="5"/>
    <x v="1"/>
    <x v="19"/>
  </r>
  <r>
    <x v="4"/>
    <d v="2025-08-30T00:00:00"/>
    <s v="Compra Nico Gas La Florida"/>
    <n v="25100"/>
    <x v="1"/>
    <x v="5"/>
    <x v="1"/>
    <x v="14"/>
  </r>
  <r>
    <x v="4"/>
    <d v="2025-08-29T00:00:00"/>
    <s v="COMPRA Parking Mallplaza"/>
    <n v="1850"/>
    <x v="1"/>
    <x v="5"/>
    <x v="1"/>
    <x v="19"/>
  </r>
  <r>
    <x v="4"/>
    <d v="2025-08-29T00:00:00"/>
    <s v="Mercadopago *Expresm"/>
    <n v="3600"/>
    <x v="1"/>
    <x v="3"/>
    <x v="1"/>
    <x v="2"/>
  </r>
  <r>
    <x v="4"/>
    <d v="2025-08-29T00:00:00"/>
    <s v="Copec App"/>
    <n v="3590"/>
    <x v="1"/>
    <x v="3"/>
    <x v="1"/>
    <x v="2"/>
  </r>
  <r>
    <x v="4"/>
    <d v="2025-08-28T18:04:00"/>
    <s v="Transferencia En Linea A Otro Banco Soluciones Nutriciones Y Fisicas Spa"/>
    <n v="95000"/>
    <x v="1"/>
    <x v="1"/>
    <x v="2"/>
    <x v="8"/>
  </r>
  <r>
    <x v="4"/>
    <d v="2025-08-28T13:51:00"/>
    <s v="Transferencia En Linea A Otro Banco Pablo Salazar"/>
    <n v="30000"/>
    <x v="1"/>
    <x v="1"/>
    <x v="1"/>
    <x v="13"/>
  </r>
  <r>
    <x v="4"/>
    <d v="2025-08-28T09:29:00"/>
    <s v="Merpago*autoservicio T Huechuraba Chl"/>
    <n v="2900"/>
    <x v="1"/>
    <x v="1"/>
    <x v="1"/>
    <x v="2"/>
  </r>
  <r>
    <x v="4"/>
    <d v="2025-08-28T00:00:00"/>
    <s v="Copec App"/>
    <n v="20000"/>
    <x v="1"/>
    <x v="3"/>
    <x v="1"/>
    <x v="7"/>
  </r>
  <r>
    <x v="4"/>
    <d v="2025-08-28T00:00:00"/>
    <s v="Merpago*autoservicio"/>
    <n v="1700"/>
    <x v="1"/>
    <x v="3"/>
    <x v="1"/>
    <x v="2"/>
  </r>
  <r>
    <x v="4"/>
    <d v="2025-08-28T00:00:00"/>
    <s v="Marcos Andres Espino"/>
    <n v="2250"/>
    <x v="1"/>
    <x v="3"/>
    <x v="1"/>
    <x v="2"/>
  </r>
  <r>
    <x v="4"/>
    <d v="2025-08-28T00:00:00"/>
    <s v="Heladomania"/>
    <n v="1300"/>
    <x v="1"/>
    <x v="3"/>
    <x v="1"/>
    <x v="2"/>
  </r>
  <r>
    <x v="4"/>
    <d v="2025-08-28T00:00:00"/>
    <s v="Bello Oriente"/>
    <n v="17000"/>
    <x v="1"/>
    <x v="3"/>
    <x v="1"/>
    <x v="10"/>
  </r>
  <r>
    <x v="4"/>
    <d v="2025-08-28T00:00:00"/>
    <s v="Tottus Walker Martin"/>
    <n v="3615"/>
    <x v="1"/>
    <x v="3"/>
    <x v="1"/>
    <x v="6"/>
  </r>
  <r>
    <x v="4"/>
    <d v="2025-08-28T00:00:00"/>
    <s v="Express Rojas Magall"/>
    <n v="80971"/>
    <x v="1"/>
    <x v="3"/>
    <x v="1"/>
    <x v="6"/>
  </r>
  <r>
    <x v="4"/>
    <d v="2025-08-28T00:00:00"/>
    <s v="Google Play Youtube"/>
    <n v="1790"/>
    <x v="1"/>
    <x v="3"/>
    <x v="2"/>
    <x v="4"/>
  </r>
  <r>
    <x v="4"/>
    <d v="2025-08-27T22:40:00"/>
    <s v="Sermob Limitada - Remuneraciones"/>
    <n v="-2555455"/>
    <x v="0"/>
    <x v="0"/>
    <x v="0"/>
    <x v="28"/>
  </r>
  <r>
    <x v="5"/>
    <d v="2025-08-27T16:47:00"/>
    <s v="Esch9357 Coronel Concepcion Chl"/>
    <n v="15000"/>
    <x v="1"/>
    <x v="1"/>
    <x v="1"/>
    <x v="36"/>
  </r>
  <r>
    <x v="5"/>
    <d v="2025-08-27T15:40:00"/>
    <s v="Heladomania Santiago Chl"/>
    <n v="1800"/>
    <x v="1"/>
    <x v="1"/>
    <x v="1"/>
    <x v="2"/>
  </r>
  <r>
    <x v="5"/>
    <d v="2025-08-27T15:10:00"/>
    <s v="Mercadopago *Parquime Las Condes Chl"/>
    <n v="5680"/>
    <x v="1"/>
    <x v="1"/>
    <x v="1"/>
    <x v="36"/>
  </r>
  <r>
    <x v="5"/>
    <d v="2025-08-27T14:59:00"/>
    <s v="Sabor Del Bueno Arauco Chl"/>
    <n v="6600"/>
    <x v="1"/>
    <x v="1"/>
    <x v="1"/>
    <x v="36"/>
  </r>
  <r>
    <x v="5"/>
    <d v="2025-08-26T22:00:00"/>
    <s v="Central Parking System La Florida Chl"/>
    <n v="1900"/>
    <x v="1"/>
    <x v="1"/>
    <x v="1"/>
    <x v="19"/>
  </r>
  <r>
    <x v="5"/>
    <d v="2025-08-26T19:23:00"/>
    <s v="Farm Belen Santiago Chl"/>
    <n v="4990"/>
    <x v="1"/>
    <x v="1"/>
    <x v="1"/>
    <x v="24"/>
  </r>
  <r>
    <x v="5"/>
    <d v="2025-08-26T19:13:00"/>
    <s v="Micopiloto F102 Santiago Chl"/>
    <n v="10000"/>
    <x v="1"/>
    <x v="1"/>
    <x v="1"/>
    <x v="7"/>
  </r>
  <r>
    <x v="5"/>
    <d v="2025-08-26T13:31:00"/>
    <s v="Hip Lider San Pablo Santiago Chl"/>
    <n v="1746"/>
    <x v="1"/>
    <x v="1"/>
    <x v="1"/>
    <x v="3"/>
  </r>
  <r>
    <x v="5"/>
    <d v="2025-08-25T22:12:00"/>
    <s v="Central Parking System La Florida Chl"/>
    <n v="1800"/>
    <x v="1"/>
    <x v="1"/>
    <x v="1"/>
    <x v="19"/>
  </r>
  <r>
    <x v="5"/>
    <d v="2025-08-25T20:22:00"/>
    <s v="Unimarc Rojas Magallan Santiago Chl"/>
    <n v="9138"/>
    <x v="1"/>
    <x v="1"/>
    <x v="1"/>
    <x v="6"/>
  </r>
  <r>
    <x v="5"/>
    <d v="2025-08-25T15:34:00"/>
    <s v="Merpago*autoservicio T Huechuraba Chl"/>
    <n v="1700"/>
    <x v="1"/>
    <x v="1"/>
    <x v="1"/>
    <x v="2"/>
  </r>
  <r>
    <x v="5"/>
    <d v="2025-08-25T13:46:00"/>
    <s v="Casino Casa Matriz Santiago Chl"/>
    <n v="3700"/>
    <x v="1"/>
    <x v="1"/>
    <x v="1"/>
    <x v="3"/>
  </r>
  <r>
    <x v="5"/>
    <d v="2025-08-24T18:40:00"/>
    <s v="Transferencia En Linea A Otro Banco Fernando Arriagada"/>
    <n v="73202"/>
    <x v="1"/>
    <x v="1"/>
    <x v="1"/>
    <x v="6"/>
  </r>
  <r>
    <x v="5"/>
    <d v="2025-08-24T17:24:00"/>
    <s v="Sumup * Nova Construcc La Florida Chl"/>
    <n v="1320"/>
    <x v="1"/>
    <x v="1"/>
    <x v="1"/>
    <x v="19"/>
  </r>
  <r>
    <x v="5"/>
    <d v="2025-08-24T14:50:00"/>
    <s v="Google Play Youtube Go Las Condes Chl"/>
    <n v="5850"/>
    <x v="1"/>
    <x v="1"/>
    <x v="1"/>
    <x v="4"/>
  </r>
  <r>
    <x v="5"/>
    <d v="2025-08-24T13:13:00"/>
    <s v="Mercadopago *Confique Las Condes Chl"/>
    <n v="6000"/>
    <x v="1"/>
    <x v="1"/>
    <x v="1"/>
    <x v="6"/>
  </r>
  <r>
    <x v="5"/>
    <d v="2025-08-23T19:37:00"/>
    <s v="Sumup * Comercializado Santiago Chl"/>
    <n v="1300"/>
    <x v="1"/>
    <x v="1"/>
    <x v="1"/>
    <x v="2"/>
  </r>
  <r>
    <x v="5"/>
    <d v="2025-08-23T19:30:00"/>
    <s v="Di Mauro Comercializad Santiago Chl"/>
    <n v="9380"/>
    <x v="1"/>
    <x v="1"/>
    <x v="1"/>
    <x v="10"/>
  </r>
  <r>
    <x v="5"/>
    <d v="2025-08-23T17:35:00"/>
    <s v="Prado Barraza S Jose De Mai Chl"/>
    <n v="10800"/>
    <x v="1"/>
    <x v="1"/>
    <x v="1"/>
    <x v="10"/>
  </r>
  <r>
    <x v="5"/>
    <d v="2025-08-23T14:55:00"/>
    <s v="La Casa De Chocolate S Jose De Mai Chl"/>
    <n v="11500"/>
    <x v="1"/>
    <x v="1"/>
    <x v="1"/>
    <x v="10"/>
  </r>
  <r>
    <x v="5"/>
    <d v="2025-08-23T10:16:00"/>
    <s v="Transferencia En Linea A Otro Banco Fernando Arriagada"/>
    <n v="30000"/>
    <x v="1"/>
    <x v="1"/>
    <x v="1"/>
    <x v="15"/>
  </r>
  <r>
    <x v="5"/>
    <d v="2025-08-22T19:21:00"/>
    <s v="Sumup * Nova Construcc La Florida Chl"/>
    <n v="1590"/>
    <x v="1"/>
    <x v="1"/>
    <x v="1"/>
    <x v="19"/>
  </r>
  <r>
    <x v="5"/>
    <d v="2025-08-22T19:17:00"/>
    <s v="Mayorista 10 Parque La Santiago Chl"/>
    <n v="26200"/>
    <x v="1"/>
    <x v="1"/>
    <x v="1"/>
    <x v="6"/>
  </r>
  <r>
    <x v="5"/>
    <d v="2025-08-22T18:54:00"/>
    <s v="La Florida-737 Santiago Chl"/>
    <n v="3995"/>
    <x v="1"/>
    <x v="1"/>
    <x v="1"/>
    <x v="24"/>
  </r>
  <r>
    <x v="5"/>
    <d v="2025-08-22T06:04:00"/>
    <s v="Walmart Chile Sa - Proveedores"/>
    <n v="-123994"/>
    <x v="0"/>
    <x v="0"/>
    <x v="0"/>
    <x v="36"/>
  </r>
  <r>
    <x v="5"/>
    <d v="2025-08-21T19:31:00"/>
    <s v="Unimarc Rojas Magallan Santiago Chl"/>
    <n v="15396"/>
    <x v="1"/>
    <x v="1"/>
    <x v="1"/>
    <x v="6"/>
  </r>
  <r>
    <x v="5"/>
    <d v="2025-08-21T19:17:00"/>
    <s v="Dulce Aroma Santiago Chl"/>
    <n v="1900"/>
    <x v="1"/>
    <x v="1"/>
    <x v="1"/>
    <x v="2"/>
  </r>
  <r>
    <x v="5"/>
    <d v="2025-08-21T17:54:00"/>
    <s v="Google Play Youtube Go Las Condes Chl"/>
    <n v="590"/>
    <x v="1"/>
    <x v="1"/>
    <x v="1"/>
    <x v="17"/>
  </r>
  <r>
    <x v="5"/>
    <d v="2025-08-21T10:12:00"/>
    <s v="Mayorista 10 Parque La Santiago Chl"/>
    <n v="15720"/>
    <x v="1"/>
    <x v="1"/>
    <x v="1"/>
    <x v="6"/>
  </r>
  <r>
    <x v="5"/>
    <d v="2025-08-21T08:55:00"/>
    <s v="Farmacias Del Doctor S Santiago Chl"/>
    <n v="640"/>
    <x v="1"/>
    <x v="1"/>
    <x v="1"/>
    <x v="24"/>
  </r>
  <r>
    <x v="5"/>
    <d v="2025-08-20T17:18:00"/>
    <s v="Maravillas Del Sur Talcahuano Chl"/>
    <n v="2200"/>
    <x v="1"/>
    <x v="1"/>
    <x v="1"/>
    <x v="36"/>
  </r>
  <r>
    <x v="5"/>
    <d v="2025-08-20T16:36:00"/>
    <s v="Esch9357 Coronel Concepcion Chl"/>
    <n v="15000"/>
    <x v="1"/>
    <x v="1"/>
    <x v="1"/>
    <x v="36"/>
  </r>
  <r>
    <x v="5"/>
    <d v="2025-08-20T15:37:00"/>
    <s v="Heladomania Santiago Chl"/>
    <n v="2000"/>
    <x v="1"/>
    <x v="1"/>
    <x v="1"/>
    <x v="2"/>
  </r>
  <r>
    <x v="5"/>
    <d v="2025-08-20T14:58:00"/>
    <s v="Mercadopago *Parquime Las Condes Chl"/>
    <n v="4820"/>
    <x v="1"/>
    <x v="1"/>
    <x v="1"/>
    <x v="36"/>
  </r>
  <r>
    <x v="5"/>
    <d v="2025-08-20T14:50:00"/>
    <s v="Sabor Del Bueno Arauco Chl"/>
    <n v="6600"/>
    <x v="1"/>
    <x v="1"/>
    <x v="1"/>
    <x v="36"/>
  </r>
  <r>
    <x v="5"/>
    <d v="2025-08-20T08:37:00"/>
    <s v="Payscan*vendomatica Ve Huechuraba Chl"/>
    <n v="800"/>
    <x v="1"/>
    <x v="1"/>
    <x v="1"/>
    <x v="2"/>
  </r>
  <r>
    <x v="5"/>
    <d v="2025-08-19T22:20:00"/>
    <s v="Pedidosya Cl Cl Chl"/>
    <n v="11965"/>
    <x v="1"/>
    <x v="1"/>
    <x v="1"/>
    <x v="10"/>
  </r>
  <r>
    <x v="5"/>
    <d v="2025-08-19T19:09:00"/>
    <s v="Farmacias Tobalaba Santiago Chl"/>
    <n v="8590"/>
    <x v="1"/>
    <x v="1"/>
    <x v="1"/>
    <x v="24"/>
  </r>
  <r>
    <x v="5"/>
    <d v="2025-08-19T13:52:00"/>
    <s v="Hip Lider Los Dominico Santiago Chl"/>
    <n v="1790"/>
    <x v="1"/>
    <x v="1"/>
    <x v="1"/>
    <x v="2"/>
  </r>
  <r>
    <x v="5"/>
    <d v="2025-08-19T09:38:00"/>
    <s v="Transferencia En Linea A Otro Banco Fernando Arriagada"/>
    <n v="10000"/>
    <x v="1"/>
    <x v="1"/>
    <x v="1"/>
    <x v="15"/>
  </r>
  <r>
    <x v="5"/>
    <d v="2025-08-18T19:45:00"/>
    <s v="Paseo Itermodal Catorc Santiago Chl"/>
    <n v="4500"/>
    <x v="1"/>
    <x v="1"/>
    <x v="1"/>
    <x v="2"/>
  </r>
  <r>
    <x v="5"/>
    <d v="2025-08-18T19:15:00"/>
    <s v="Unimarc Rojas Magallan Santiago Chl"/>
    <n v="13179"/>
    <x v="1"/>
    <x v="1"/>
    <x v="1"/>
    <x v="6"/>
  </r>
  <r>
    <x v="5"/>
    <d v="2025-08-18T15:41:00"/>
    <s v="Merpago*autoservicio T Huechuraba Chl"/>
    <n v="1650"/>
    <x v="1"/>
    <x v="1"/>
    <x v="1"/>
    <x v="3"/>
  </r>
  <r>
    <x v="5"/>
    <d v="2025-08-18T13:20:00"/>
    <s v="Casino Casa Matriz Santiago Chl"/>
    <n v="3700"/>
    <x v="1"/>
    <x v="1"/>
    <x v="1"/>
    <x v="3"/>
  </r>
  <r>
    <x v="5"/>
    <d v="2025-08-18T12:15:00"/>
    <s v="Merpago*autoservicio T Huechuraba Chl"/>
    <n v="1450"/>
    <x v="1"/>
    <x v="1"/>
    <x v="1"/>
    <x v="3"/>
  </r>
  <r>
    <x v="5"/>
    <d v="2025-08-17T20:22:00"/>
    <s v="Hip Lider Plaza Vespuc Santiago Chl"/>
    <n v="95857"/>
    <x v="1"/>
    <x v="1"/>
    <x v="1"/>
    <x v="6"/>
  </r>
  <r>
    <x v="5"/>
    <d v="2025-08-17T18:39:00"/>
    <s v="Farm Belen Santiago Chl"/>
    <n v="2790"/>
    <x v="1"/>
    <x v="1"/>
    <x v="1"/>
    <x v="24"/>
  </r>
  <r>
    <x v="5"/>
    <d v="2025-08-17T14:10:00"/>
    <s v="Mayorista 10 Parque La Santiago Chl"/>
    <n v="1590"/>
    <x v="1"/>
    <x v="1"/>
    <x v="1"/>
    <x v="6"/>
  </r>
  <r>
    <x v="5"/>
    <d v="2025-08-17T14:09:00"/>
    <s v="Mayorista 10 Parque La Santiago Chl"/>
    <n v="12160"/>
    <x v="1"/>
    <x v="1"/>
    <x v="1"/>
    <x v="6"/>
  </r>
  <r>
    <x v="5"/>
    <d v="2025-08-17T11:40:00"/>
    <s v="Mercadopago *Eltomeci Las Condes Chl"/>
    <n v="1400"/>
    <x v="1"/>
    <x v="1"/>
    <x v="1"/>
    <x v="2"/>
  </r>
  <r>
    <x v="5"/>
    <d v="2025-08-16T18:26:00"/>
    <s v="Cine Hoyts Vivo Outlet Santiago Chl"/>
    <n v="12640"/>
    <x v="1"/>
    <x v="1"/>
    <x v="1"/>
    <x v="17"/>
  </r>
  <r>
    <x v="5"/>
    <d v="2025-08-16T16:32:00"/>
    <s v="Cinepolis Web Chile Chl"/>
    <n v="17600"/>
    <x v="1"/>
    <x v="1"/>
    <x v="1"/>
    <x v="17"/>
  </r>
  <r>
    <x v="5"/>
    <d v="2025-08-16T12:59:00"/>
    <s v="Sumup * Nova Construcc La Florida Chl"/>
    <n v="2640"/>
    <x v="1"/>
    <x v="1"/>
    <x v="1"/>
    <x v="19"/>
  </r>
  <r>
    <x v="5"/>
    <d v="2025-08-16T12:57:00"/>
    <s v="Mayorista 10 Parque La Santiago Chl"/>
    <n v="5000"/>
    <x v="1"/>
    <x v="1"/>
    <x v="1"/>
    <x v="6"/>
  </r>
  <r>
    <x v="5"/>
    <d v="2025-08-15T21:06:00"/>
    <s v="Olaf Edmundo Biaggini Santiago Chl"/>
    <n v="2200"/>
    <x v="1"/>
    <x v="1"/>
    <x v="1"/>
    <x v="2"/>
  </r>
  <r>
    <x v="5"/>
    <d v="2025-08-15T21:03:00"/>
    <s v="El Tio Manolo Santiago Chl"/>
    <n v="5500"/>
    <x v="1"/>
    <x v="1"/>
    <x v="1"/>
    <x v="10"/>
  </r>
  <r>
    <x v="5"/>
    <d v="2025-08-15T12:05:00"/>
    <s v="Mercadopago *Casafrut Las Condes Chl"/>
    <n v="2790"/>
    <x v="1"/>
    <x v="1"/>
    <x v="1"/>
    <x v="2"/>
  </r>
  <r>
    <x v="5"/>
    <d v="2025-08-15T09:49:00"/>
    <s v="Upa! F291 Acsa Lo Blan Santiago Chl"/>
    <n v="5780"/>
    <x v="1"/>
    <x v="1"/>
    <x v="1"/>
    <x v="2"/>
  </r>
  <r>
    <x v="5"/>
    <d v="2025-08-14T19:11:00"/>
    <s v="Shel Walker Martinez F Santiago Chl"/>
    <n v="10000"/>
    <x v="1"/>
    <x v="1"/>
    <x v="1"/>
    <x v="7"/>
  </r>
  <r>
    <x v="5"/>
    <d v="2025-08-14T16:13:00"/>
    <s v="Maxik Pudahuel Chl"/>
    <n v="4680"/>
    <x v="1"/>
    <x v="1"/>
    <x v="1"/>
    <x v="36"/>
  </r>
  <r>
    <x v="5"/>
    <d v="2025-08-14T14:08:00"/>
    <s v="Copec App Santiago Chl"/>
    <n v="10296"/>
    <x v="1"/>
    <x v="1"/>
    <x v="1"/>
    <x v="36"/>
  </r>
  <r>
    <x v="5"/>
    <d v="2025-08-14T13:07:00"/>
    <s v="Transferencia En Linea A Otro Banco Fernando Arriagada"/>
    <n v="5000"/>
    <x v="1"/>
    <x v="1"/>
    <x v="1"/>
    <x v="36"/>
  </r>
  <r>
    <x v="5"/>
    <d v="2025-08-14T13:01:00"/>
    <s v="Hip Lider Ovalle Ovalle Chl"/>
    <n v="2820"/>
    <x v="1"/>
    <x v="1"/>
    <x v="1"/>
    <x v="36"/>
  </r>
  <r>
    <x v="5"/>
    <d v="2025-08-14T09:06:00"/>
    <s v="Transferencia En Linea A Otro Banco Fernando Arriagada"/>
    <n v="10000"/>
    <x v="1"/>
    <x v="1"/>
    <x v="1"/>
    <x v="36"/>
  </r>
  <r>
    <x v="5"/>
    <d v="2025-08-14T07:09:00"/>
    <s v="Merpago*dunkin Fagase Lampa Chl"/>
    <n v="5590"/>
    <x v="1"/>
    <x v="1"/>
    <x v="1"/>
    <x v="36"/>
  </r>
  <r>
    <x v="5"/>
    <d v="2025-08-14T00:00:00"/>
    <s v="COMPRA PASEO ITERMODAL CATO"/>
    <n v="2500"/>
    <x v="1"/>
    <x v="5"/>
    <x v="1"/>
    <x v="2"/>
  </r>
  <r>
    <x v="5"/>
    <d v="2025-08-13T21:14:00"/>
    <s v="Unimarc Rojas Magallan Santiago Chl"/>
    <n v="50977"/>
    <x v="1"/>
    <x v="1"/>
    <x v="1"/>
    <x v="6"/>
  </r>
  <r>
    <x v="5"/>
    <d v="2025-08-13T17:02:00"/>
    <s v="Copec App Santiago Chl"/>
    <n v="15000"/>
    <x v="1"/>
    <x v="1"/>
    <x v="1"/>
    <x v="36"/>
  </r>
  <r>
    <x v="5"/>
    <d v="2025-08-13T15:39:00"/>
    <s v="Heladomania Santiago Chl"/>
    <n v="1800"/>
    <x v="1"/>
    <x v="1"/>
    <x v="1"/>
    <x v="2"/>
  </r>
  <r>
    <x v="5"/>
    <d v="2025-08-13T15:21:00"/>
    <s v="Mercadopago *Parquime Las Condes Chl"/>
    <n v="5820"/>
    <x v="1"/>
    <x v="1"/>
    <x v="1"/>
    <x v="36"/>
  </r>
  <r>
    <x v="5"/>
    <d v="2025-08-13T15:10:00"/>
    <s v="Sabor Del Bueno Arauco Chl"/>
    <n v="7700"/>
    <x v="1"/>
    <x v="1"/>
    <x v="1"/>
    <x v="36"/>
  </r>
  <r>
    <x v="5"/>
    <d v="2025-08-13T13:26:00"/>
    <s v="Marcos Andres Espinoza Santiago Chl"/>
    <n v="4700"/>
    <x v="1"/>
    <x v="1"/>
    <x v="1"/>
    <x v="2"/>
  </r>
  <r>
    <x v="5"/>
    <d v="2025-08-13T07:55:00"/>
    <s v="Maravillas Del Sur Talcahuano Chl"/>
    <n v="3200"/>
    <x v="1"/>
    <x v="1"/>
    <x v="1"/>
    <x v="36"/>
  </r>
  <r>
    <x v="5"/>
    <d v="2025-08-13T06:03:00"/>
    <s v="Mc Donalds Santiago Chl"/>
    <n v="1990"/>
    <x v="1"/>
    <x v="1"/>
    <x v="1"/>
    <x v="36"/>
  </r>
  <r>
    <x v="5"/>
    <d v="2025-08-13T00:00:00"/>
    <s v="COMPRA VENDOMATICA"/>
    <n v="1200"/>
    <x v="1"/>
    <x v="5"/>
    <x v="1"/>
    <x v="2"/>
  </r>
  <r>
    <x v="5"/>
    <d v="2025-08-13T00:00:00"/>
    <s v="COMPRA UNIMARC ROJAS MAGALLANES"/>
    <n v="900"/>
    <x v="1"/>
    <x v="5"/>
    <x v="1"/>
    <x v="6"/>
  </r>
  <r>
    <x v="5"/>
    <d v="2025-08-12T17:57:00"/>
    <s v="Devolución arriendo traje"/>
    <n v="10000"/>
    <x v="1"/>
    <x v="1"/>
    <x v="1"/>
    <x v="15"/>
  </r>
  <r>
    <x v="5"/>
    <d v="2025-08-12T17:57:00"/>
    <s v="Transferencia En Linea A Otro Banco Patricia Rodriguez"/>
    <n v="10000"/>
    <x v="1"/>
    <x v="1"/>
    <x v="1"/>
    <x v="1"/>
  </r>
  <r>
    <x v="5"/>
    <d v="2025-08-12T16:30:00"/>
    <s v="Heladomania Santiago Chl"/>
    <n v="1300"/>
    <x v="1"/>
    <x v="1"/>
    <x v="1"/>
    <x v="2"/>
  </r>
  <r>
    <x v="5"/>
    <d v="2025-08-12T13:18:00"/>
    <s v="Hip Lider San Pablo Santiago Chl"/>
    <n v="3180"/>
    <x v="1"/>
    <x v="1"/>
    <x v="1"/>
    <x v="6"/>
  </r>
  <r>
    <x v="5"/>
    <d v="2025-08-12T12:34:00"/>
    <s v="Hip Lider San Pablo Santiago Chl"/>
    <n v="1290"/>
    <x v="1"/>
    <x v="1"/>
    <x v="1"/>
    <x v="6"/>
  </r>
  <r>
    <x v="5"/>
    <d v="2025-08-11T20:16:00"/>
    <s v="Unimarc Rojas Magallan Santiago Chl"/>
    <n v="19304"/>
    <x v="1"/>
    <x v="1"/>
    <x v="1"/>
    <x v="6"/>
  </r>
  <r>
    <x v="5"/>
    <d v="2025-08-11T15:40:00"/>
    <s v="Tuu*botilleria Echeniq La Florida Chl"/>
    <n v="2300"/>
    <x v="1"/>
    <x v="1"/>
    <x v="1"/>
    <x v="2"/>
  </r>
  <r>
    <x v="5"/>
    <d v="2025-08-11T13:21:00"/>
    <s v="Casino Casa Matriz Santiago Chl"/>
    <n v="3700"/>
    <x v="1"/>
    <x v="1"/>
    <x v="1"/>
    <x v="3"/>
  </r>
  <r>
    <x v="5"/>
    <d v="2025-08-11T00:00:00"/>
    <s v="COMPRA Parking Mallplaza"/>
    <n v="229"/>
    <x v="1"/>
    <x v="5"/>
    <x v="1"/>
    <x v="19"/>
  </r>
  <r>
    <x v="5"/>
    <d v="2025-08-10T20:33:00"/>
    <s v="Transferencia En Linea A Otro Banco Fernando Arriagada Tapp"/>
    <n v="5500"/>
    <x v="1"/>
    <x v="1"/>
    <x v="1"/>
    <x v="17"/>
  </r>
  <r>
    <x v="5"/>
    <d v="2025-08-10T20:31:00"/>
    <s v="Dlocal *Google Play-yo Santiago Chl"/>
    <n v="5500"/>
    <x v="1"/>
    <x v="1"/>
    <x v="1"/>
    <x v="17"/>
  </r>
  <r>
    <x v="5"/>
    <d v="2025-08-10T19:04:00"/>
    <s v="Express Rojas Magalla Santiago Chl"/>
    <n v="57327"/>
    <x v="1"/>
    <x v="1"/>
    <x v="1"/>
    <x v="6"/>
  </r>
  <r>
    <x v="5"/>
    <d v="2025-08-10T10:36:00"/>
    <s v="Hip Lider Plaza Vespuc Santiago Chl"/>
    <n v="13520"/>
    <x v="1"/>
    <x v="1"/>
    <x v="1"/>
    <x v="6"/>
  </r>
  <r>
    <x v="5"/>
    <d v="2025-08-09T21:02:00"/>
    <s v="Vespucio Santiago Chl"/>
    <n v="23925"/>
    <x v="1"/>
    <x v="1"/>
    <x v="1"/>
    <x v="10"/>
  </r>
  <r>
    <x v="5"/>
    <d v="2025-08-09T20:20:00"/>
    <s v="Ripley Plaza Vespucio Santiago Chl"/>
    <n v="15980"/>
    <x v="1"/>
    <x v="1"/>
    <x v="1"/>
    <x v="11"/>
  </r>
  <r>
    <x v="5"/>
    <d v="2025-08-09T19:29:00"/>
    <s v="Casaideas Plaza Vespuc Santiago Chl"/>
    <n v="16390"/>
    <x v="1"/>
    <x v="1"/>
    <x v="1"/>
    <x v="11"/>
  </r>
  <r>
    <x v="5"/>
    <d v="2025-08-09T16:29:00"/>
    <s v="Express Tomas Moro Santiago Chl"/>
    <n v="4670"/>
    <x v="1"/>
    <x v="1"/>
    <x v="1"/>
    <x v="6"/>
  </r>
  <r>
    <x v="5"/>
    <d v="2025-08-09T14:47:00"/>
    <s v="Express Tomas Moro Santiago Chl"/>
    <n v="5250"/>
    <x v="1"/>
    <x v="1"/>
    <x v="1"/>
    <x v="6"/>
  </r>
  <r>
    <x v="5"/>
    <d v="2025-08-08T18:40:00"/>
    <s v="Express Rojas Magalla Santiago Chl"/>
    <n v="28422"/>
    <x v="1"/>
    <x v="1"/>
    <x v="1"/>
    <x v="6"/>
  </r>
  <r>
    <x v="5"/>
    <d v="2025-08-08T18:31:00"/>
    <s v="Dlocal *Google Play-yo Santiago Chl"/>
    <n v="1790"/>
    <x v="1"/>
    <x v="1"/>
    <x v="2"/>
    <x v="17"/>
  </r>
  <r>
    <x v="5"/>
    <d v="2025-08-08T16:38:00"/>
    <s v="Merpago*servicios Gast Buin Chl"/>
    <n v="7400"/>
    <x v="1"/>
    <x v="1"/>
    <x v="1"/>
    <x v="10"/>
  </r>
  <r>
    <x v="5"/>
    <d v="2025-08-08T16:11:00"/>
    <s v="Google *Roblox G.co/helppay# Usa"/>
    <n v="1100"/>
    <x v="1"/>
    <x v="1"/>
    <x v="1"/>
    <x v="17"/>
  </r>
  <r>
    <x v="5"/>
    <d v="2025-08-08T09:29:00"/>
    <s v="Copemsa Sur Spa Santiago Chl"/>
    <n v="2600"/>
    <x v="1"/>
    <x v="1"/>
    <x v="1"/>
    <x v="19"/>
  </r>
  <r>
    <x v="5"/>
    <d v="2025-08-07T18:25:00"/>
    <s v="Transferencia En Linea A Otro Banco Soluciones Nutriciones Y Fisicas Spa"/>
    <n v="110000"/>
    <x v="1"/>
    <x v="1"/>
    <x v="2"/>
    <x v="8"/>
  </r>
  <r>
    <x v="5"/>
    <d v="2025-08-07T17:29:00"/>
    <s v="Farmacias Tobalaba Santiago Chl"/>
    <n v="7490"/>
    <x v="1"/>
    <x v="1"/>
    <x v="1"/>
    <x v="24"/>
  </r>
  <r>
    <x v="5"/>
    <d v="2025-08-07T08:04:00"/>
    <s v="Marcos Andres Espinoza Santiago Chl"/>
    <n v="3000"/>
    <x v="1"/>
    <x v="1"/>
    <x v="1"/>
    <x v="2"/>
  </r>
  <r>
    <x v="5"/>
    <d v="2025-08-07T00:00:00"/>
    <s v="Maxik"/>
    <n v="2290"/>
    <x v="1"/>
    <x v="3"/>
    <x v="1"/>
    <x v="2"/>
  </r>
  <r>
    <x v="5"/>
    <d v="2025-08-06T22:45:00"/>
    <s v="Payu *Uber Trip Santiago Chl"/>
    <n v="2835"/>
    <x v="1"/>
    <x v="1"/>
    <x v="1"/>
    <x v="2"/>
  </r>
  <r>
    <x v="5"/>
    <d v="2025-08-06T20:16:00"/>
    <s v="Pedidosya Cl"/>
    <n v="12070"/>
    <x v="1"/>
    <x v="3"/>
    <x v="1"/>
    <x v="10"/>
  </r>
  <r>
    <x v="5"/>
    <d v="2025-08-06T15:47:00"/>
    <s v="Heladomania Santiago Chl"/>
    <n v="3100"/>
    <x v="1"/>
    <x v="1"/>
    <x v="1"/>
    <x v="2"/>
  </r>
  <r>
    <x v="5"/>
    <d v="2025-08-06T05:04:00"/>
    <s v="Merpago*dunkin Fagase Lampa Chl"/>
    <n v="5590"/>
    <x v="1"/>
    <x v="1"/>
    <x v="1"/>
    <x v="36"/>
  </r>
  <r>
    <x v="5"/>
    <d v="2025-08-06T00:00:00"/>
    <s v="Lider.cl Mall Onecli"/>
    <n v="35210"/>
    <x v="1"/>
    <x v="3"/>
    <x v="1"/>
    <x v="6"/>
  </r>
  <r>
    <x v="5"/>
    <d v="2025-08-06T00:00:00"/>
    <s v="Martita"/>
    <n v="3800"/>
    <x v="1"/>
    <x v="3"/>
    <x v="1"/>
    <x v="36"/>
  </r>
  <r>
    <x v="5"/>
    <d v="2025-08-06T00:00:00"/>
    <s v="Payu *Uber Trip"/>
    <n v="2863"/>
    <x v="1"/>
    <x v="3"/>
    <x v="1"/>
    <x v="2"/>
  </r>
  <r>
    <x v="5"/>
    <d v="2025-08-06T00:00:00"/>
    <s v="Payu *Uber Trip"/>
    <n v="2495"/>
    <x v="1"/>
    <x v="3"/>
    <x v="1"/>
    <x v="2"/>
  </r>
  <r>
    <x v="5"/>
    <d v="2025-08-06T00:00:00"/>
    <s v="Sabor Del Bueno"/>
    <n v="6600"/>
    <x v="1"/>
    <x v="3"/>
    <x v="1"/>
    <x v="36"/>
  </r>
  <r>
    <x v="5"/>
    <d v="2025-08-06T00:00:00"/>
    <s v="Servicios Integral M"/>
    <n v="15359"/>
    <x v="1"/>
    <x v="3"/>
    <x v="1"/>
    <x v="36"/>
  </r>
  <r>
    <x v="5"/>
    <d v="2025-08-06T00:00:00"/>
    <s v="Tuu*botilleria Echen"/>
    <n v="2300"/>
    <x v="1"/>
    <x v="3"/>
    <x v="1"/>
    <x v="2"/>
  </r>
  <r>
    <x v="5"/>
    <d v="2025-08-06T00:00:00"/>
    <s v="Comisión por Plan Cta. Corriente"/>
    <n v="3261"/>
    <x v="1"/>
    <x v="2"/>
    <x v="1"/>
    <x v="25"/>
  </r>
  <r>
    <x v="5"/>
    <d v="2025-08-05T00:00:00"/>
    <s v="Dulce Aroma"/>
    <n v="2190"/>
    <x v="1"/>
    <x v="3"/>
    <x v="1"/>
    <x v="2"/>
  </r>
  <r>
    <x v="5"/>
    <d v="2025-08-05T00:00:00"/>
    <s v="Dulce Aroma"/>
    <n v="1100"/>
    <x v="1"/>
    <x v="3"/>
    <x v="1"/>
    <x v="2"/>
  </r>
  <r>
    <x v="5"/>
    <d v="2025-08-05T00:00:00"/>
    <s v="Farm Belen"/>
    <n v="2790"/>
    <x v="1"/>
    <x v="3"/>
    <x v="1"/>
    <x v="24"/>
  </r>
  <r>
    <x v="5"/>
    <d v="2025-08-05T00:00:00"/>
    <s v="Cheque Cobrado Por Otro Banco serie 181682"/>
    <n v="229970"/>
    <x v="1"/>
    <x v="2"/>
    <x v="2"/>
    <x v="1"/>
  </r>
  <r>
    <x v="5"/>
    <d v="2025-08-05T00:00:00"/>
    <s v="Comisión por Plan Cta. Corriente"/>
    <n v="3273"/>
    <x v="1"/>
    <x v="2"/>
    <x v="1"/>
    <x v="25"/>
  </r>
  <r>
    <x v="5"/>
    <d v="2025-08-04T19:55:00"/>
    <s v="COMPRA UNIMARC ROJAS MAGALLANES"/>
    <n v="24943"/>
    <x v="1"/>
    <x v="5"/>
    <x v="1"/>
    <x v="6"/>
  </r>
  <r>
    <x v="5"/>
    <d v="2025-08-04T00:00:00"/>
    <s v="Casino Casa Matriz"/>
    <n v="3700"/>
    <x v="1"/>
    <x v="3"/>
    <x v="1"/>
    <x v="3"/>
  </r>
  <r>
    <x v="5"/>
    <d v="2025-08-04T00:00:00"/>
    <s v="Mercadopago *Fitfood"/>
    <n v="1190"/>
    <x v="1"/>
    <x v="3"/>
    <x v="1"/>
    <x v="3"/>
  </r>
  <r>
    <x v="5"/>
    <d v="2025-08-04T00:00:00"/>
    <s v="Unificado Entel Sa"/>
    <n v="61784"/>
    <x v="1"/>
    <x v="3"/>
    <x v="2"/>
    <x v="26"/>
  </r>
  <r>
    <x v="5"/>
    <d v="2025-08-03T19:50:00"/>
    <s v="Hip Lider Plaza"/>
    <n v="17910"/>
    <x v="1"/>
    <x v="3"/>
    <x v="1"/>
    <x v="6"/>
  </r>
  <r>
    <x v="5"/>
    <d v="2025-08-03T18:43:00"/>
    <s v="Ripley Car S.a Plaza Vespucio"/>
    <n v="30970"/>
    <x v="1"/>
    <x v="3"/>
    <x v="1"/>
    <x v="8"/>
  </r>
  <r>
    <x v="5"/>
    <d v="2025-08-03T15:01:00"/>
    <s v="Comercial Mi Ho"/>
    <n v="23600"/>
    <x v="1"/>
    <x v="3"/>
    <x v="1"/>
    <x v="18"/>
  </r>
  <r>
    <x v="5"/>
    <d v="2025-08-03T13:14:00"/>
    <s v="Mercadopago *Gr"/>
    <n v="900"/>
    <x v="1"/>
    <x v="3"/>
    <x v="1"/>
    <x v="2"/>
  </r>
  <r>
    <x v="5"/>
    <d v="2025-08-03T12:41:00"/>
    <s v="Walker Martinez"/>
    <n v="4640"/>
    <x v="1"/>
    <x v="3"/>
    <x v="1"/>
    <x v="24"/>
  </r>
  <r>
    <x v="5"/>
    <d v="2025-08-03T00:00:00"/>
    <s v="COMPRA SALLY BEAUTY VES"/>
    <n v="13440"/>
    <x v="1"/>
    <x v="5"/>
    <x v="1"/>
    <x v="24"/>
  </r>
  <r>
    <x v="5"/>
    <d v="2025-08-03T00:00:00"/>
    <s v="COMPRA BARBER SHOP PZA VESPUC"/>
    <n v="19789"/>
    <x v="1"/>
    <x v="5"/>
    <x v="1"/>
    <x v="24"/>
  </r>
  <r>
    <x v="5"/>
    <d v="2025-08-02T20:14:00"/>
    <s v="Hip Lider Depar"/>
    <n v="38114"/>
    <x v="1"/>
    <x v="3"/>
    <x v="1"/>
    <x v="6"/>
  </r>
  <r>
    <x v="5"/>
    <d v="2025-08-02T11:48:00"/>
    <s v="V.mackenna O.7320 La Florida"/>
    <n v="30000"/>
    <x v="1"/>
    <x v="1"/>
    <x v="1"/>
    <x v="15"/>
  </r>
  <r>
    <x v="5"/>
    <d v="2025-08-01T19:39:00"/>
    <s v="Abono Abono Transacción Lbtr"/>
    <n v="-182223"/>
    <x v="0"/>
    <x v="0"/>
    <x v="0"/>
    <x v="36"/>
  </r>
  <r>
    <x v="5"/>
    <d v="2025-08-01T00:00:00"/>
    <s v="Central Parking Syst"/>
    <n v="1500"/>
    <x v="1"/>
    <x v="3"/>
    <x v="1"/>
    <x v="19"/>
  </r>
  <r>
    <x v="5"/>
    <d v="2025-08-01T00:00:00"/>
    <s v="La Casita De Las Ale"/>
    <n v="27588"/>
    <x v="1"/>
    <x v="3"/>
    <x v="1"/>
    <x v="10"/>
  </r>
  <r>
    <x v="5"/>
    <d v="2025-08-01T00:00:00"/>
    <s v="Mercadopago *Fitfood"/>
    <n v="1190"/>
    <x v="1"/>
    <x v="3"/>
    <x v="1"/>
    <x v="3"/>
  </r>
  <r>
    <x v="5"/>
    <d v="2025-08-01T00:00:00"/>
    <s v="Mercadopago *Fitfood"/>
    <n v="1190"/>
    <x v="1"/>
    <x v="3"/>
    <x v="1"/>
    <x v="3"/>
  </r>
  <r>
    <x v="5"/>
    <d v="2025-08-01T00:00:00"/>
    <s v="Neat Arriendo"/>
    <n v="712088"/>
    <x v="1"/>
    <x v="3"/>
    <x v="2"/>
    <x v="22"/>
  </r>
  <r>
    <x v="5"/>
    <d v="2025-08-01T00:00:00"/>
    <s v="Pedidosya Cl Plus"/>
    <n v="1449"/>
    <x v="1"/>
    <x v="3"/>
    <x v="2"/>
    <x v="4"/>
  </r>
  <r>
    <x v="5"/>
    <d v="2025-07-31T22:23:00"/>
    <s v="Payu *Uber Trip Santiago Chl"/>
    <n v="3252"/>
    <x v="1"/>
    <x v="1"/>
    <x v="1"/>
    <x v="2"/>
  </r>
  <r>
    <x v="5"/>
    <d v="2025-07-31T21:56:00"/>
    <s v="Transferencia En Linea A Otro Banco Patricia Macaya 4°b Tempo"/>
    <n v="19400"/>
    <x v="1"/>
    <x v="1"/>
    <x v="1"/>
    <x v="1"/>
  </r>
  <r>
    <x v="5"/>
    <d v="2025-07-31T21:03:00"/>
    <s v="Biboo"/>
    <n v="50"/>
    <x v="1"/>
    <x v="3"/>
    <x v="1"/>
    <x v="17"/>
  </r>
  <r>
    <x v="5"/>
    <d v="2025-07-31T20:31:00"/>
    <s v="Central Parking"/>
    <n v="1500"/>
    <x v="1"/>
    <x v="3"/>
    <x v="1"/>
    <x v="19"/>
  </r>
  <r>
    <x v="5"/>
    <d v="2025-07-31T20:29:00"/>
    <s v="Hip Lider Plaza Vespuc Santiago Chl"/>
    <n v="26380"/>
    <x v="1"/>
    <x v="1"/>
    <x v="1"/>
    <x v="6"/>
  </r>
  <r>
    <x v="5"/>
    <d v="2025-07-31T10:44:00"/>
    <s v="Marcos Andres Espinoza Santiago Chl"/>
    <n v="2790"/>
    <x v="1"/>
    <x v="1"/>
    <x v="1"/>
    <x v="2"/>
  </r>
  <r>
    <x v="5"/>
    <d v="2025-07-31T00:00:00"/>
    <s v="Biboo"/>
    <n v="5000"/>
    <x v="1"/>
    <x v="3"/>
    <x v="1"/>
    <x v="17"/>
  </r>
  <r>
    <x v="5"/>
    <d v="2025-07-31T00:00:00"/>
    <s v="Cruz Verde"/>
    <n v="26072"/>
    <x v="1"/>
    <x v="3"/>
    <x v="1"/>
    <x v="24"/>
  </r>
  <r>
    <x v="5"/>
    <d v="2025-07-31T00:00:00"/>
    <s v="Cruz Verde"/>
    <n v="9093"/>
    <x v="1"/>
    <x v="3"/>
    <x v="1"/>
    <x v="24"/>
  </r>
  <r>
    <x v="5"/>
    <d v="2025-07-31T00:00:00"/>
    <s v="Merpago*greatlhete"/>
    <n v="1700"/>
    <x v="1"/>
    <x v="3"/>
    <x v="1"/>
    <x v="2"/>
  </r>
  <r>
    <x v="5"/>
    <d v="2025-07-31T00:00:00"/>
    <s v="Sociedad De Inversio"/>
    <n v="8129"/>
    <x v="1"/>
    <x v="3"/>
    <x v="1"/>
    <x v="2"/>
  </r>
  <r>
    <x v="5"/>
    <d v="2025-07-31T00:00:00"/>
    <s v="Unimarc Rojas Magall"/>
    <n v="69484"/>
    <x v="1"/>
    <x v="3"/>
    <x v="1"/>
    <x v="6"/>
  </r>
  <r>
    <x v="5"/>
    <d v="2025-07-30T22:46:00"/>
    <s v="Transferencia En Linea A Otro Banco Fernando Arriagada Tapp"/>
    <n v="6000"/>
    <x v="1"/>
    <x v="1"/>
    <x v="1"/>
    <x v="17"/>
  </r>
  <r>
    <x v="5"/>
    <d v="2025-07-30T22:42:00"/>
    <s v="Google Play Youtube Go Las Condes Chl"/>
    <n v="5500"/>
    <x v="1"/>
    <x v="1"/>
    <x v="2"/>
    <x v="4"/>
  </r>
  <r>
    <x v="5"/>
    <d v="2025-07-30T21:06:00"/>
    <s v="Shel Walker Martinez F Santiago Chl"/>
    <n v="10000"/>
    <x v="1"/>
    <x v="1"/>
    <x v="1"/>
    <x v="7"/>
  </r>
  <r>
    <x v="5"/>
    <d v="2025-07-30T19:32:00"/>
    <s v="Pedidosya Cl Cl Chl"/>
    <n v="16500"/>
    <x v="1"/>
    <x v="1"/>
    <x v="1"/>
    <x v="10"/>
  </r>
  <r>
    <x v="5"/>
    <d v="2025-07-30T16:16:00"/>
    <s v="Transferencia En Linea A Otro Banco Flow Cl B"/>
    <n v="25000"/>
    <x v="1"/>
    <x v="1"/>
    <x v="1"/>
    <x v="24"/>
  </r>
  <r>
    <x v="5"/>
    <d v="2025-07-30T08:08:00"/>
    <s v="Marcos Andres Espinoza Santiago Chl"/>
    <n v="5770"/>
    <x v="1"/>
    <x v="1"/>
    <x v="1"/>
    <x v="2"/>
  </r>
  <r>
    <x v="5"/>
    <d v="2025-07-30T07:59:00"/>
    <s v="Marcos Andres Espinoza Santiago Chl"/>
    <n v="2500"/>
    <x v="1"/>
    <x v="1"/>
    <x v="1"/>
    <x v="2"/>
  </r>
  <r>
    <x v="5"/>
    <d v="2025-07-30T07:41:00"/>
    <s v="Transferencia En Linea A Otro Banco Fernando Arriagada Tapp"/>
    <n v="10000"/>
    <x v="1"/>
    <x v="1"/>
    <x v="1"/>
    <x v="15"/>
  </r>
  <r>
    <x v="5"/>
    <d v="2025-07-30T00:00:00"/>
    <s v="Mc Donalds"/>
    <n v="3090"/>
    <x v="1"/>
    <x v="3"/>
    <x v="1"/>
    <x v="36"/>
  </r>
  <r>
    <x v="5"/>
    <d v="2025-07-30T00:00:00"/>
    <s v="Mc Donalds"/>
    <n v="1990"/>
    <x v="1"/>
    <x v="3"/>
    <x v="1"/>
    <x v="36"/>
  </r>
  <r>
    <x v="5"/>
    <d v="2025-07-30T00:00:00"/>
    <s v="Micopiloto F452"/>
    <n v="5900"/>
    <x v="1"/>
    <x v="3"/>
    <x v="1"/>
    <x v="36"/>
  </r>
  <r>
    <x v="5"/>
    <d v="2025-07-30T00:00:00"/>
    <s v="Payscan*vendomatica"/>
    <n v="1000"/>
    <x v="1"/>
    <x v="3"/>
    <x v="1"/>
    <x v="2"/>
  </r>
  <r>
    <x v="5"/>
    <d v="2025-07-30T00:00:00"/>
    <s v="Servicios Integral M"/>
    <n v="18351"/>
    <x v="1"/>
    <x v="3"/>
    <x v="1"/>
    <x v="36"/>
  </r>
  <r>
    <x v="5"/>
    <d v="2025-07-29T22:46:00"/>
    <s v="Sermob Limitada - Remuneraciones"/>
    <n v="-2588117"/>
    <x v="0"/>
    <x v="0"/>
    <x v="0"/>
    <x v="28"/>
  </r>
  <r>
    <x v="6"/>
    <d v="2025-07-29T19:26:00"/>
    <s v="Dulce Aroma Santiago Chl"/>
    <n v="5300"/>
    <x v="1"/>
    <x v="1"/>
    <x v="1"/>
    <x v="2"/>
  </r>
  <r>
    <x v="6"/>
    <d v="2025-07-29T19:14:00"/>
    <s v="Unimarc Rojas Magallan Santiago Chl"/>
    <n v="2700"/>
    <x v="1"/>
    <x v="1"/>
    <x v="1"/>
    <x v="6"/>
  </r>
  <r>
    <x v="6"/>
    <d v="2025-07-29T13:09:00"/>
    <s v="Casino Casa Matriz Santiago Chl"/>
    <n v="3700"/>
    <x v="1"/>
    <x v="1"/>
    <x v="1"/>
    <x v="3"/>
  </r>
  <r>
    <x v="6"/>
    <d v="2025-07-29T07:29:00"/>
    <s v="Copec Zervo Las Condes Chl"/>
    <n v="5000"/>
    <x v="1"/>
    <x v="1"/>
    <x v="1"/>
    <x v="7"/>
  </r>
  <r>
    <x v="5"/>
    <d v="2025-07-29T00:00:00"/>
    <s v="Lider.cl Mall Onecli"/>
    <n v="95076"/>
    <x v="1"/>
    <x v="3"/>
    <x v="1"/>
    <x v="6"/>
  </r>
  <r>
    <x v="5"/>
    <d v="2025-07-29T00:00:00"/>
    <s v="Payu *Wellhub Cl"/>
    <n v="20990"/>
    <x v="1"/>
    <x v="3"/>
    <x v="2"/>
    <x v="21"/>
  </r>
  <r>
    <x v="5"/>
    <d v="2025-07-29T00:00:00"/>
    <s v="Payu *Wellhub Cl"/>
    <n v="20990"/>
    <x v="1"/>
    <x v="3"/>
    <x v="2"/>
    <x v="21"/>
  </r>
  <r>
    <x v="6"/>
    <d v="2025-07-28T19:10:00"/>
    <s v="Unimarc Rojas Magallan Santiago Chl"/>
    <n v="2884"/>
    <x v="1"/>
    <x v="1"/>
    <x v="1"/>
    <x v="6"/>
  </r>
  <r>
    <x v="6"/>
    <d v="2025-07-28T15:39:00"/>
    <s v="Heladomania Santiago Chl"/>
    <n v="1300"/>
    <x v="1"/>
    <x v="1"/>
    <x v="1"/>
    <x v="2"/>
  </r>
  <r>
    <x v="6"/>
    <d v="2025-07-28T12:59:00"/>
    <s v="Casino Casa Matriz Santiago Chl"/>
    <n v="3700"/>
    <x v="1"/>
    <x v="1"/>
    <x v="1"/>
    <x v="3"/>
  </r>
  <r>
    <x v="6"/>
    <d v="2025-07-27T19:26:00"/>
    <s v="Dulce Aroma Santiago Chl"/>
    <n v="5740"/>
    <x v="1"/>
    <x v="1"/>
    <x v="1"/>
    <x v="2"/>
  </r>
  <r>
    <x v="6"/>
    <d v="2025-07-27T19:11:00"/>
    <s v="Farm Belen Santiago Chl"/>
    <n v="3990"/>
    <x v="1"/>
    <x v="1"/>
    <x v="1"/>
    <x v="24"/>
  </r>
  <r>
    <x v="6"/>
    <d v="2025-07-27T17:33:00"/>
    <s v="Shel Walker Mar"/>
    <n v="10000"/>
    <x v="1"/>
    <x v="3"/>
    <x v="1"/>
    <x v="7"/>
  </r>
  <r>
    <x v="6"/>
    <d v="2025-07-27T13:08:00"/>
    <s v="Hip Lider Quilin Santiago Chl"/>
    <n v="2650"/>
    <x v="1"/>
    <x v="1"/>
    <x v="1"/>
    <x v="6"/>
  </r>
  <r>
    <x v="6"/>
    <d v="2025-07-26T12:23:00"/>
    <s v="Unimarc Consistorial Santiago Chl"/>
    <n v="6833"/>
    <x v="1"/>
    <x v="1"/>
    <x v="1"/>
    <x v="6"/>
  </r>
  <r>
    <x v="6"/>
    <d v="2025-07-26T12:20:00"/>
    <s v="Unimarc Consistorial Santiago Chl"/>
    <n v="28215"/>
    <x v="1"/>
    <x v="1"/>
    <x v="1"/>
    <x v="6"/>
  </r>
  <r>
    <x v="6"/>
    <d v="2025-07-25T19:00:00"/>
    <s v="Merpago*eltomecino La Florida Chl"/>
    <n v="1650"/>
    <x v="1"/>
    <x v="1"/>
    <x v="1"/>
    <x v="2"/>
  </r>
  <r>
    <x v="6"/>
    <d v="2025-07-25T17:26:00"/>
    <s v="Kioskos Kentucky Buin Santiago Chl"/>
    <n v="4800"/>
    <x v="1"/>
    <x v="1"/>
    <x v="1"/>
    <x v="10"/>
  </r>
  <r>
    <x v="6"/>
    <d v="2025-07-25T14:22:00"/>
    <s v="Copec App Santiago Chl"/>
    <n v="15000"/>
    <x v="1"/>
    <x v="1"/>
    <x v="1"/>
    <x v="7"/>
  </r>
  <r>
    <x v="6"/>
    <d v="2025-07-25T00:00:00"/>
    <s v="Mercadopago *Fitfood"/>
    <n v="1190"/>
    <x v="1"/>
    <x v="3"/>
    <x v="1"/>
    <x v="3"/>
  </r>
  <r>
    <x v="6"/>
    <d v="2025-07-24T19:20:00"/>
    <s v="Dulce Aroma Santiago Chl"/>
    <n v="1630"/>
    <x v="1"/>
    <x v="1"/>
    <x v="1"/>
    <x v="2"/>
  </r>
  <r>
    <x v="6"/>
    <d v="2025-07-24T17:56:00"/>
    <s v="Cynthia Johanna Vera C Santiago Chl"/>
    <n v="2400"/>
    <x v="1"/>
    <x v="1"/>
    <x v="1"/>
    <x v="2"/>
  </r>
  <r>
    <x v="6"/>
    <d v="2025-07-24T14:50:00"/>
    <s v="Dlocal *Google Play-yo Santiago Chl"/>
    <n v="5850"/>
    <x v="1"/>
    <x v="1"/>
    <x v="2"/>
    <x v="4"/>
  </r>
  <r>
    <x v="6"/>
    <d v="2025-07-24T13:49:00"/>
    <s v="Hip Lider San Pablo Santiago Chl"/>
    <n v="16066"/>
    <x v="1"/>
    <x v="1"/>
    <x v="1"/>
    <x v="6"/>
  </r>
  <r>
    <x v="6"/>
    <d v="2025-07-24T09:08:00"/>
    <s v="Shel Walker Martinez F Santiago Chl"/>
    <n v="10000"/>
    <x v="1"/>
    <x v="1"/>
    <x v="1"/>
    <x v="7"/>
  </r>
  <r>
    <x v="6"/>
    <d v="2025-07-23T19:17:00"/>
    <s v="Mercadopago *Eltomeci Las Condes Chl"/>
    <n v="9290"/>
    <x v="1"/>
    <x v="1"/>
    <x v="1"/>
    <x v="2"/>
  </r>
  <r>
    <x v="6"/>
    <d v="2025-07-23T16:54:00"/>
    <s v="Eds 9357 Coronel Concepcion Chl"/>
    <n v="17657"/>
    <x v="1"/>
    <x v="1"/>
    <x v="1"/>
    <x v="36"/>
  </r>
  <r>
    <x v="6"/>
    <d v="2025-07-23T15:42:00"/>
    <s v="Heladomania Santiago Chl"/>
    <n v="1800"/>
    <x v="1"/>
    <x v="1"/>
    <x v="1"/>
    <x v="2"/>
  </r>
  <r>
    <x v="6"/>
    <d v="2025-07-23T15:13:00"/>
    <s v="Sabor Del Bueno Arauco Chl"/>
    <n v="5500"/>
    <x v="1"/>
    <x v="1"/>
    <x v="1"/>
    <x v="36"/>
  </r>
  <r>
    <x v="6"/>
    <d v="2025-07-23T13:20:00"/>
    <s v="Heladomania Santiago Chl"/>
    <n v="1800"/>
    <x v="1"/>
    <x v="1"/>
    <x v="1"/>
    <x v="2"/>
  </r>
  <r>
    <x v="6"/>
    <d v="2025-07-23T07:40:00"/>
    <s v="Transferencia En Linea A Otro Banco Fernando Arriagada Tapp"/>
    <n v="10000"/>
    <x v="1"/>
    <x v="1"/>
    <x v="1"/>
    <x v="15"/>
  </r>
  <r>
    <x v="6"/>
    <d v="2025-07-23T00:00:00"/>
    <s v="Maravillas Del Sur"/>
    <n v="2700"/>
    <x v="1"/>
    <x v="3"/>
    <x v="1"/>
    <x v="36"/>
  </r>
  <r>
    <x v="6"/>
    <d v="2025-07-22T19:28:00"/>
    <s v="Unimarc Rojas Magallan Santiago Chl"/>
    <n v="12649"/>
    <x v="1"/>
    <x v="1"/>
    <x v="1"/>
    <x v="6"/>
  </r>
  <r>
    <x v="6"/>
    <d v="2025-07-22T19:25:00"/>
    <s v="Unimarc Rojas Magallan Santiago Chl"/>
    <n v="25357"/>
    <x v="1"/>
    <x v="1"/>
    <x v="1"/>
    <x v="6"/>
  </r>
  <r>
    <x v="6"/>
    <d v="2025-07-22T13:35:00"/>
    <s v="Casino Casa Matriz Santiago Chl"/>
    <n v="3700"/>
    <x v="1"/>
    <x v="1"/>
    <x v="1"/>
    <x v="3"/>
  </r>
  <r>
    <x v="6"/>
    <d v="2025-07-22T11:29:00"/>
    <s v="Payu *Uber Trip Santiago Chl"/>
    <n v="2991"/>
    <x v="1"/>
    <x v="1"/>
    <x v="1"/>
    <x v="2"/>
  </r>
  <r>
    <x v="6"/>
    <d v="2025-07-22T09:13:00"/>
    <s v="Payu *Uber Trip Santiago Chl"/>
    <n v="3498"/>
    <x v="1"/>
    <x v="1"/>
    <x v="1"/>
    <x v="2"/>
  </r>
  <r>
    <x v="6"/>
    <d v="2025-07-22T00:00:00"/>
    <s v="Mercadopago *Fitfood"/>
    <n v="1190"/>
    <x v="1"/>
    <x v="3"/>
    <x v="1"/>
    <x v="3"/>
  </r>
  <r>
    <x v="6"/>
    <d v="2025-07-21T13:05:00"/>
    <s v="Casino Casa Matriz Santiago Chl"/>
    <n v="3700"/>
    <x v="1"/>
    <x v="1"/>
    <x v="1"/>
    <x v="3"/>
  </r>
  <r>
    <x v="6"/>
    <d v="2025-07-20T19:48:00"/>
    <s v="El Hoyo Santiago Chl"/>
    <n v="2500"/>
    <x v="1"/>
    <x v="1"/>
    <x v="1"/>
    <x v="10"/>
  </r>
  <r>
    <x v="6"/>
    <d v="2025-07-20T00:00:00"/>
    <s v="Seg Desgravamen Tr"/>
    <n v="2354"/>
    <x v="1"/>
    <x v="3"/>
    <x v="2"/>
    <x v="25"/>
  </r>
  <r>
    <x v="6"/>
    <d v="2025-07-20T00:00:00"/>
    <s v="Shel Walker Martinez"/>
    <n v="20000"/>
    <x v="1"/>
    <x v="3"/>
    <x v="1"/>
    <x v="7"/>
  </r>
  <r>
    <x v="6"/>
    <d v="2025-07-20T00:00:00"/>
    <s v="Casaideas Plaza Vesp"/>
    <n v="2990"/>
    <x v="1"/>
    <x v="3"/>
    <x v="1"/>
    <x v="2"/>
  </r>
  <r>
    <x v="6"/>
    <d v="2025-07-20T00:00:00"/>
    <s v="Merpago*chicken Love"/>
    <n v="16300"/>
    <x v="1"/>
    <x v="3"/>
    <x v="1"/>
    <x v="10"/>
  </r>
  <r>
    <x v="6"/>
    <d v="2025-07-20T00:00:00"/>
    <s v="Merpago*koychi Spa K"/>
    <n v="9990"/>
    <x v="1"/>
    <x v="3"/>
    <x v="1"/>
    <x v="10"/>
  </r>
  <r>
    <x v="6"/>
    <d v="2025-07-20T00:00:00"/>
    <s v="Mpve41 L"/>
    <n v="12090"/>
    <x v="1"/>
    <x v="3"/>
    <x v="1"/>
    <x v="10"/>
  </r>
  <r>
    <x v="6"/>
    <d v="2025-07-20T00:00:00"/>
    <s v="Vespucio"/>
    <n v="8280"/>
    <x v="1"/>
    <x v="3"/>
    <x v="2"/>
    <x v="37"/>
  </r>
  <r>
    <x v="6"/>
    <d v="2025-07-19T22:18:00"/>
    <s v="Pedidosya Cl"/>
    <n v="8979"/>
    <x v="1"/>
    <x v="3"/>
    <x v="1"/>
    <x v="6"/>
  </r>
  <r>
    <x v="6"/>
    <d v="2025-07-19T18:51:00"/>
    <s v="Lider.cl Tienda"/>
    <n v="29436"/>
    <x v="1"/>
    <x v="3"/>
    <x v="1"/>
    <x v="6"/>
  </r>
  <r>
    <x v="6"/>
    <d v="2025-07-19T16:01:00"/>
    <s v="Tuu*coppermel"/>
    <n v="1300"/>
    <x v="1"/>
    <x v="3"/>
    <x v="1"/>
    <x v="11"/>
  </r>
  <r>
    <x v="6"/>
    <d v="2025-07-19T15:59:00"/>
    <s v="Mercadopago *In"/>
    <n v="6000"/>
    <x v="1"/>
    <x v="3"/>
    <x v="1"/>
    <x v="11"/>
  </r>
  <r>
    <x v="6"/>
    <d v="2025-07-19T15:44:00"/>
    <s v="Mercadopago *In"/>
    <n v="7000"/>
    <x v="1"/>
    <x v="3"/>
    <x v="1"/>
    <x v="11"/>
  </r>
  <r>
    <x v="6"/>
    <d v="2025-07-19T14:49:00"/>
    <s v="Farm Belen"/>
    <n v="8720"/>
    <x v="1"/>
    <x v="3"/>
    <x v="1"/>
    <x v="24"/>
  </r>
  <r>
    <x v="6"/>
    <d v="2025-07-18T20:22:00"/>
    <s v="S10 Travesia Santiago Chl"/>
    <n v="23545"/>
    <x v="1"/>
    <x v="1"/>
    <x v="1"/>
    <x v="11"/>
  </r>
  <r>
    <x v="6"/>
    <d v="2025-07-18T17:34:00"/>
    <s v="Mercadopago *Pastholz Las Condes Chl"/>
    <n v="23250"/>
    <x v="1"/>
    <x v="1"/>
    <x v="1"/>
    <x v="11"/>
  </r>
  <r>
    <x v="6"/>
    <d v="2025-07-18T17:15:00"/>
    <s v="Soluciones Nutricional Maipo Chl"/>
    <n v="2500"/>
    <x v="1"/>
    <x v="1"/>
    <x v="1"/>
    <x v="8"/>
  </r>
  <r>
    <x v="6"/>
    <d v="2025-07-18T12:52:00"/>
    <s v="Merpago*autoser"/>
    <n v="1850"/>
    <x v="1"/>
    <x v="3"/>
    <x v="1"/>
    <x v="3"/>
  </r>
  <r>
    <x v="6"/>
    <d v="2025-07-17T14:52:00"/>
    <s v="Idj Servicios E Invers Elqui Chl"/>
    <n v="6290"/>
    <x v="1"/>
    <x v="1"/>
    <x v="1"/>
    <x v="36"/>
  </r>
  <r>
    <x v="6"/>
    <d v="2025-07-17T12:19:00"/>
    <s v="Transferencia En Linea A Otro Banco Fernando Arriagada Tapp"/>
    <n v="10000"/>
    <x v="1"/>
    <x v="1"/>
    <x v="1"/>
    <x v="15"/>
  </r>
  <r>
    <x v="6"/>
    <d v="2025-07-17T06:58:00"/>
    <s v="Mc Donalds Santiago Chl"/>
    <n v="3000"/>
    <x v="1"/>
    <x v="1"/>
    <x v="1"/>
    <x v="36"/>
  </r>
  <r>
    <x v="6"/>
    <d v="2025-07-17T00:00:00"/>
    <s v="Payu *Uber Trip"/>
    <n v="1528"/>
    <x v="1"/>
    <x v="3"/>
    <x v="1"/>
    <x v="2"/>
  </r>
  <r>
    <x v="6"/>
    <d v="2025-07-17T00:00:00"/>
    <s v="Hip Lider Ovalle"/>
    <n v="3770"/>
    <x v="1"/>
    <x v="3"/>
    <x v="1"/>
    <x v="36"/>
  </r>
  <r>
    <x v="6"/>
    <d v="2025-07-17T00:00:00"/>
    <s v="Copec App"/>
    <n v="14321"/>
    <x v="1"/>
    <x v="3"/>
    <x v="1"/>
    <x v="36"/>
  </r>
  <r>
    <x v="6"/>
    <d v="2025-07-17T00:00:00"/>
    <s v="Unimarc Rojas Magall"/>
    <n v="6570"/>
    <x v="1"/>
    <x v="3"/>
    <x v="1"/>
    <x v="6"/>
  </r>
  <r>
    <x v="6"/>
    <d v="2025-07-16T18:58:00"/>
    <s v="Unimarc Rojas Magallan Santiago Chl"/>
    <n v="56507"/>
    <x v="1"/>
    <x v="1"/>
    <x v="1"/>
    <x v="6"/>
  </r>
  <r>
    <x v="6"/>
    <d v="2025-07-16T17:43:00"/>
    <s v="La Casita De Las Alema Santiago Chl"/>
    <n v="37873"/>
    <x v="1"/>
    <x v="1"/>
    <x v="1"/>
    <x v="10"/>
  </r>
  <r>
    <x v="6"/>
    <d v="2025-07-16T16:22:00"/>
    <s v="Soluciones Nutricional Maipo Chl"/>
    <n v="60000"/>
    <x v="1"/>
    <x v="1"/>
    <x v="2"/>
    <x v="8"/>
  </r>
  <r>
    <x v="6"/>
    <d v="2025-07-16T14:16:00"/>
    <s v="Mc Donalds Santiago Chl"/>
    <n v="16660"/>
    <x v="1"/>
    <x v="1"/>
    <x v="1"/>
    <x v="10"/>
  </r>
  <r>
    <x v="6"/>
    <d v="2025-07-15T20:59:00"/>
    <s v="Transferencia En Linea A Otro Banco Tania Rojas Garrido"/>
    <n v="5000"/>
    <x v="1"/>
    <x v="1"/>
    <x v="1"/>
    <x v="8"/>
  </r>
  <r>
    <x v="6"/>
    <d v="2025-07-15T17:09:00"/>
    <s v="Heladomania Santiago Chl"/>
    <n v="3000"/>
    <x v="1"/>
    <x v="1"/>
    <x v="1"/>
    <x v="2"/>
  </r>
  <r>
    <x v="6"/>
    <d v="2025-07-15T00:00:00"/>
    <s v="Sabor Del Bueno"/>
    <n v="8250"/>
    <x v="1"/>
    <x v="3"/>
    <x v="1"/>
    <x v="36"/>
  </r>
  <r>
    <x v="6"/>
    <d v="2025-07-15T00:00:00"/>
    <s v="Martita"/>
    <n v="1000"/>
    <x v="1"/>
    <x v="3"/>
    <x v="1"/>
    <x v="36"/>
  </r>
  <r>
    <x v="6"/>
    <d v="2025-07-15T00:00:00"/>
    <s v="Maravillas Del Sur"/>
    <n v="1500"/>
    <x v="1"/>
    <x v="3"/>
    <x v="1"/>
    <x v="36"/>
  </r>
  <r>
    <x v="6"/>
    <d v="2025-07-15T00:00:00"/>
    <s v="Del Sur Reconquista"/>
    <n v="3400"/>
    <x v="1"/>
    <x v="3"/>
    <x v="1"/>
    <x v="36"/>
  </r>
  <r>
    <x v="6"/>
    <d v="2025-07-15T00:00:00"/>
    <s v="Copec App"/>
    <n v="17425"/>
    <x v="1"/>
    <x v="3"/>
    <x v="1"/>
    <x v="36"/>
  </r>
  <r>
    <x v="6"/>
    <d v="2025-07-14T15:42:00"/>
    <s v="Heladomania Santiago Chl"/>
    <n v="3700"/>
    <x v="1"/>
    <x v="1"/>
    <x v="1"/>
    <x v="2"/>
  </r>
  <r>
    <x v="6"/>
    <d v="2025-07-14T13:31:00"/>
    <s v="Mercadopago *Matos Las Condes Chl"/>
    <n v="62960"/>
    <x v="1"/>
    <x v="1"/>
    <x v="1"/>
    <x v="1"/>
  </r>
  <r>
    <x v="6"/>
    <d v="2025-07-14T13:20:00"/>
    <s v="Heladomania Santiago Chl"/>
    <n v="2700"/>
    <x v="1"/>
    <x v="1"/>
    <x v="1"/>
    <x v="2"/>
  </r>
  <r>
    <x v="6"/>
    <d v="2025-07-14T00:00:00"/>
    <s v="Mercadopago *Fitfood"/>
    <n v="1190"/>
    <x v="1"/>
    <x v="3"/>
    <x v="1"/>
    <x v="3"/>
  </r>
  <r>
    <x v="6"/>
    <d v="2025-07-14T00:00:00"/>
    <s v="Casino Casa Matriz"/>
    <n v="3700"/>
    <x v="1"/>
    <x v="3"/>
    <x v="1"/>
    <x v="3"/>
  </r>
  <r>
    <x v="6"/>
    <d v="2025-07-13T00:08:00"/>
    <s v="Autopista Centr"/>
    <n v="40328"/>
    <x v="1"/>
    <x v="3"/>
    <x v="2"/>
    <x v="37"/>
  </r>
  <r>
    <x v="6"/>
    <d v="2025-07-13T00:08:00"/>
    <s v="Unired Cl Costa"/>
    <n v="9857"/>
    <x v="1"/>
    <x v="3"/>
    <x v="2"/>
    <x v="37"/>
  </r>
  <r>
    <x v="6"/>
    <d v="2025-07-13T00:08:00"/>
    <s v="Unired Cl Vespu"/>
    <n v="10060"/>
    <x v="1"/>
    <x v="3"/>
    <x v="2"/>
    <x v="37"/>
  </r>
  <r>
    <x v="6"/>
    <d v="2025-07-13T00:08:00"/>
    <s v="Unired Cl Vespu"/>
    <n v="49625"/>
    <x v="1"/>
    <x v="3"/>
    <x v="2"/>
    <x v="37"/>
  </r>
  <r>
    <x v="6"/>
    <d v="2025-07-13T00:08:00"/>
    <s v="Vespucio Orient"/>
    <n v="7360"/>
    <x v="1"/>
    <x v="3"/>
    <x v="2"/>
    <x v="37"/>
  </r>
  <r>
    <x v="6"/>
    <d v="2025-07-12T23:54:00"/>
    <s v="Neat Colegio"/>
    <n v="232943"/>
    <x v="1"/>
    <x v="3"/>
    <x v="2"/>
    <x v="1"/>
  </r>
  <r>
    <x v="6"/>
    <d v="2025-07-12T23:45:00"/>
    <s v="Neat Gasto Comu"/>
    <n v="175413"/>
    <x v="1"/>
    <x v="3"/>
    <x v="2"/>
    <x v="27"/>
  </r>
  <r>
    <x v="6"/>
    <d v="2025-07-12T23:43:00"/>
    <s v="Neat Cuentas Ba"/>
    <n v="47980"/>
    <x v="1"/>
    <x v="3"/>
    <x v="2"/>
    <x v="26"/>
  </r>
  <r>
    <x v="6"/>
    <d v="2025-07-12T20:13:00"/>
    <s v="Sumup * Juan Ci"/>
    <n v="3500"/>
    <x v="1"/>
    <x v="3"/>
    <x v="1"/>
    <x v="2"/>
  </r>
  <r>
    <x v="6"/>
    <d v="2025-07-12T19:47:00"/>
    <s v="Barber Shop Pza"/>
    <n v="17990"/>
    <x v="1"/>
    <x v="3"/>
    <x v="1"/>
    <x v="24"/>
  </r>
  <r>
    <x v="6"/>
    <d v="2025-07-12T19:12:00"/>
    <s v="Paris Mall Plaz"/>
    <n v="19990"/>
    <x v="1"/>
    <x v="3"/>
    <x v="1"/>
    <x v="12"/>
  </r>
  <r>
    <x v="6"/>
    <d v="2025-07-12T18:57:00"/>
    <s v="Ripley Plaza Vespucio Santiago Chl"/>
    <n v="6990"/>
    <x v="1"/>
    <x v="1"/>
    <x v="1"/>
    <x v="24"/>
  </r>
  <r>
    <x v="6"/>
    <d v="2025-07-12T18:52:00"/>
    <s v="Ripley Plaza Ve"/>
    <n v="20990"/>
    <x v="1"/>
    <x v="3"/>
    <x v="1"/>
    <x v="24"/>
  </r>
  <r>
    <x v="6"/>
    <d v="2025-07-12T17:25:00"/>
    <s v="Mercadopago *La"/>
    <n v="8569"/>
    <x v="1"/>
    <x v="3"/>
    <x v="1"/>
    <x v="10"/>
  </r>
  <r>
    <x v="6"/>
    <d v="2025-07-12T17:22:00"/>
    <s v="Redgloba*macarons Rich Huechuraba Chl"/>
    <n v="2000"/>
    <x v="1"/>
    <x v="1"/>
    <x v="1"/>
    <x v="10"/>
  </r>
  <r>
    <x v="6"/>
    <d v="2025-07-12T17:17:00"/>
    <s v="Mercadopago *Pagoyacl Las Condes Chl"/>
    <n v="1000"/>
    <x v="1"/>
    <x v="1"/>
    <x v="1"/>
    <x v="2"/>
  </r>
  <r>
    <x v="6"/>
    <d v="2025-07-12T16:48:00"/>
    <s v="Merpago*restaurant Ari Santiago Chl"/>
    <n v="1500"/>
    <x v="1"/>
    <x v="1"/>
    <x v="1"/>
    <x v="2"/>
  </r>
  <r>
    <x v="6"/>
    <d v="2025-07-12T16:45:00"/>
    <s v="Merpago*restaur"/>
    <n v="15300"/>
    <x v="1"/>
    <x v="3"/>
    <x v="1"/>
    <x v="10"/>
  </r>
  <r>
    <x v="6"/>
    <d v="2025-07-12T16:24:00"/>
    <s v="Merpago*luperca"/>
    <n v="2000"/>
    <x v="1"/>
    <x v="3"/>
    <x v="1"/>
    <x v="10"/>
  </r>
  <r>
    <x v="6"/>
    <d v="2025-07-12T16:03:00"/>
    <s v="Bobibobi Mut"/>
    <n v="3800"/>
    <x v="1"/>
    <x v="3"/>
    <x v="1"/>
    <x v="10"/>
  </r>
  <r>
    <x v="6"/>
    <d v="2025-07-12T15:09:00"/>
    <s v="Integra Laser"/>
    <n v="149900"/>
    <x v="1"/>
    <x v="3"/>
    <x v="1"/>
    <x v="8"/>
  </r>
  <r>
    <x v="6"/>
    <d v="2025-07-12T00:00:00"/>
    <s v="COMPRA BOBIBOBI MUT*"/>
    <n v="7890"/>
    <x v="1"/>
    <x v="3"/>
    <x v="1"/>
    <x v="10"/>
  </r>
  <r>
    <x v="6"/>
    <d v="2025-07-12T00:00:00"/>
    <s v="COMPRA MERPAGO*DUNKIN FAGASE*"/>
    <n v="8080"/>
    <x v="1"/>
    <x v="3"/>
    <x v="1"/>
    <x v="10"/>
  </r>
  <r>
    <x v="6"/>
    <d v="2025-07-11T23:16:00"/>
    <s v="Copec App"/>
    <n v="5890"/>
    <x v="1"/>
    <x v="3"/>
    <x v="1"/>
    <x v="2"/>
  </r>
  <r>
    <x v="6"/>
    <d v="2025-07-11T18:27:00"/>
    <s v="C Mayorista San Luis D Santiago Chl"/>
    <n v="91430"/>
    <x v="1"/>
    <x v="1"/>
    <x v="1"/>
    <x v="6"/>
  </r>
  <r>
    <x v="6"/>
    <d v="2025-07-11T11:55:00"/>
    <s v="Mercadopago *Pa"/>
    <n v="16190"/>
    <x v="1"/>
    <x v="3"/>
    <x v="1"/>
    <x v="10"/>
  </r>
  <r>
    <x v="6"/>
    <d v="2025-07-11T09:48:00"/>
    <s v="Neat Cuentas Ba"/>
    <n v="226901"/>
    <x v="1"/>
    <x v="3"/>
    <x v="2"/>
    <x v="26"/>
  </r>
  <r>
    <x v="6"/>
    <d v="2025-07-11T00:00:00"/>
    <s v="COMPRA HELADOMANIA*"/>
    <n v="2800"/>
    <x v="1"/>
    <x v="3"/>
    <x v="1"/>
    <x v="2"/>
  </r>
  <r>
    <x v="6"/>
    <d v="2025-07-10T15:41:00"/>
    <s v="Heladomania Santiago Chl"/>
    <n v="4600"/>
    <x v="1"/>
    <x v="1"/>
    <x v="1"/>
    <x v="2"/>
  </r>
  <r>
    <x v="6"/>
    <d v="2025-07-10T14:24:00"/>
    <s v="Transferencia En Linea A Otro Banco Fernando Arriagada Tapp"/>
    <n v="15000"/>
    <x v="1"/>
    <x v="1"/>
    <x v="1"/>
    <x v="36"/>
  </r>
  <r>
    <x v="6"/>
    <d v="2025-07-10T09:50:00"/>
    <s v="Transferencia En Linea A Otro Banco Katherine Valdes"/>
    <n v="10000"/>
    <x v="1"/>
    <x v="1"/>
    <x v="1"/>
    <x v="36"/>
  </r>
  <r>
    <x v="6"/>
    <d v="2025-07-10T09:03:00"/>
    <s v="Transferencia En Linea A Otro Banco Fernando Arriagada Tapp"/>
    <n v="10000"/>
    <x v="1"/>
    <x v="1"/>
    <x v="1"/>
    <x v="15"/>
  </r>
  <r>
    <x v="6"/>
    <d v="2025-07-10T00:00:00"/>
    <s v="COMPRA SERGIO ALEJANDRO BRAVO"/>
    <n v="4800"/>
    <x v="1"/>
    <x v="3"/>
    <x v="1"/>
    <x v="2"/>
  </r>
  <r>
    <x v="6"/>
    <d v="2025-07-10T00:00:00"/>
    <s v="COMPRA FACE MOVIL"/>
    <n v="7990"/>
    <x v="1"/>
    <x v="3"/>
    <x v="1"/>
    <x v="2"/>
  </r>
  <r>
    <x v="6"/>
    <d v="2025-07-10T00:00:00"/>
    <s v="COMPRA UPA! F246 MOSTAZAL"/>
    <n v="6890"/>
    <x v="1"/>
    <x v="3"/>
    <x v="1"/>
    <x v="36"/>
  </r>
  <r>
    <x v="6"/>
    <d v="2025-07-10T00:00:00"/>
    <s v="COMPRA EDS RENGO CARRETERA"/>
    <n v="49918"/>
    <x v="1"/>
    <x v="3"/>
    <x v="1"/>
    <x v="36"/>
  </r>
  <r>
    <x v="6"/>
    <d v="2025-07-10T00:00:00"/>
    <s v="COMPRA DON HUMBERTO LA FLO"/>
    <n v="17880"/>
    <x v="1"/>
    <x v="3"/>
    <x v="1"/>
    <x v="10"/>
  </r>
  <r>
    <x v="6"/>
    <d v="2025-07-10T00:00:00"/>
    <s v="COMPRA ENTRE LALOS"/>
    <n v="6700"/>
    <x v="1"/>
    <x v="3"/>
    <x v="1"/>
    <x v="10"/>
  </r>
  <r>
    <x v="6"/>
    <d v="2025-07-10T00:00:00"/>
    <s v="Don Humberto La Flor"/>
    <n v="1590"/>
    <x v="1"/>
    <x v="3"/>
    <x v="1"/>
    <x v="10"/>
  </r>
  <r>
    <x v="6"/>
    <d v="2025-07-09T21:51:00"/>
    <s v="Sociedad Adminis - Proveedores"/>
    <n v="-2068811"/>
    <x v="0"/>
    <x v="0"/>
    <x v="0"/>
    <x v="38"/>
  </r>
  <r>
    <x v="6"/>
    <d v="2025-07-09T15:40:00"/>
    <s v="Heladomania Santiago Chl"/>
    <n v="2000"/>
    <x v="1"/>
    <x v="1"/>
    <x v="1"/>
    <x v="2"/>
  </r>
  <r>
    <x v="6"/>
    <d v="2025-07-09T13:22:00"/>
    <s v="Marcos Andres Espinoza Santiago Chl"/>
    <n v="4490"/>
    <x v="1"/>
    <x v="1"/>
    <x v="1"/>
    <x v="2"/>
  </r>
  <r>
    <x v="6"/>
    <d v="2025-07-09T13:19:00"/>
    <s v="Heladomania Santiago Chl"/>
    <n v="1000"/>
    <x v="1"/>
    <x v="1"/>
    <x v="1"/>
    <x v="2"/>
  </r>
  <r>
    <x v="6"/>
    <d v="2025-07-09T13:08:00"/>
    <s v="Nico Gas La Florida Santiago Chl"/>
    <n v="26550"/>
    <x v="1"/>
    <x v="1"/>
    <x v="1"/>
    <x v="14"/>
  </r>
  <r>
    <x v="6"/>
    <d v="2025-07-09T00:00:00"/>
    <s v="Mercadopago *Fitfood"/>
    <n v="1190"/>
    <x v="1"/>
    <x v="3"/>
    <x v="1"/>
    <x v="3"/>
  </r>
  <r>
    <x v="6"/>
    <d v="2025-07-09T00:00:00"/>
    <s v="Merpago*autoservicio"/>
    <n v="3700"/>
    <x v="1"/>
    <x v="3"/>
    <x v="1"/>
    <x v="3"/>
  </r>
  <r>
    <x v="6"/>
    <d v="2025-07-09T00:00:00"/>
    <s v="Merpago*autoservicio"/>
    <n v="1800"/>
    <x v="1"/>
    <x v="3"/>
    <x v="1"/>
    <x v="3"/>
  </r>
  <r>
    <x v="6"/>
    <d v="2025-07-09T00:00:00"/>
    <s v="COMPRA Parking Mallplaza"/>
    <n v="350"/>
    <x v="1"/>
    <x v="3"/>
    <x v="1"/>
    <x v="19"/>
  </r>
  <r>
    <x v="6"/>
    <d v="2025-07-08T18:31:00"/>
    <s v="Google *Google One 650-253-0000 Usa"/>
    <n v="1790"/>
    <x v="1"/>
    <x v="1"/>
    <x v="2"/>
    <x v="17"/>
  </r>
  <r>
    <x v="6"/>
    <d v="2025-07-08T13:22:00"/>
    <s v="Marcos Andres Espinoza Santiago Chl"/>
    <n v="2500"/>
    <x v="1"/>
    <x v="1"/>
    <x v="1"/>
    <x v="2"/>
  </r>
  <r>
    <x v="6"/>
    <d v="2025-07-08T13:22:00"/>
    <s v="Transferencia En Linea A Otro Banco Fernando Arriagada Tapp"/>
    <n v="10000"/>
    <x v="1"/>
    <x v="1"/>
    <x v="1"/>
    <x v="36"/>
  </r>
  <r>
    <x v="6"/>
    <d v="2025-07-08T13:19:00"/>
    <s v="Heladomania Santiago Chl"/>
    <n v="1000"/>
    <x v="1"/>
    <x v="1"/>
    <x v="1"/>
    <x v="2"/>
  </r>
  <r>
    <x v="6"/>
    <d v="2025-07-08T06:05:00"/>
    <s v="Mc Donalds Santiago Chl"/>
    <n v="3390"/>
    <x v="1"/>
    <x v="1"/>
    <x v="1"/>
    <x v="36"/>
  </r>
  <r>
    <x v="6"/>
    <d v="2025-07-08T00:00:00"/>
    <s v="Maravillas Del Sur"/>
    <n v="2500"/>
    <x v="1"/>
    <x v="3"/>
    <x v="1"/>
    <x v="3"/>
  </r>
  <r>
    <x v="6"/>
    <d v="2025-07-08T00:00:00"/>
    <s v="Sumup * Sociedad Con"/>
    <n v="1650"/>
    <x v="1"/>
    <x v="3"/>
    <x v="1"/>
    <x v="3"/>
  </r>
  <r>
    <x v="6"/>
    <d v="2025-07-08T00:00:00"/>
    <s v="Copec App"/>
    <n v="36095"/>
    <x v="1"/>
    <x v="3"/>
    <x v="1"/>
    <x v="36"/>
  </r>
  <r>
    <x v="6"/>
    <d v="2025-07-08T00:00:00"/>
    <s v="Hangaroa Plaza"/>
    <n v="9900"/>
    <x v="1"/>
    <x v="3"/>
    <x v="1"/>
    <x v="36"/>
  </r>
  <r>
    <x v="6"/>
    <d v="2025-07-08T00:00:00"/>
    <s v="Sajaki Sushi"/>
    <n v="14200"/>
    <x v="1"/>
    <x v="3"/>
    <x v="1"/>
    <x v="10"/>
  </r>
  <r>
    <x v="6"/>
    <d v="2025-07-07T22:47:00"/>
    <s v="Transferencia En Linea A Otro Banco Soluciones Nutriciones Y Fisicas Spa"/>
    <n v="6800"/>
    <x v="1"/>
    <x v="1"/>
    <x v="1"/>
    <x v="8"/>
  </r>
  <r>
    <x v="6"/>
    <d v="2025-07-07T00:00:00"/>
    <s v="Casino Casa Matriz"/>
    <n v="3700"/>
    <x v="1"/>
    <x v="3"/>
    <x v="1"/>
    <x v="3"/>
  </r>
  <r>
    <x v="6"/>
    <d v="2025-07-07T00:00:00"/>
    <s v="Mercadopago *Fitfood"/>
    <n v="1190"/>
    <x v="1"/>
    <x v="3"/>
    <x v="1"/>
    <x v="3"/>
  </r>
  <r>
    <x v="6"/>
    <d v="2025-07-07T00:00:00"/>
    <s v="Farmacias Tobalaba"/>
    <n v="11480"/>
    <x v="1"/>
    <x v="3"/>
    <x v="1"/>
    <x v="24"/>
  </r>
  <r>
    <x v="6"/>
    <d v="2025-07-06T19:58:00"/>
    <s v="Hip Lider Nos"/>
    <n v="87307"/>
    <x v="1"/>
    <x v="3"/>
    <x v="1"/>
    <x v="6"/>
  </r>
  <r>
    <x v="6"/>
    <d v="2025-07-05T21:52:00"/>
    <s v="Sumup * Brotherwood La Santiago Chl"/>
    <n v="32670"/>
    <x v="1"/>
    <x v="1"/>
    <x v="1"/>
    <x v="10"/>
  </r>
  <r>
    <x v="6"/>
    <d v="2025-07-05T19:01:00"/>
    <s v="Parking Costane"/>
    <n v="1250"/>
    <x v="1"/>
    <x v="3"/>
    <x v="1"/>
    <x v="19"/>
  </r>
  <r>
    <x v="6"/>
    <d v="2025-07-05T18:30:00"/>
    <s v="Millefleur Bakery Santiago Chl"/>
    <n v="10470"/>
    <x v="1"/>
    <x v="1"/>
    <x v="1"/>
    <x v="10"/>
  </r>
  <r>
    <x v="6"/>
    <d v="2025-07-05T17:48:00"/>
    <s v="Soluciones Nutricional Maipo Chl"/>
    <n v="110000"/>
    <x v="1"/>
    <x v="1"/>
    <x v="2"/>
    <x v="8"/>
  </r>
  <r>
    <x v="6"/>
    <d v="2025-07-05T14:33:00"/>
    <s v="Mercadopago *Ccuvendi Las Condes Chl"/>
    <n v="1600"/>
    <x v="1"/>
    <x v="1"/>
    <x v="1"/>
    <x v="2"/>
  </r>
  <r>
    <x v="6"/>
    <d v="2025-07-05T14:20:00"/>
    <s v="Pedro De Valdivia 3 Santiago Chl"/>
    <n v="3180"/>
    <x v="1"/>
    <x v="1"/>
    <x v="1"/>
    <x v="3"/>
  </r>
  <r>
    <x v="6"/>
    <d v="2025-07-05T13:24:00"/>
    <s v="Glorissima Santiago Chl"/>
    <n v="5000"/>
    <x v="1"/>
    <x v="1"/>
    <x v="1"/>
    <x v="12"/>
  </r>
  <r>
    <x v="6"/>
    <d v="2025-07-05T11:28:00"/>
    <s v="Mercadopago *El"/>
    <n v="6000"/>
    <x v="1"/>
    <x v="3"/>
    <x v="1"/>
    <x v="2"/>
  </r>
  <r>
    <x v="6"/>
    <d v="2025-07-04T21:59:00"/>
    <s v="Payu *Uber Trip Santiago Chl"/>
    <n v="3294"/>
    <x v="1"/>
    <x v="1"/>
    <x v="1"/>
    <x v="2"/>
  </r>
  <r>
    <x v="6"/>
    <d v="2025-07-04T20:52:00"/>
    <s v="Shell.tobalaba11835.t1 Santiago Chl"/>
    <n v="1890"/>
    <x v="1"/>
    <x v="1"/>
    <x v="1"/>
    <x v="2"/>
  </r>
  <r>
    <x v="6"/>
    <d v="2025-07-04T14:41:00"/>
    <s v="Merpago*eltomecino La Florida Chl"/>
    <n v="3130"/>
    <x v="1"/>
    <x v="1"/>
    <x v="1"/>
    <x v="2"/>
  </r>
  <r>
    <x v="6"/>
    <d v="2025-07-04T12:10:00"/>
    <s v="Payu *Uber Trip Santiago Chl"/>
    <n v="2498"/>
    <x v="1"/>
    <x v="1"/>
    <x v="1"/>
    <x v="2"/>
  </r>
  <r>
    <x v="6"/>
    <d v="2025-07-04T12:06:00"/>
    <s v="Weide Santiago Chl"/>
    <n v="48184"/>
    <x v="1"/>
    <x v="1"/>
    <x v="1"/>
    <x v="12"/>
  </r>
  <r>
    <x v="6"/>
    <d v="2025-07-04T00:00:00"/>
    <s v="Mercadopago *Fitfood"/>
    <n v="1190"/>
    <x v="1"/>
    <x v="3"/>
    <x v="1"/>
    <x v="3"/>
  </r>
  <r>
    <x v="6"/>
    <d v="2025-07-04T00:00:00"/>
    <s v="Neat Cuentas Basicas"/>
    <n v="61773"/>
    <x v="1"/>
    <x v="3"/>
    <x v="2"/>
    <x v="26"/>
  </r>
  <r>
    <x v="6"/>
    <d v="2025-07-03T00:00:00"/>
    <s v="Merpago*autoservicio"/>
    <n v="3700"/>
    <x v="1"/>
    <x v="3"/>
    <x v="1"/>
    <x v="3"/>
  </r>
  <r>
    <x v="6"/>
    <d v="2025-07-03T00:00:00"/>
    <s v="Valle Sur"/>
    <n v="3300"/>
    <x v="1"/>
    <x v="3"/>
    <x v="1"/>
    <x v="19"/>
  </r>
  <r>
    <x v="6"/>
    <d v="2025-07-03T00:00:00"/>
    <s v="Dulce Aroma"/>
    <n v="8140"/>
    <x v="1"/>
    <x v="3"/>
    <x v="1"/>
    <x v="2"/>
  </r>
  <r>
    <x v="6"/>
    <d v="2025-07-03T00:00:00"/>
    <s v="Hip Lider San Pablo"/>
    <n v="9621"/>
    <x v="1"/>
    <x v="3"/>
    <x v="1"/>
    <x v="6"/>
  </r>
  <r>
    <x v="6"/>
    <d v="2025-07-02T00:00:00"/>
    <s v="Casino Casa Matriz"/>
    <n v="3900"/>
    <x v="1"/>
    <x v="3"/>
    <x v="1"/>
    <x v="3"/>
  </r>
  <r>
    <x v="6"/>
    <d v="2025-07-02T00:00:00"/>
    <s v="Neat Arriendo"/>
    <n v="712088"/>
    <x v="1"/>
    <x v="3"/>
    <x v="2"/>
    <x v="22"/>
  </r>
  <r>
    <x v="6"/>
    <d v="2025-07-01T08:19:00"/>
    <s v="Transferencia En Linea A Otro Banco Fernando Arriagada"/>
    <n v="20000"/>
    <x v="1"/>
    <x v="1"/>
    <x v="1"/>
    <x v="15"/>
  </r>
  <r>
    <x v="6"/>
    <d v="2025-07-01T00:00:00"/>
    <s v="Donde Manico"/>
    <n v="6700"/>
    <x v="1"/>
    <x v="3"/>
    <x v="1"/>
    <x v="3"/>
  </r>
  <r>
    <x v="6"/>
    <d v="2025-07-01T00:00:00"/>
    <s v="Cine Hoyts Vivo Outl"/>
    <n v="20740"/>
    <x v="1"/>
    <x v="3"/>
    <x v="1"/>
    <x v="17"/>
  </r>
  <r>
    <x v="6"/>
    <d v="2025-07-01T00:00:00"/>
    <s v="Cinepolis Web"/>
    <n v="12320"/>
    <x v="1"/>
    <x v="3"/>
    <x v="1"/>
    <x v="17"/>
  </r>
  <r>
    <x v="6"/>
    <d v="2025-07-01T00:00:00"/>
    <s v="Payscan*snack Center"/>
    <n v="1600"/>
    <x v="1"/>
    <x v="3"/>
    <x v="1"/>
    <x v="17"/>
  </r>
  <r>
    <x v="6"/>
    <d v="2025-07-01T00:00:00"/>
    <s v="Payscan*snack Center"/>
    <n v="800"/>
    <x v="1"/>
    <x v="3"/>
    <x v="1"/>
    <x v="17"/>
  </r>
  <r>
    <x v="6"/>
    <d v="2025-07-01T00:00:00"/>
    <s v="Payscan*snack Center"/>
    <n v="600"/>
    <x v="1"/>
    <x v="3"/>
    <x v="1"/>
    <x v="17"/>
  </r>
  <r>
    <x v="6"/>
    <d v="2025-07-01T00:00:00"/>
    <s v="Payscan*snack Center"/>
    <n v="600"/>
    <x v="1"/>
    <x v="3"/>
    <x v="1"/>
    <x v="17"/>
  </r>
  <r>
    <x v="6"/>
    <d v="2025-07-01T00:00:00"/>
    <s v="Pedidosya Cl Plus"/>
    <n v="1449"/>
    <x v="1"/>
    <x v="3"/>
    <x v="2"/>
    <x v="4"/>
  </r>
  <r>
    <x v="6"/>
    <d v="2025-06-30T20:46:00"/>
    <s v="Pedidosya Cl"/>
    <n v="15450"/>
    <x v="1"/>
    <x v="3"/>
    <x v="1"/>
    <x v="10"/>
  </r>
  <r>
    <x v="6"/>
    <d v="2025-06-30T20:34:00"/>
    <s v="Hip Lider Depar"/>
    <n v="113359"/>
    <x v="1"/>
    <x v="3"/>
    <x v="1"/>
    <x v="6"/>
  </r>
  <r>
    <x v="6"/>
    <d v="2025-06-30T13:03:00"/>
    <s v="Casino Casa Matriz Santiago Chl"/>
    <n v="3700"/>
    <x v="1"/>
    <x v="1"/>
    <x v="1"/>
    <x v="3"/>
  </r>
  <r>
    <x v="6"/>
    <d v="2025-06-28T14:27:00"/>
    <s v="Saba Guardia Vieja Santiago Chl"/>
    <n v="3300"/>
    <x v="1"/>
    <x v="1"/>
    <x v="1"/>
    <x v="19"/>
  </r>
  <r>
    <x v="6"/>
    <d v="2025-06-28T14:24:00"/>
    <s v="Aparicio &amp; Sarmiento Nunoa Chl"/>
    <n v="3000"/>
    <x v="1"/>
    <x v="1"/>
    <x v="1"/>
    <x v="3"/>
  </r>
  <r>
    <x v="6"/>
    <d v="2025-06-28T14:17:00"/>
    <s v="Familyshop Santiago Chl"/>
    <n v="41460"/>
    <x v="1"/>
    <x v="1"/>
    <x v="1"/>
    <x v="12"/>
  </r>
  <r>
    <x v="6"/>
    <d v="2025-06-28T13:58:00"/>
    <s v="Sioux Mall Panoramic Santiago Chl"/>
    <n v="41980"/>
    <x v="1"/>
    <x v="1"/>
    <x v="1"/>
    <x v="12"/>
  </r>
  <r>
    <x v="6"/>
    <d v="2025-06-28T13:10:00"/>
    <s v="Bella Estetica Y Sal Santiago Chl"/>
    <n v="50000"/>
    <x v="1"/>
    <x v="1"/>
    <x v="1"/>
    <x v="24"/>
  </r>
  <r>
    <x v="6"/>
    <d v="2025-06-28T12:54:00"/>
    <s v="Barros Borgono Santiago Chl"/>
    <n v="5650"/>
    <x v="1"/>
    <x v="1"/>
    <x v="1"/>
    <x v="3"/>
  </r>
  <r>
    <x v="6"/>
    <d v="2025-06-27T20:38:00"/>
    <s v="Hip Lider Santa Amalia Santiago Chl"/>
    <n v="76250"/>
    <x v="1"/>
    <x v="1"/>
    <x v="1"/>
    <x v="6"/>
  </r>
  <r>
    <x v="6"/>
    <d v="2025-06-27T19:36:00"/>
    <s v="Farm Belen La Florida Santiago Chl"/>
    <n v="3990"/>
    <x v="1"/>
    <x v="1"/>
    <x v="1"/>
    <x v="24"/>
  </r>
  <r>
    <x v="6"/>
    <d v="2025-06-27T14:26:00"/>
    <s v="60011 Macul Jose Pa Santiago Chl"/>
    <n v="44445"/>
    <x v="1"/>
    <x v="1"/>
    <x v="1"/>
    <x v="7"/>
  </r>
  <r>
    <x v="6"/>
    <d v="2025-06-27T14:13:00"/>
    <s v="Copec App Santiago Chl"/>
    <n v="1100"/>
    <x v="1"/>
    <x v="1"/>
    <x v="1"/>
    <x v="3"/>
  </r>
  <r>
    <x v="6"/>
    <d v="2025-06-27T13:59:00"/>
    <s v="Copec App Santiago Chl"/>
    <n v="2300"/>
    <x v="1"/>
    <x v="1"/>
    <x v="1"/>
    <x v="3"/>
  </r>
  <r>
    <x v="6"/>
    <d v="2025-06-27T12:21:00"/>
    <s v="Merpago*autoservicio T Huechuraba Chl"/>
    <n v="3300"/>
    <x v="1"/>
    <x v="1"/>
    <x v="1"/>
    <x v="3"/>
  </r>
  <r>
    <x v="6"/>
    <d v="2025-06-26T22:45:00"/>
    <s v="Sermob Limitada - Remuneraciones"/>
    <n v="-1323039"/>
    <x v="0"/>
    <x v="0"/>
    <x v="0"/>
    <x v="28"/>
  </r>
  <r>
    <x v="7"/>
    <d v="2025-06-26T19:41:00"/>
    <s v="Unimarc Rojas Magallan Santiago Chl"/>
    <n v="21595"/>
    <x v="1"/>
    <x v="1"/>
    <x v="1"/>
    <x v="6"/>
  </r>
  <r>
    <x v="7"/>
    <d v="2025-06-26T19:28:00"/>
    <s v="Ahum L541 R.magallan 3 Santiago Chl"/>
    <n v="9099"/>
    <x v="1"/>
    <x v="1"/>
    <x v="1"/>
    <x v="24"/>
  </r>
  <r>
    <x v="7"/>
    <d v="2025-06-26T19:04:00"/>
    <s v="Merpago*eltomecino La Florida Chl"/>
    <n v="2300"/>
    <x v="1"/>
    <x v="1"/>
    <x v="1"/>
    <x v="3"/>
  </r>
  <r>
    <x v="6"/>
    <d v="2025-06-26T00:00:00"/>
    <s v="GASTOS DE COBRANZA"/>
    <n v="5476"/>
    <x v="1"/>
    <x v="3"/>
    <x v="2"/>
    <x v="25"/>
  </r>
  <r>
    <x v="7"/>
    <d v="2025-06-26T00:00:00"/>
    <s v="GASTOS DE COBRANZA"/>
    <n v="5476"/>
    <x v="1"/>
    <x v="3"/>
    <x v="2"/>
    <x v="25"/>
  </r>
  <r>
    <x v="7"/>
    <d v="2025-06-25T22:28:00"/>
    <s v="Transferencia En Linea A Otro Banco Constanza Alvarez"/>
    <n v="3750"/>
    <x v="1"/>
    <x v="1"/>
    <x v="1"/>
    <x v="2"/>
  </r>
  <r>
    <x v="7"/>
    <d v="2025-06-25T21:58:00"/>
    <s v="Sajaki Sushi Santiago Chl"/>
    <n v="17480"/>
    <x v="1"/>
    <x v="1"/>
    <x v="1"/>
    <x v="10"/>
  </r>
  <r>
    <x v="7"/>
    <d v="2025-06-25T21:44:00"/>
    <s v="The Lab Fitness Center Santiago Chl"/>
    <n v="2000"/>
    <x v="1"/>
    <x v="1"/>
    <x v="1"/>
    <x v="2"/>
  </r>
  <r>
    <x v="7"/>
    <d v="2025-06-25T19:57:00"/>
    <s v="Gas Vidal Puente Alto Santiago Chl"/>
    <n v="74750"/>
    <x v="1"/>
    <x v="1"/>
    <x v="1"/>
    <x v="14"/>
  </r>
  <r>
    <x v="7"/>
    <d v="2025-06-25T15:31:00"/>
    <s v="Merpago*autoservicio T Huechuraba Chl"/>
    <n v="1800"/>
    <x v="1"/>
    <x v="1"/>
    <x v="1"/>
    <x v="3"/>
  </r>
  <r>
    <x v="7"/>
    <d v="2025-06-25T12:47:00"/>
    <s v="Casino Casa Matriz Santiago Chl"/>
    <n v="3700"/>
    <x v="1"/>
    <x v="1"/>
    <x v="1"/>
    <x v="3"/>
  </r>
  <r>
    <x v="7"/>
    <d v="2025-06-24T15:53:00"/>
    <s v="Mc Donalds Santiago Chl"/>
    <n v="7390"/>
    <x v="1"/>
    <x v="1"/>
    <x v="1"/>
    <x v="3"/>
  </r>
  <r>
    <x v="7"/>
    <d v="2025-06-24T14:50:00"/>
    <s v="Google *Spotify 650-253-0000 Usa"/>
    <n v="5850"/>
    <x v="1"/>
    <x v="1"/>
    <x v="2"/>
    <x v="4"/>
  </r>
  <r>
    <x v="7"/>
    <d v="2025-06-24T14:07:00"/>
    <s v="Transferencia En Linea A Otro Banco Fernando Arriagada"/>
    <n v="8500"/>
    <x v="1"/>
    <x v="1"/>
    <x v="1"/>
    <x v="15"/>
  </r>
  <r>
    <x v="7"/>
    <d v="2025-06-23T21:01:00"/>
    <s v="Tottus Quilin Santiago Chl"/>
    <n v="23880"/>
    <x v="1"/>
    <x v="1"/>
    <x v="1"/>
    <x v="6"/>
  </r>
  <r>
    <x v="7"/>
    <d v="2025-06-23T20:36:00"/>
    <s v="Transferencia En Linea A Otro Banco Fernando Arriagada"/>
    <n v="15000"/>
    <x v="1"/>
    <x v="1"/>
    <x v="1"/>
    <x v="15"/>
  </r>
  <r>
    <x v="7"/>
    <d v="2025-06-23T18:53:00"/>
    <s v="Unimarc Consistorial Santiago Chl"/>
    <n v="2700"/>
    <x v="1"/>
    <x v="1"/>
    <x v="1"/>
    <x v="6"/>
  </r>
  <r>
    <x v="7"/>
    <d v="2025-06-23T18:39:00"/>
    <s v="Shell Tobalaba 10831 F Santiago Chl"/>
    <n v="5381"/>
    <x v="1"/>
    <x v="1"/>
    <x v="1"/>
    <x v="7"/>
  </r>
  <r>
    <x v="7"/>
    <d v="2025-06-23T13:35:00"/>
    <s v="Merpago*autoservicio T Huechuraba Chl"/>
    <n v="3700"/>
    <x v="1"/>
    <x v="1"/>
    <x v="1"/>
    <x v="3"/>
  </r>
  <r>
    <x v="7"/>
    <d v="2025-06-23T00:00:00"/>
    <s v="Comisión por Plan Cta. Corriente"/>
    <n v="3265"/>
    <x v="1"/>
    <x v="1"/>
    <x v="2"/>
    <x v="25"/>
  </r>
  <r>
    <x v="7"/>
    <d v="2025-06-22T13:59:00"/>
    <s v="Hip Lider Santa Amalia Santiago Chl"/>
    <n v="105610"/>
    <x v="1"/>
    <x v="1"/>
    <x v="1"/>
    <x v="6"/>
  </r>
  <r>
    <x v="7"/>
    <d v="2025-06-21T23:03:00"/>
    <s v="Pedidosya Cl Restauran Cl Chl"/>
    <n v="8860"/>
    <x v="1"/>
    <x v="1"/>
    <x v="1"/>
    <x v="10"/>
  </r>
  <r>
    <x v="7"/>
    <d v="2025-06-21T10:52:00"/>
    <s v="Micopiloto F102 Santiago Chl"/>
    <n v="15000"/>
    <x v="1"/>
    <x v="1"/>
    <x v="1"/>
    <x v="7"/>
  </r>
  <r>
    <x v="7"/>
    <d v="2025-06-21T10:45:00"/>
    <s v="Transferencia En Linea A Otro Banco Fernando Arriagada"/>
    <n v="15000"/>
    <x v="1"/>
    <x v="1"/>
    <x v="1"/>
    <x v="15"/>
  </r>
  <r>
    <x v="7"/>
    <d v="2025-06-20T20:05:00"/>
    <s v="Hip Lider Plaza Vespuc Santiago Chl"/>
    <n v="30825"/>
    <x v="1"/>
    <x v="1"/>
    <x v="1"/>
    <x v="6"/>
  </r>
  <r>
    <x v="7"/>
    <d v="2025-06-20T00:00:00"/>
    <s v="Seg Desgravamen Tr"/>
    <n v="2354"/>
    <x v="1"/>
    <x v="3"/>
    <x v="2"/>
    <x v="25"/>
  </r>
  <r>
    <x v="7"/>
    <d v="2025-06-20T00:00:00"/>
    <s v="La Tranquera Provide"/>
    <n v="4500"/>
    <x v="1"/>
    <x v="3"/>
    <x v="1"/>
    <x v="3"/>
  </r>
  <r>
    <x v="7"/>
    <d v="2025-06-20T00:00:00"/>
    <s v="Payscan*don Vecy Spa"/>
    <n v="2500"/>
    <x v="1"/>
    <x v="3"/>
    <x v="1"/>
    <x v="2"/>
  </r>
  <r>
    <x v="7"/>
    <d v="2025-06-20T00:00:00"/>
    <s v="Pica Que Pica"/>
    <n v="12000"/>
    <x v="1"/>
    <x v="3"/>
    <x v="1"/>
    <x v="2"/>
  </r>
  <r>
    <x v="7"/>
    <d v="2025-06-20T00:00:00"/>
    <s v="Ripley Car S.a Plaza Vespucio"/>
    <n v="49985"/>
    <x v="1"/>
    <x v="3"/>
    <x v="1"/>
    <x v="18"/>
  </r>
  <r>
    <x v="7"/>
    <d v="2025-06-20T00:00:00"/>
    <s v="Galpon Italia"/>
    <n v="54219"/>
    <x v="1"/>
    <x v="3"/>
    <x v="1"/>
    <x v="10"/>
  </r>
  <r>
    <x v="7"/>
    <d v="2025-06-20T00:00:00"/>
    <s v="Ripley Car S.a Plaza Vespucio"/>
    <n v="21293"/>
    <x v="1"/>
    <x v="3"/>
    <x v="1"/>
    <x v="12"/>
  </r>
  <r>
    <x v="7"/>
    <d v="2025-06-19T00:00:00"/>
    <s v="INTERESES MORA"/>
    <n v="826"/>
    <x v="1"/>
    <x v="3"/>
    <x v="2"/>
    <x v="25"/>
  </r>
  <r>
    <x v="7"/>
    <d v="2025-06-19T00:00:00"/>
    <s v="SERVICIO ADMINISTRACION"/>
    <n v="6866"/>
    <x v="1"/>
    <x v="3"/>
    <x v="2"/>
    <x v="25"/>
  </r>
  <r>
    <x v="7"/>
    <d v="2025-06-19T00:00:00"/>
    <s v="Copec App"/>
    <n v="1090"/>
    <x v="1"/>
    <x v="3"/>
    <x v="1"/>
    <x v="3"/>
  </r>
  <r>
    <x v="7"/>
    <d v="2025-06-19T00:00:00"/>
    <s v="Dulce Aroma"/>
    <n v="5500"/>
    <x v="1"/>
    <x v="3"/>
    <x v="1"/>
    <x v="2"/>
  </r>
  <r>
    <x v="7"/>
    <d v="2025-06-19T00:00:00"/>
    <s v="Wpay Plus Cred Ticke"/>
    <n v="16100"/>
    <x v="1"/>
    <x v="3"/>
    <x v="1"/>
    <x v="2"/>
  </r>
  <r>
    <x v="7"/>
    <d v="2025-06-19T00:00:00"/>
    <s v="Wpay Plus Cred Ticke"/>
    <n v="16100"/>
    <x v="1"/>
    <x v="3"/>
    <x v="1"/>
    <x v="2"/>
  </r>
  <r>
    <x v="7"/>
    <d v="2025-06-19T00:00:00"/>
    <s v="Pedidosya Cl Mercado"/>
    <n v="12622"/>
    <x v="1"/>
    <x v="3"/>
    <x v="1"/>
    <x v="10"/>
  </r>
  <r>
    <x v="7"/>
    <d v="2025-06-18T00:00:00"/>
    <s v="Micopiloto F102"/>
    <n v="20000"/>
    <x v="1"/>
    <x v="3"/>
    <x v="1"/>
    <x v="7"/>
  </r>
  <r>
    <x v="7"/>
    <d v="2025-06-18T00:00:00"/>
    <s v="Farmacias Tobalaba"/>
    <n v="4990"/>
    <x v="1"/>
    <x v="3"/>
    <x v="1"/>
    <x v="24"/>
  </r>
  <r>
    <x v="7"/>
    <d v="2025-06-18T00:00:00"/>
    <s v="Ahum L550 W.martinez"/>
    <n v="6689"/>
    <x v="1"/>
    <x v="3"/>
    <x v="1"/>
    <x v="24"/>
  </r>
  <r>
    <x v="7"/>
    <d v="2025-06-18T00:00:00"/>
    <s v="Sumup * Grupo Seven"/>
    <n v="6000"/>
    <x v="1"/>
    <x v="3"/>
    <x v="1"/>
    <x v="2"/>
  </r>
  <r>
    <x v="7"/>
    <d v="2025-06-18T00:00:00"/>
    <s v="Express Colina"/>
    <n v="1970"/>
    <x v="1"/>
    <x v="3"/>
    <x v="1"/>
    <x v="6"/>
  </r>
  <r>
    <x v="7"/>
    <d v="2025-06-18T00:00:00"/>
    <s v="Santa Isabel Consist"/>
    <n v="4264"/>
    <x v="1"/>
    <x v="3"/>
    <x v="1"/>
    <x v="6"/>
  </r>
  <r>
    <x v="7"/>
    <d v="2025-06-17T13:11:00"/>
    <s v="Cafeteria Lo Canas Santiago Chl"/>
    <n v="2690"/>
    <x v="1"/>
    <x v="1"/>
    <x v="1"/>
    <x v="2"/>
  </r>
  <r>
    <x v="7"/>
    <d v="2025-06-17T13:03:00"/>
    <s v="Marcos Andres Espinoza Santiago Chl"/>
    <n v="1950"/>
    <x v="1"/>
    <x v="1"/>
    <x v="1"/>
    <x v="2"/>
  </r>
  <r>
    <x v="7"/>
    <d v="2025-06-17T00:00:00"/>
    <s v="Farm Belen La Florid"/>
    <n v="6760"/>
    <x v="1"/>
    <x v="3"/>
    <x v="1"/>
    <x v="24"/>
  </r>
  <r>
    <x v="7"/>
    <d v="2025-06-17T00:00:00"/>
    <s v="Don Humberto La Flor"/>
    <n v="11900"/>
    <x v="1"/>
    <x v="3"/>
    <x v="1"/>
    <x v="10"/>
  </r>
  <r>
    <x v="7"/>
    <d v="2025-06-17T00:00:00"/>
    <s v="Hip Lider Alameda"/>
    <n v="1611"/>
    <x v="1"/>
    <x v="3"/>
    <x v="1"/>
    <x v="6"/>
  </r>
  <r>
    <x v="7"/>
    <d v="2025-06-16T16:32:00"/>
    <s v="Marcos Andres Espinoza Santiago Chl"/>
    <n v="3550"/>
    <x v="1"/>
    <x v="1"/>
    <x v="1"/>
    <x v="2"/>
  </r>
  <r>
    <x v="7"/>
    <d v="2025-06-16T00:00:00"/>
    <s v="Copec App"/>
    <n v="20000"/>
    <x v="1"/>
    <x v="3"/>
    <x v="1"/>
    <x v="7"/>
  </r>
  <r>
    <x v="7"/>
    <d v="2025-06-16T00:00:00"/>
    <s v="Neat Gasto Comun"/>
    <n v="209676"/>
    <x v="1"/>
    <x v="3"/>
    <x v="2"/>
    <x v="27"/>
  </r>
  <r>
    <x v="7"/>
    <d v="2025-06-16T00:00:00"/>
    <s v="Servicios Y Comercia"/>
    <n v="4572"/>
    <x v="1"/>
    <x v="3"/>
    <x v="1"/>
    <x v="2"/>
  </r>
  <r>
    <x v="7"/>
    <d v="2025-06-16T00:00:00"/>
    <s v="Nikofilms"/>
    <n v="6990"/>
    <x v="1"/>
    <x v="3"/>
    <x v="1"/>
    <x v="2"/>
  </r>
  <r>
    <x v="7"/>
    <d v="2025-06-16T00:00:00"/>
    <s v="Tottus Walker Martin"/>
    <n v="1490"/>
    <x v="1"/>
    <x v="3"/>
    <x v="1"/>
    <x v="6"/>
  </r>
  <r>
    <x v="7"/>
    <d v="2025-06-15T19:52:00"/>
    <s v="Transferencia En Linea A Otro Banco Marisol Arriagada"/>
    <n v="10000"/>
    <x v="1"/>
    <x v="1"/>
    <x v="1"/>
    <x v="3"/>
  </r>
  <r>
    <x v="7"/>
    <d v="2025-06-15T19:01:00"/>
    <s v="Hip Lider Quilin Santiago Chl"/>
    <n v="31115"/>
    <x v="1"/>
    <x v="1"/>
    <x v="1"/>
    <x v="6"/>
  </r>
  <r>
    <x v="7"/>
    <d v="2025-06-15T18:10:00"/>
    <s v="Redgloba*juegos Gori _x001c__x001c_U_x001c__x001c_oa Chl"/>
    <n v="42990"/>
    <x v="1"/>
    <x v="1"/>
    <x v="1"/>
    <x v="17"/>
  </r>
  <r>
    <x v="7"/>
    <d v="2025-06-15T00:00:00"/>
    <s v="Jis Parking Quilin"/>
    <n v="400"/>
    <x v="1"/>
    <x v="3"/>
    <x v="1"/>
    <x v="19"/>
  </r>
  <r>
    <x v="7"/>
    <d v="2025-06-15T00:00:00"/>
    <s v="Farm Belen La Florid"/>
    <n v="11120"/>
    <x v="1"/>
    <x v="3"/>
    <x v="1"/>
    <x v="24"/>
  </r>
  <r>
    <x v="7"/>
    <d v="2025-06-15T00:00:00"/>
    <s v="Shein Cl Shein.com"/>
    <n v="25381"/>
    <x v="1"/>
    <x v="3"/>
    <x v="1"/>
    <x v="12"/>
  </r>
  <r>
    <x v="7"/>
    <d v="2025-06-15T00:00:00"/>
    <s v="Shein.com"/>
    <n v="32820"/>
    <x v="1"/>
    <x v="3"/>
    <x v="1"/>
    <x v="12"/>
  </r>
  <r>
    <x v="7"/>
    <d v="2025-06-14T20:24:00"/>
    <s v="Tuu*boulevardplazanuno Nunoa Chl"/>
    <n v="4340"/>
    <x v="1"/>
    <x v="1"/>
    <x v="1"/>
    <x v="19"/>
  </r>
  <r>
    <x v="7"/>
    <d v="2025-06-14T20:14:00"/>
    <s v="Plaza Nunoa Santiago Chl"/>
    <n v="4500"/>
    <x v="1"/>
    <x v="1"/>
    <x v="1"/>
    <x v="2"/>
  </r>
  <r>
    <x v="7"/>
    <d v="2025-06-14T20:02:00"/>
    <s v="Fuente Suiza Santiago Chl"/>
    <n v="25740"/>
    <x v="1"/>
    <x v="1"/>
    <x v="1"/>
    <x v="10"/>
  </r>
  <r>
    <x v="7"/>
    <d v="2025-06-14T18:23:00"/>
    <s v="Merpago*h. Ice Cream I Las Condes Chl"/>
    <n v="5800"/>
    <x v="1"/>
    <x v="1"/>
    <x v="1"/>
    <x v="10"/>
  </r>
  <r>
    <x v="7"/>
    <d v="2025-06-14T17:39:00"/>
    <s v="Dhouse Vivi La Florida Santiago Chl"/>
    <n v="19920"/>
    <x v="1"/>
    <x v="1"/>
    <x v="1"/>
    <x v="12"/>
  </r>
  <r>
    <x v="7"/>
    <d v="2025-06-14T17:30:00"/>
    <s v="Sioux Santiago Chl"/>
    <n v="33383"/>
    <x v="1"/>
    <x v="1"/>
    <x v="1"/>
    <x v="12"/>
  </r>
  <r>
    <x v="7"/>
    <d v="2025-06-14T11:54:00"/>
    <s v="W.martinez 1940 La Florida"/>
    <n v="35000"/>
    <x v="1"/>
    <x v="1"/>
    <x v="1"/>
    <x v="15"/>
  </r>
  <r>
    <x v="7"/>
    <d v="2025-06-13T21:57:00"/>
    <s v="60285 La Flori Wal M Santiago Chl"/>
    <n v="6830"/>
    <x v="1"/>
    <x v="1"/>
    <x v="1"/>
    <x v="2"/>
  </r>
  <r>
    <x v="7"/>
    <d v="2025-06-13T16:17:00"/>
    <s v="Transferencia En Linea A Otro Banco Georgina Fuentes"/>
    <n v="4318"/>
    <x v="1"/>
    <x v="1"/>
    <x v="1"/>
    <x v="1"/>
  </r>
  <r>
    <x v="7"/>
    <d v="2025-06-13T14:24:00"/>
    <s v="Jumbo Nunoa Santiago Chl"/>
    <n v="20200"/>
    <x v="1"/>
    <x v="1"/>
    <x v="1"/>
    <x v="6"/>
  </r>
  <r>
    <x v="7"/>
    <d v="2025-06-13T14:16:00"/>
    <s v="Merpago*pjd Cuatro S P Providencia Chl"/>
    <n v="3990"/>
    <x v="1"/>
    <x v="1"/>
    <x v="1"/>
    <x v="19"/>
  </r>
  <r>
    <x v="7"/>
    <d v="2025-06-13T00:00:00"/>
    <s v="Parking Portal Nunoa"/>
    <n v="750"/>
    <x v="1"/>
    <x v="3"/>
    <x v="1"/>
    <x v="19"/>
  </r>
  <r>
    <x v="7"/>
    <d v="2025-06-13T00:00:00"/>
    <s v="Winkler"/>
    <n v="39832"/>
    <x v="1"/>
    <x v="3"/>
    <x v="1"/>
    <x v="24"/>
  </r>
  <r>
    <x v="7"/>
    <d v="2025-06-13T00:00:00"/>
    <s v="Jumbo Nunoa"/>
    <n v="18779"/>
    <x v="1"/>
    <x v="3"/>
    <x v="1"/>
    <x v="6"/>
  </r>
  <r>
    <x v="7"/>
    <d v="2025-06-12T10:47:00"/>
    <s v="Copec App Santiago Chl"/>
    <n v="27020"/>
    <x v="1"/>
    <x v="1"/>
    <x v="1"/>
    <x v="7"/>
  </r>
  <r>
    <x v="7"/>
    <d v="2025-06-12T00:00:00"/>
    <s v="Farm Belen La Florid"/>
    <n v="8980"/>
    <x v="1"/>
    <x v="3"/>
    <x v="1"/>
    <x v="24"/>
  </r>
  <r>
    <x v="7"/>
    <d v="2025-06-12T00:00:00"/>
    <s v="Nico Gas La Florida"/>
    <n v="26950"/>
    <x v="1"/>
    <x v="3"/>
    <x v="1"/>
    <x v="14"/>
  </r>
  <r>
    <x v="7"/>
    <d v="2025-06-12T00:00:00"/>
    <s v="Payscan*don Vecy Spa"/>
    <n v="2000"/>
    <x v="1"/>
    <x v="3"/>
    <x v="1"/>
    <x v="2"/>
  </r>
  <r>
    <x v="7"/>
    <d v="2025-06-12T00:00:00"/>
    <s v="Don Humberto La Flor"/>
    <n v="10648"/>
    <x v="1"/>
    <x v="3"/>
    <x v="1"/>
    <x v="10"/>
  </r>
  <r>
    <x v="7"/>
    <d v="2025-06-12T00:00:00"/>
    <s v="4014-bbx La Florida"/>
    <n v="20240"/>
    <x v="1"/>
    <x v="3"/>
    <x v="1"/>
    <x v="10"/>
  </r>
  <r>
    <x v="7"/>
    <d v="2025-06-12T00:00:00"/>
    <s v="Mercadopago *Frescur"/>
    <n v="26960"/>
    <x v="1"/>
    <x v="3"/>
    <x v="1"/>
    <x v="10"/>
  </r>
  <r>
    <x v="7"/>
    <d v="2025-06-12T00:00:00"/>
    <s v="Family Shop"/>
    <n v="17980"/>
    <x v="1"/>
    <x v="3"/>
    <x v="1"/>
    <x v="12"/>
  </r>
  <r>
    <x v="7"/>
    <d v="2025-06-12T00:00:00"/>
    <s v="Redgloba*great Marke"/>
    <n v="6030"/>
    <x v="1"/>
    <x v="3"/>
    <x v="1"/>
    <x v="6"/>
  </r>
  <r>
    <x v="7"/>
    <d v="2025-06-12T00:00:00"/>
    <s v="Hip Lider Departamen"/>
    <n v="200028"/>
    <x v="1"/>
    <x v="3"/>
    <x v="1"/>
    <x v="6"/>
  </r>
  <r>
    <x v="7"/>
    <d v="2025-06-11T21:43:00"/>
    <s v="Sociedad Adminis - Proveedores"/>
    <n v="-2413613"/>
    <x v="0"/>
    <x v="0"/>
    <x v="0"/>
    <x v="38"/>
  </r>
  <r>
    <x v="7"/>
    <d v="2025-06-11T21:09:00"/>
    <s v="Hip Lider Plaza Vespuc Santiago Chl"/>
    <n v="16050"/>
    <x v="1"/>
    <x v="1"/>
    <x v="1"/>
    <x v="6"/>
  </r>
  <r>
    <x v="7"/>
    <d v="2025-06-11T13:26:00"/>
    <s v="Marcos Andres Espinoza Santiago Chl"/>
    <n v="4300"/>
    <x v="1"/>
    <x v="1"/>
    <x v="1"/>
    <x v="2"/>
  </r>
  <r>
    <x v="7"/>
    <d v="2025-06-11T13:22:00"/>
    <s v="Heladomania Santiago Chl"/>
    <n v="1300"/>
    <x v="1"/>
    <x v="1"/>
    <x v="1"/>
    <x v="2"/>
  </r>
  <r>
    <x v="7"/>
    <d v="2025-06-11T12:40:00"/>
    <s v="Heladomania Santiago Chl"/>
    <n v="1000"/>
    <x v="1"/>
    <x v="1"/>
    <x v="1"/>
    <x v="2"/>
  </r>
  <r>
    <x v="7"/>
    <d v="2025-06-11T00:00:00"/>
    <s v="COMPRA Parking Mallplaza"/>
    <n v="100"/>
    <x v="1"/>
    <x v="3"/>
    <x v="1"/>
    <x v="19"/>
  </r>
  <r>
    <x v="7"/>
    <d v="2025-06-10T11:52:00"/>
    <s v="Hip Lider Plaza Vespuc Santiago Chl"/>
    <n v="29810"/>
    <x v="1"/>
    <x v="1"/>
    <x v="1"/>
    <x v="6"/>
  </r>
  <r>
    <x v="7"/>
    <d v="2025-06-09T21:21:00"/>
    <s v="Hip Lider Plaza Vespuc Santiago Chl"/>
    <n v="1290"/>
    <x v="1"/>
    <x v="1"/>
    <x v="1"/>
    <x v="6"/>
  </r>
  <r>
    <x v="7"/>
    <d v="2025-06-09T18:31:00"/>
    <s v="Google Play Youtube Go Las Condes Chl"/>
    <n v="1790"/>
    <x v="1"/>
    <x v="1"/>
    <x v="2"/>
    <x v="17"/>
  </r>
  <r>
    <x v="7"/>
    <d v="2025-06-08T21:27:00"/>
    <s v="Transferencia En Linea A Otro Banco Soluciones Nutriciones Y Fisicas Spa"/>
    <n v="9500"/>
    <x v="1"/>
    <x v="1"/>
    <x v="1"/>
    <x v="8"/>
  </r>
  <r>
    <x v="7"/>
    <d v="2025-06-08T19:00:00"/>
    <s v="Express Rojas Magalla Santiago Chl"/>
    <n v="41846"/>
    <x v="1"/>
    <x v="1"/>
    <x v="1"/>
    <x v="6"/>
  </r>
  <r>
    <x v="7"/>
    <d v="2025-06-08T16:32:00"/>
    <s v="Shell Pan. Sur 4251 F2 Santiago Chl"/>
    <n v="10000"/>
    <x v="1"/>
    <x v="1"/>
    <x v="1"/>
    <x v="7"/>
  </r>
  <r>
    <x v="7"/>
    <d v="2025-06-08T09:28:00"/>
    <s v="Shel Walker Martinez F Santiago Chl"/>
    <n v="15000"/>
    <x v="1"/>
    <x v="1"/>
    <x v="1"/>
    <x v="7"/>
  </r>
  <r>
    <x v="7"/>
    <d v="2025-06-07T22:47:00"/>
    <s v="Merpago*papa Johns Pj Las Condes Chl"/>
    <n v="8480"/>
    <x v="1"/>
    <x v="1"/>
    <x v="1"/>
    <x v="10"/>
  </r>
  <r>
    <x v="7"/>
    <d v="2025-06-07T22:44:00"/>
    <s v="Claudio Daniel Concha Santiago Chl"/>
    <n v="7650"/>
    <x v="1"/>
    <x v="1"/>
    <x v="1"/>
    <x v="2"/>
  </r>
  <r>
    <x v="7"/>
    <d v="2025-06-07T19:53:00"/>
    <s v="Mercadopago *Botiller Las Condes Chl"/>
    <n v="4500"/>
    <x v="1"/>
    <x v="1"/>
    <x v="1"/>
    <x v="2"/>
  </r>
  <r>
    <x v="7"/>
    <d v="2025-06-07T17:05:00"/>
    <s v="Anasttasiadisfraces La Florida Chl"/>
    <n v="20000"/>
    <x v="1"/>
    <x v="1"/>
    <x v="1"/>
    <x v="1"/>
  </r>
  <r>
    <x v="7"/>
    <d v="2025-06-07T14:10:00"/>
    <s v="Micopiloto F102 Santiago Chl"/>
    <n v="10000"/>
    <x v="1"/>
    <x v="1"/>
    <x v="1"/>
    <x v="7"/>
  </r>
  <r>
    <x v="7"/>
    <d v="2025-06-06T19:05:00"/>
    <s v="Dulce Aroma Santiago Chl"/>
    <n v="2400"/>
    <x v="1"/>
    <x v="1"/>
    <x v="1"/>
    <x v="2"/>
  </r>
  <r>
    <x v="7"/>
    <d v="2025-06-06T18:57:00"/>
    <s v="Dulce Aroma Santiago Chl"/>
    <n v="2050"/>
    <x v="1"/>
    <x v="1"/>
    <x v="1"/>
    <x v="2"/>
  </r>
  <r>
    <x v="7"/>
    <d v="2025-06-06T14:16:00"/>
    <s v="Estacionamiento Patron Santiago Chl"/>
    <n v="2800"/>
    <x v="1"/>
    <x v="1"/>
    <x v="1"/>
    <x v="19"/>
  </r>
  <r>
    <x v="7"/>
    <d v="2025-06-06T13:45:00"/>
    <s v="Patronato 270 Recoleta"/>
    <n v="15000"/>
    <x v="1"/>
    <x v="1"/>
    <x v="1"/>
    <x v="15"/>
  </r>
  <r>
    <x v="7"/>
    <d v="2025-06-06T08:41:00"/>
    <s v="Transferencia En Linea A Otro Banco Soluciones Nutriciones Y Fisicas Spa"/>
    <n v="110000"/>
    <x v="1"/>
    <x v="1"/>
    <x v="2"/>
    <x v="8"/>
  </r>
  <r>
    <x v="7"/>
    <d v="2025-06-06T08:39:00"/>
    <s v="Abono Transferencia Desde Otros Bancos"/>
    <n v="-118601"/>
    <x v="0"/>
    <x v="0"/>
    <x v="0"/>
    <x v="20"/>
  </r>
  <r>
    <x v="7"/>
    <d v="2025-06-06T08:26:00"/>
    <s v="Abono Transferencia Desde Otros Bancos"/>
    <n v="-200000"/>
    <x v="0"/>
    <x v="0"/>
    <x v="0"/>
    <x v="20"/>
  </r>
  <r>
    <x v="7"/>
    <d v="2025-06-05T23:48:00"/>
    <s v="Mc Donalds Puerto Montt Chl"/>
    <n v="17470"/>
    <x v="1"/>
    <x v="1"/>
    <x v="1"/>
    <x v="3"/>
  </r>
  <r>
    <x v="7"/>
    <d v="2025-06-05T19:26:00"/>
    <s v="Merpago*efood E-food S Santiago Chl"/>
    <n v="2500"/>
    <x v="1"/>
    <x v="1"/>
    <x v="1"/>
    <x v="3"/>
  </r>
  <r>
    <x v="7"/>
    <d v="2025-06-05T15:41:00"/>
    <s v="Heladomania Santiago Chl"/>
    <n v="2300"/>
    <x v="1"/>
    <x v="1"/>
    <x v="1"/>
    <x v="2"/>
  </r>
  <r>
    <x v="7"/>
    <d v="2025-06-05T13:22:00"/>
    <s v="Heladomania Santiago Chl"/>
    <n v="1000"/>
    <x v="1"/>
    <x v="1"/>
    <x v="1"/>
    <x v="2"/>
  </r>
  <r>
    <x v="7"/>
    <d v="2025-06-05T12:11:00"/>
    <s v="Mercadopago *Ccuvendi Las Condes Chl"/>
    <n v="1800"/>
    <x v="1"/>
    <x v="1"/>
    <x v="1"/>
    <x v="2"/>
  </r>
  <r>
    <x v="7"/>
    <d v="2025-06-05T12:02:00"/>
    <s v="Plaza Vespucio Santiago Chl"/>
    <n v="3500"/>
    <x v="1"/>
    <x v="1"/>
    <x v="1"/>
    <x v="19"/>
  </r>
  <r>
    <x v="7"/>
    <d v="2025-06-05T11:54:00"/>
    <s v="Banco Del Estado La Florida Chl"/>
    <n v="10000"/>
    <x v="1"/>
    <x v="1"/>
    <x v="1"/>
    <x v="15"/>
  </r>
  <r>
    <x v="7"/>
    <d v="2025-06-05T11:53:00"/>
    <s v="Banco Del Estado La Florida Chl"/>
    <n v="10000"/>
    <x v="1"/>
    <x v="1"/>
    <x v="1"/>
    <x v="15"/>
  </r>
  <r>
    <x v="7"/>
    <d v="2025-06-05T11:51:00"/>
    <s v="Hip Lider Plaza Vespuc Santiago Chl"/>
    <n v="18029"/>
    <x v="1"/>
    <x v="1"/>
    <x v="1"/>
    <x v="6"/>
  </r>
  <r>
    <x v="7"/>
    <d v="2025-06-05T08:09:00"/>
    <s v="Marcos Andres Espinoza Santiago Chl"/>
    <n v="1800"/>
    <x v="1"/>
    <x v="1"/>
    <x v="1"/>
    <x v="2"/>
  </r>
  <r>
    <x v="7"/>
    <d v="2025-06-05T00:00:00"/>
    <s v="Transferencia enviada a jaime cardenas"/>
    <n v="703000"/>
    <x v="1"/>
    <x v="1"/>
    <x v="2"/>
    <x v="22"/>
  </r>
  <r>
    <x v="7"/>
    <d v="2025-06-05T00:00:00"/>
    <s v="Cheque Cobrado Por Otro Banco serie 181680"/>
    <n v="229970"/>
    <x v="1"/>
    <x v="1"/>
    <x v="2"/>
    <x v="1"/>
  </r>
  <r>
    <x v="7"/>
    <d v="2025-06-05T00:00:00"/>
    <s v="Compra con Tarjeta de Débito en EFOOD"/>
    <n v="11500"/>
    <x v="1"/>
    <x v="1"/>
    <x v="1"/>
    <x v="10"/>
  </r>
  <r>
    <x v="7"/>
    <d v="2025-06-05T00:00:00"/>
    <s v="Compra con Tarjeta de Débito en EFOOD"/>
    <n v="22500"/>
    <x v="1"/>
    <x v="1"/>
    <x v="1"/>
    <x v="10"/>
  </r>
  <r>
    <x v="7"/>
    <d v="2025-06-04T12:39:00"/>
    <s v="Marcos Andres Espinoza Santiago Chl"/>
    <n v="3270"/>
    <x v="1"/>
    <x v="1"/>
    <x v="1"/>
    <x v="2"/>
  </r>
  <r>
    <x v="7"/>
    <d v="2025-06-04T11:51:00"/>
    <s v="Mercadopago *Eltomeci Las Condes Chl"/>
    <n v="2240"/>
    <x v="1"/>
    <x v="1"/>
    <x v="1"/>
    <x v="2"/>
  </r>
  <r>
    <x v="7"/>
    <d v="2025-06-03T19:38:00"/>
    <s v="Dulce Aroma Santiago Chl"/>
    <n v="1180"/>
    <x v="1"/>
    <x v="1"/>
    <x v="1"/>
    <x v="2"/>
  </r>
  <r>
    <x v="7"/>
    <d v="2025-06-03T19:32:00"/>
    <s v="Dulce Aroma Santiago Chl"/>
    <n v="2300"/>
    <x v="1"/>
    <x v="1"/>
    <x v="1"/>
    <x v="2"/>
  </r>
  <r>
    <x v="7"/>
    <d v="2025-06-03T17:48:00"/>
    <s v="Mercadopago *Nuevogen Las Condes Chl"/>
    <n v="28904"/>
    <x v="1"/>
    <x v="1"/>
    <x v="1"/>
    <x v="24"/>
  </r>
  <r>
    <x v="7"/>
    <d v="2025-06-03T15:36:00"/>
    <s v="Heladomania Santiago Chl"/>
    <n v="2000"/>
    <x v="1"/>
    <x v="1"/>
    <x v="1"/>
    <x v="2"/>
  </r>
  <r>
    <x v="7"/>
    <d v="2025-06-03T12:35:00"/>
    <s v="Heladomania Santiago Chl"/>
    <n v="1000"/>
    <x v="1"/>
    <x v="1"/>
    <x v="1"/>
    <x v="2"/>
  </r>
  <r>
    <x v="7"/>
    <d v="2025-06-03T11:55:00"/>
    <s v="Hip Lider Plaza Vespuc Santiago Chl"/>
    <n v="18283"/>
    <x v="1"/>
    <x v="1"/>
    <x v="1"/>
    <x v="6"/>
  </r>
  <r>
    <x v="7"/>
    <d v="2025-06-03T10:05:00"/>
    <s v="Micopiloto F102 Santiago Chl"/>
    <n v="15000"/>
    <x v="1"/>
    <x v="1"/>
    <x v="1"/>
    <x v="7"/>
  </r>
  <r>
    <x v="7"/>
    <d v="2025-06-03T08:18:00"/>
    <s v="Marcos Andres Espinoza Santiago Chl"/>
    <n v="3000"/>
    <x v="1"/>
    <x v="1"/>
    <x v="1"/>
    <x v="2"/>
  </r>
  <r>
    <x v="7"/>
    <d v="2025-06-03T00:00:00"/>
    <s v="Compra con Tarjeta de Débito en PEDIDOSYA CL PLUS5566556655 CHL"/>
    <n v="1449"/>
    <x v="1"/>
    <x v="1"/>
    <x v="1"/>
    <x v="10"/>
  </r>
  <r>
    <x v="7"/>
    <d v="2025-06-03T00:00:00"/>
    <s v="Compra con Tarjeta de Débito"/>
    <n v="12980"/>
    <x v="1"/>
    <x v="1"/>
    <x v="1"/>
    <x v="10"/>
  </r>
  <r>
    <x v="7"/>
    <d v="2025-06-02T18:55:00"/>
    <s v="Winkler Santiago Chl"/>
    <n v="1590"/>
    <x v="1"/>
    <x v="1"/>
    <x v="1"/>
    <x v="2"/>
  </r>
  <r>
    <x v="7"/>
    <d v="2025-06-02T18:52:00"/>
    <s v="Nikofilms Santiago Chl"/>
    <n v="2980"/>
    <x v="1"/>
    <x v="1"/>
    <x v="1"/>
    <x v="1"/>
  </r>
  <r>
    <x v="7"/>
    <d v="2025-06-02T15:39:00"/>
    <s v="Heladomania Santiago Chl"/>
    <n v="3300"/>
    <x v="1"/>
    <x v="1"/>
    <x v="1"/>
    <x v="2"/>
  </r>
  <r>
    <x v="7"/>
    <d v="2025-06-02T15:16:00"/>
    <s v="Transferencia En Linea A Otro Banco Unired S.a. (AguasAndina)"/>
    <n v="19120"/>
    <x v="1"/>
    <x v="1"/>
    <x v="2"/>
    <x v="26"/>
  </r>
  <r>
    <x v="7"/>
    <d v="2025-06-02T15:16:00"/>
    <s v="Transferencia En Linea A Otro Banco Unired S.a. (Enel)"/>
    <n v="71281"/>
    <x v="1"/>
    <x v="1"/>
    <x v="2"/>
    <x v="26"/>
  </r>
  <r>
    <x v="7"/>
    <d v="2025-06-02T15:03:00"/>
    <s v="Abono Transferencia Desde Otros Bancos"/>
    <n v="-257399"/>
    <x v="0"/>
    <x v="0"/>
    <x v="0"/>
    <x v="20"/>
  </r>
  <r>
    <x v="7"/>
    <d v="2025-06-02T14:28:00"/>
    <s v="Unimarc Rojas Magallan Santiago Chl"/>
    <n v="54454"/>
    <x v="1"/>
    <x v="1"/>
    <x v="1"/>
    <x v="6"/>
  </r>
  <r>
    <x v="7"/>
    <d v="2025-06-02T13:54:00"/>
    <s v="Ferreterias Cabalza Santiago Chl"/>
    <n v="4490"/>
    <x v="1"/>
    <x v="1"/>
    <x v="1"/>
    <x v="2"/>
  </r>
  <r>
    <x v="7"/>
    <d v="2025-06-02T13:17:00"/>
    <s v="Transferencia En Linea A Otro Banco Denise Lalanne Foto Patrona"/>
    <n v="10000"/>
    <x v="1"/>
    <x v="1"/>
    <x v="1"/>
    <x v="1"/>
  </r>
  <r>
    <x v="7"/>
    <d v="2025-06-02T00:29:00"/>
    <s v="Transferencia En Linea A Otro Banco Joanna Barrientos Balonmano Premini"/>
    <n v="30000"/>
    <x v="1"/>
    <x v="1"/>
    <x v="1"/>
    <x v="1"/>
  </r>
  <r>
    <x v="7"/>
    <d v="2025-06-02T00:21:00"/>
    <s v="Transferencia En Linea A Otro Banco Patricia Macaya 4°b Tempo"/>
    <n v="30000"/>
    <x v="1"/>
    <x v="1"/>
    <x v="1"/>
    <x v="1"/>
  </r>
  <r>
    <x v="7"/>
    <d v="2025-06-02T00:17:00"/>
    <s v="Transferencia En Linea A Otro Banco Fabiola Frias Flores"/>
    <n v="40000"/>
    <x v="1"/>
    <x v="1"/>
    <x v="1"/>
    <x v="1"/>
  </r>
  <r>
    <x v="7"/>
    <d v="2025-06-02T00:00:00"/>
    <s v="Compra con App Bci ENTEL S.A."/>
    <n v="60984"/>
    <x v="1"/>
    <x v="1"/>
    <x v="2"/>
    <x v="26"/>
  </r>
  <r>
    <x v="7"/>
    <d v="2025-06-02T00:00:00"/>
    <s v="Compra con Tarjeta de Débito en WALKER MARTINEZ"/>
    <n v="22050"/>
    <x v="1"/>
    <x v="1"/>
    <x v="1"/>
    <x v="10"/>
  </r>
  <r>
    <x v="7"/>
    <d v="2025-06-01T00:00:00"/>
    <s v="Compra con Tarjeta de Débito en PARKING"/>
    <n v="2000"/>
    <x v="1"/>
    <x v="1"/>
    <x v="1"/>
    <x v="19"/>
  </r>
  <r>
    <x v="7"/>
    <d v="2025-06-01T00:00:00"/>
    <s v="Compra con Tarjeta de Débito en CASA IDEAS"/>
    <n v="26250"/>
    <x v="1"/>
    <x v="1"/>
    <x v="1"/>
    <x v="18"/>
  </r>
  <r>
    <x v="7"/>
    <d v="2025-06-01T00:00:00"/>
    <s v="Compra con Tarjeta de Débito en COPPELIA"/>
    <n v="31317"/>
    <x v="1"/>
    <x v="1"/>
    <x v="1"/>
    <x v="10"/>
  </r>
  <r>
    <x v="8"/>
    <d v="2025-05-31T20:25:00"/>
    <s v="Mc Donalds Santiago Chl"/>
    <n v="5580"/>
    <x v="1"/>
    <x v="1"/>
    <x v="1"/>
    <x v="3"/>
  </r>
  <r>
    <x v="8"/>
    <d v="2025-05-31T20:23:00"/>
    <s v="Merpago*dunkin Fagase Lampa Chl"/>
    <n v="1730"/>
    <x v="1"/>
    <x v="1"/>
    <x v="1"/>
    <x v="3"/>
  </r>
  <r>
    <x v="8"/>
    <d v="2025-05-31T20:20:00"/>
    <s v="Hip Lider Santa Amalia Santiago Chl"/>
    <n v="62468"/>
    <x v="1"/>
    <x v="1"/>
    <x v="1"/>
    <x v="6"/>
  </r>
  <r>
    <x v="8"/>
    <d v="2025-05-31T19:19:00"/>
    <s v="Ahum L396 Amalia 1763 Santiago Chl"/>
    <n v="3919"/>
    <x v="1"/>
    <x v="1"/>
    <x v="1"/>
    <x v="24"/>
  </r>
  <r>
    <x v="8"/>
    <d v="2025-05-31T13:59:00"/>
    <s v="Anasttasiadisfraces La Florida Chl"/>
    <n v="7000"/>
    <x v="1"/>
    <x v="1"/>
    <x v="1"/>
    <x v="1"/>
  </r>
  <r>
    <x v="8"/>
    <d v="2025-05-31T11:37:00"/>
    <s v="Av.walker Mar.178 La Florida"/>
    <n v="50000"/>
    <x v="1"/>
    <x v="1"/>
    <x v="1"/>
    <x v="15"/>
  </r>
  <r>
    <x v="8"/>
    <d v="2025-05-31T01:14:00"/>
    <s v="Sumup * Brotherwood La Santiago Chl"/>
    <n v="59730"/>
    <x v="1"/>
    <x v="1"/>
    <x v="1"/>
    <x v="10"/>
  </r>
  <r>
    <x v="8"/>
    <d v="2025-05-30T21:56:00"/>
    <s v="Abono Transferencia Desde Otros Bancos"/>
    <n v="-357830"/>
    <x v="0"/>
    <x v="0"/>
    <x v="0"/>
    <x v="20"/>
  </r>
  <r>
    <x v="8"/>
    <d v="2025-05-30T15:02:00"/>
    <s v="Copec App Santiago Chl"/>
    <n v="15000"/>
    <x v="1"/>
    <x v="1"/>
    <x v="1"/>
    <x v="7"/>
  </r>
  <r>
    <x v="8"/>
    <d v="2025-05-30T13:15:00"/>
    <s v="Mercadopago *Ccuvendi Las Condes Chl"/>
    <n v="1600"/>
    <x v="1"/>
    <x v="1"/>
    <x v="1"/>
    <x v="2"/>
  </r>
  <r>
    <x v="8"/>
    <d v="2025-05-30T11:47:00"/>
    <s v="Plaza Vespucio Santiago Chl"/>
    <n v="1000"/>
    <x v="1"/>
    <x v="1"/>
    <x v="1"/>
    <x v="19"/>
  </r>
  <r>
    <x v="8"/>
    <d v="2025-05-30T00:00:00"/>
    <s v="COMPRA Parking Mallplaza"/>
    <n v="126"/>
    <x v="1"/>
    <x v="3"/>
    <x v="1"/>
    <x v="19"/>
  </r>
  <r>
    <x v="8"/>
    <d v="2025-05-30T00:00:00"/>
    <s v="COMPRA Parking Mallplaza"/>
    <n v="1750"/>
    <x v="1"/>
    <x v="3"/>
    <x v="1"/>
    <x v="19"/>
  </r>
  <r>
    <x v="8"/>
    <d v="2025-05-30T00:00:00"/>
    <s v="Compra con Tarjeta de Débito en PJ WALKER"/>
    <n v="24870"/>
    <x v="1"/>
    <x v="1"/>
    <x v="1"/>
    <x v="11"/>
  </r>
  <r>
    <x v="8"/>
    <d v="2025-05-30T00:00:00"/>
    <s v="Compra con Tarjeta de Débito en FACTORIA"/>
    <n v="19030"/>
    <x v="1"/>
    <x v="1"/>
    <x v="1"/>
    <x v="10"/>
  </r>
  <r>
    <x v="8"/>
    <d v="2025-05-30T00:00:00"/>
    <s v="Compra con Tarjeta de Débito en DUNKIN FA"/>
    <n v="5990"/>
    <x v="1"/>
    <x v="1"/>
    <x v="1"/>
    <x v="10"/>
  </r>
  <r>
    <x v="8"/>
    <d v="2025-05-30T00:00:00"/>
    <s v="Compra con Tarjeta de Débito en WAL"/>
    <n v="7470"/>
    <x v="1"/>
    <x v="1"/>
    <x v="1"/>
    <x v="10"/>
  </r>
  <r>
    <x v="8"/>
    <d v="2025-05-30T00:00:00"/>
    <s v="Compra con Tarjeta de Débito en LIDER"/>
    <n v="7590"/>
    <x v="1"/>
    <x v="1"/>
    <x v="1"/>
    <x v="6"/>
  </r>
  <r>
    <x v="8"/>
    <d v="2025-05-30T00:00:00"/>
    <s v="Compra con Tarjeta de Débito en LIDER"/>
    <n v="20140"/>
    <x v="1"/>
    <x v="1"/>
    <x v="1"/>
    <x v="6"/>
  </r>
  <r>
    <x v="8"/>
    <d v="2025-05-29T22:07:00"/>
    <s v="Mercadopago *Reiteval Las Condes Chl"/>
    <n v="50"/>
    <x v="1"/>
    <x v="1"/>
    <x v="1"/>
    <x v="2"/>
  </r>
  <r>
    <x v="8"/>
    <d v="2025-05-29T19:14:00"/>
    <s v="Dulce Aroma Santiago Chl"/>
    <n v="6330"/>
    <x v="1"/>
    <x v="1"/>
    <x v="1"/>
    <x v="2"/>
  </r>
  <r>
    <x v="8"/>
    <d v="2025-05-29T15:37:00"/>
    <s v="Heladomania Santiago Chl"/>
    <n v="4600"/>
    <x v="1"/>
    <x v="1"/>
    <x v="1"/>
    <x v="2"/>
  </r>
  <r>
    <x v="8"/>
    <d v="2025-05-29T12:11:00"/>
    <s v="Mercadopago *Ccuvendi Las Condes Chl"/>
    <n v="1600"/>
    <x v="1"/>
    <x v="1"/>
    <x v="1"/>
    <x v="2"/>
  </r>
  <r>
    <x v="8"/>
    <d v="2025-05-29T00:00:00"/>
    <s v="Compra con Tarjeta de Débito en STARBUCKS COFFEE"/>
    <n v="7080"/>
    <x v="1"/>
    <x v="1"/>
    <x v="1"/>
    <x v="10"/>
  </r>
  <r>
    <x v="8"/>
    <d v="2025-05-28T20:25:00"/>
    <s v="Hip Lider Plaza Vespuc Santiago Chl"/>
    <n v="37420"/>
    <x v="1"/>
    <x v="1"/>
    <x v="1"/>
    <x v="6"/>
  </r>
  <r>
    <x v="8"/>
    <d v="2025-05-28T09:52:00"/>
    <s v="Micopiloto F102 Santiago Chl"/>
    <n v="10000"/>
    <x v="1"/>
    <x v="1"/>
    <x v="1"/>
    <x v="7"/>
  </r>
  <r>
    <x v="8"/>
    <d v="2025-05-28T09:37:00"/>
    <s v="Abono Transferencia Desde Otros Bancos"/>
    <n v="-68398"/>
    <x v="0"/>
    <x v="0"/>
    <x v="0"/>
    <x v="20"/>
  </r>
  <r>
    <x v="8"/>
    <d v="2025-05-27T19:08:00"/>
    <s v="Dulce Aroma Santiago Chl"/>
    <n v="6700"/>
    <x v="1"/>
    <x v="1"/>
    <x v="1"/>
    <x v="2"/>
  </r>
  <r>
    <x v="8"/>
    <d v="2025-05-27T17:40:00"/>
    <s v="Ahum L550 W.martinez 3 Santiago Chl"/>
    <n v="19949"/>
    <x v="1"/>
    <x v="1"/>
    <x v="1"/>
    <x v="24"/>
  </r>
  <r>
    <x v="8"/>
    <d v="2025-05-27T16:31:00"/>
    <s v="Heladomania Santiago Chl"/>
    <n v="2300"/>
    <x v="1"/>
    <x v="1"/>
    <x v="1"/>
    <x v="2"/>
  </r>
  <r>
    <x v="8"/>
    <d v="2025-05-27T11:37:00"/>
    <s v="Servicios Y Comercial La Florida Chl"/>
    <n v="7365"/>
    <x v="1"/>
    <x v="1"/>
    <x v="1"/>
    <x v="2"/>
  </r>
  <r>
    <x v="8"/>
    <d v="2025-05-27T10:16:00"/>
    <s v="Transferencia En Linea A Otro Banco Flow Cl B"/>
    <n v="25000"/>
    <x v="1"/>
    <x v="1"/>
    <x v="1"/>
    <x v="24"/>
  </r>
  <r>
    <x v="8"/>
    <d v="2025-05-27T00:00:00"/>
    <s v="Compra con Tarjeta de Débito en WINKLER"/>
    <n v="33580"/>
    <x v="1"/>
    <x v="1"/>
    <x v="1"/>
    <x v="24"/>
  </r>
  <r>
    <x v="8"/>
    <d v="2025-05-26T19:34:00"/>
    <s v="Hip Lider Plaza Vespuc Santiago Chl"/>
    <n v="34800"/>
    <x v="1"/>
    <x v="1"/>
    <x v="1"/>
    <x v="6"/>
  </r>
  <r>
    <x v="8"/>
    <d v="2025-05-26T19:03:00"/>
    <s v="Abono Transferencia Desde Otros Bancos"/>
    <n v="-100000"/>
    <x v="0"/>
    <x v="0"/>
    <x v="0"/>
    <x v="20"/>
  </r>
  <r>
    <x v="8"/>
    <d v="2025-05-26T13:56:00"/>
    <s v="Google *Roblox G.co/helppay# Usa"/>
    <n v="5500"/>
    <x v="1"/>
    <x v="1"/>
    <x v="1"/>
    <x v="17"/>
  </r>
  <r>
    <x v="8"/>
    <d v="2025-05-26T00:00:00"/>
    <s v="COMPRA Parking Mallplaza"/>
    <n v="126"/>
    <x v="1"/>
    <x v="3"/>
    <x v="1"/>
    <x v="19"/>
  </r>
  <r>
    <x v="8"/>
    <d v="2025-05-25T19:41:00"/>
    <s v="Unimarc Rojas Magallan Santiago Chl"/>
    <n v="38350"/>
    <x v="1"/>
    <x v="1"/>
    <x v="1"/>
    <x v="6"/>
  </r>
  <r>
    <x v="8"/>
    <d v="2025-05-25T13:05:00"/>
    <s v="Nico Gas La Florida Santiago Chl"/>
    <n v="27300"/>
    <x v="1"/>
    <x v="1"/>
    <x v="1"/>
    <x v="14"/>
  </r>
  <r>
    <x v="8"/>
    <d v="2025-05-25T00:00:00"/>
    <s v="COMPRA DULCE AROMA"/>
    <n v="1550"/>
    <x v="1"/>
    <x v="3"/>
    <x v="1"/>
    <x v="2"/>
  </r>
  <r>
    <x v="8"/>
    <d v="2025-05-25T00:00:00"/>
    <s v="Transferencia enviada a Alejandra Gallardo Catala"/>
    <n v="75000"/>
    <x v="1"/>
    <x v="1"/>
    <x v="1"/>
    <x v="11"/>
  </r>
  <r>
    <x v="8"/>
    <d v="2025-05-24T19:03:00"/>
    <s v="Flores Vivo La Florida Santiago Chl"/>
    <n v="9991"/>
    <x v="1"/>
    <x v="1"/>
    <x v="1"/>
    <x v="12"/>
  </r>
  <r>
    <x v="8"/>
    <d v="2025-05-24T14:50:00"/>
    <s v="Google *Spotify 650-253-0000 Usa"/>
    <n v="5850"/>
    <x v="1"/>
    <x v="1"/>
    <x v="2"/>
    <x v="4"/>
  </r>
  <r>
    <x v="8"/>
    <d v="2025-05-24T12:26:00"/>
    <s v="Banco Del Estado Santiago Chl"/>
    <n v="30000"/>
    <x v="1"/>
    <x v="1"/>
    <x v="1"/>
    <x v="15"/>
  </r>
  <r>
    <x v="8"/>
    <d v="2025-05-24T11:02:00"/>
    <s v="Shel Walker Martinez F Santiago Chl"/>
    <n v="15000"/>
    <x v="1"/>
    <x v="1"/>
    <x v="1"/>
    <x v="7"/>
  </r>
  <r>
    <x v="8"/>
    <d v="2025-05-24T00:00:00"/>
    <s v="COMPRA GOOGLE PLAY"/>
    <n v="1900"/>
    <x v="1"/>
    <x v="3"/>
    <x v="1"/>
    <x v="17"/>
  </r>
  <r>
    <x v="8"/>
    <d v="2025-05-24T00:00:00"/>
    <s v="Compra con Tarjeta de Débito en FAMILY SHOP"/>
    <n v="29970"/>
    <x v="1"/>
    <x v="1"/>
    <x v="1"/>
    <x v="12"/>
  </r>
  <r>
    <x v="8"/>
    <d v="2025-05-24T00:00:00"/>
    <s v="Compra con Tarjeta de Débito en BESTSELLER WHOLESALE CHILE"/>
    <n v="27980"/>
    <x v="1"/>
    <x v="1"/>
    <x v="1"/>
    <x v="12"/>
  </r>
  <r>
    <x v="8"/>
    <d v="2025-05-23T21:01:00"/>
    <s v="Sajaki Sushi Santiago Chl"/>
    <n v="17400"/>
    <x v="1"/>
    <x v="1"/>
    <x v="1"/>
    <x v="10"/>
  </r>
  <r>
    <x v="8"/>
    <d v="2025-05-23T14:13:00"/>
    <s v="Freddo Providencia Santiago Chl"/>
    <n v="13178"/>
    <x v="1"/>
    <x v="1"/>
    <x v="1"/>
    <x v="10"/>
  </r>
  <r>
    <x v="8"/>
    <d v="2025-05-23T13:25:00"/>
    <s v="Merpago*dunkin Fagase Lampa Chl"/>
    <n v="4060"/>
    <x v="1"/>
    <x v="1"/>
    <x v="1"/>
    <x v="3"/>
  </r>
  <r>
    <x v="8"/>
    <d v="2025-05-23T12:57:00"/>
    <s v="Kfc O7 P Arauco Santiago Chl"/>
    <n v="5400"/>
    <x v="1"/>
    <x v="1"/>
    <x v="1"/>
    <x v="10"/>
  </r>
  <r>
    <x v="8"/>
    <d v="2025-05-23T10:47:00"/>
    <s v="Farm Belen La Florida Santiago Chl"/>
    <n v="13900"/>
    <x v="1"/>
    <x v="1"/>
    <x v="1"/>
    <x v="24"/>
  </r>
  <r>
    <x v="8"/>
    <d v="2025-05-23T00:00:00"/>
    <s v="COMPRA SABA ARAUCO KENNEDY"/>
    <n v="2150"/>
    <x v="1"/>
    <x v="3"/>
    <x v="1"/>
    <x v="19"/>
  </r>
  <r>
    <x v="8"/>
    <d v="2025-05-23T00:00:00"/>
    <s v="COMPRA Parking Mallplaza"/>
    <n v="600"/>
    <x v="1"/>
    <x v="3"/>
    <x v="1"/>
    <x v="19"/>
  </r>
  <r>
    <x v="8"/>
    <d v="2025-05-23T00:00:00"/>
    <s v="COMPRA CLINICA DAVILA VESPUCI"/>
    <n v="7750"/>
    <x v="1"/>
    <x v="3"/>
    <x v="1"/>
    <x v="24"/>
  </r>
  <r>
    <x v="8"/>
    <d v="2025-05-23T00:00:00"/>
    <s v="Compra con Tarjeta de Débito en UNIMARC"/>
    <n v="30137"/>
    <x v="1"/>
    <x v="1"/>
    <x v="1"/>
    <x v="6"/>
  </r>
  <r>
    <x v="8"/>
    <d v="2025-05-23T00:00:00"/>
    <s v="COMPRA RedGloba*GREAT MARKET"/>
    <n v="5660"/>
    <x v="1"/>
    <x v="3"/>
    <x v="1"/>
    <x v="6"/>
  </r>
  <r>
    <x v="8"/>
    <d v="2025-05-22T19:15:00"/>
    <s v="Dulce Aroma Santiago Chl"/>
    <n v="5670"/>
    <x v="1"/>
    <x v="1"/>
    <x v="1"/>
    <x v="2"/>
  </r>
  <r>
    <x v="8"/>
    <d v="2025-05-22T14:10:00"/>
    <s v="Tienda Outlet La Flori Santiago Chl"/>
    <n v="23990"/>
    <x v="1"/>
    <x v="1"/>
    <x v="1"/>
    <x v="12"/>
  </r>
  <r>
    <x v="8"/>
    <d v="2025-05-22T13:56:00"/>
    <s v="Sei Tobalaba Santiago Chl"/>
    <n v="8792"/>
    <x v="1"/>
    <x v="1"/>
    <x v="1"/>
    <x v="24"/>
  </r>
  <r>
    <x v="8"/>
    <d v="2025-05-22T00:00:00"/>
    <s v="COMPRA VIVO LA FLORIDA"/>
    <n v="27990"/>
    <x v="1"/>
    <x v="3"/>
    <x v="1"/>
    <x v="12"/>
  </r>
  <r>
    <x v="8"/>
    <d v="2025-05-21T19:02:00"/>
    <s v="Tuu*holyfritas Santiago Chl"/>
    <n v="1200"/>
    <x v="1"/>
    <x v="1"/>
    <x v="1"/>
    <x v="2"/>
  </r>
  <r>
    <x v="8"/>
    <d v="2025-05-21T17:34:00"/>
    <s v="Pica Que Pica Santiago Chl"/>
    <n v="5500"/>
    <x v="1"/>
    <x v="1"/>
    <x v="1"/>
    <x v="2"/>
  </r>
  <r>
    <x v="8"/>
    <d v="2025-05-21T15:13:00"/>
    <s v="Shel Walker Martinez F Santiago Chl"/>
    <n v="15000"/>
    <x v="1"/>
    <x v="1"/>
    <x v="1"/>
    <x v="7"/>
  </r>
  <r>
    <x v="8"/>
    <d v="2025-05-21T12:40:00"/>
    <s v="A. Rojas M. 3638 La Florida"/>
    <n v="50000"/>
    <x v="1"/>
    <x v="1"/>
    <x v="1"/>
    <x v="15"/>
  </r>
  <r>
    <x v="8"/>
    <d v="2025-05-21T11:35:00"/>
    <s v="Mercadopago *Ccuvendi Las Condes Chl"/>
    <n v="1600"/>
    <x v="1"/>
    <x v="1"/>
    <x v="1"/>
    <x v="2"/>
  </r>
  <r>
    <x v="8"/>
    <d v="2025-05-21T00:00:00"/>
    <s v="COMPRA BARBER SHOP P. VESPUCI"/>
    <n v="19870"/>
    <x v="1"/>
    <x v="3"/>
    <x v="1"/>
    <x v="24"/>
  </r>
  <r>
    <x v="8"/>
    <d v="2025-05-21T00:00:00"/>
    <s v="COMPRA RedGloba*OSIRIS LICORE"/>
    <n v="1300"/>
    <x v="1"/>
    <x v="3"/>
    <x v="1"/>
    <x v="2"/>
  </r>
  <r>
    <x v="8"/>
    <d v="2025-05-21T00:00:00"/>
    <s v="COMPRA TUU*holyFritas"/>
    <n v="4690"/>
    <x v="1"/>
    <x v="3"/>
    <x v="1"/>
    <x v="10"/>
  </r>
  <r>
    <x v="8"/>
    <d v="2025-05-21T00:00:00"/>
    <s v="COMPRA SumUp * OBOLO Chocolat"/>
    <n v="5100"/>
    <x v="1"/>
    <x v="3"/>
    <x v="1"/>
    <x v="10"/>
  </r>
  <r>
    <x v="8"/>
    <d v="2025-05-21T00:00:00"/>
    <s v="COMPRA SALTO ANGEL 2"/>
    <n v="6070"/>
    <x v="1"/>
    <x v="3"/>
    <x v="1"/>
    <x v="10"/>
  </r>
  <r>
    <x v="8"/>
    <d v="2025-05-21T00:00:00"/>
    <s v="COMPRA PASAPORTE TURCO SPA"/>
    <n v="6000"/>
    <x v="1"/>
    <x v="3"/>
    <x v="1"/>
    <x v="10"/>
  </r>
  <r>
    <x v="8"/>
    <d v="2025-05-21T00:00:00"/>
    <s v="COMPRA FESTA"/>
    <n v="3300"/>
    <x v="1"/>
    <x v="3"/>
    <x v="1"/>
    <x v="12"/>
  </r>
  <r>
    <x v="8"/>
    <d v="2025-05-21T00:00:00"/>
    <s v="COMPRA FESTA"/>
    <n v="6600"/>
    <x v="1"/>
    <x v="3"/>
    <x v="1"/>
    <x v="12"/>
  </r>
  <r>
    <x v="8"/>
    <d v="2025-05-21T00:00:00"/>
    <s v="COMPRA UNIMARC ROJAS MAGALLANES"/>
    <n v="15744"/>
    <x v="1"/>
    <x v="3"/>
    <x v="1"/>
    <x v="6"/>
  </r>
  <r>
    <x v="8"/>
    <d v="2025-05-20T21:07:00"/>
    <s v="Copec App Santiago Chl"/>
    <n v="10540"/>
    <x v="1"/>
    <x v="1"/>
    <x v="1"/>
    <x v="7"/>
  </r>
  <r>
    <x v="8"/>
    <d v="2025-05-20T13:40:00"/>
    <s v="Mercadopago *Eltomeci Las Condes Chl"/>
    <n v="6460"/>
    <x v="1"/>
    <x v="1"/>
    <x v="1"/>
    <x v="2"/>
  </r>
  <r>
    <x v="8"/>
    <d v="2025-05-20T10:34:00"/>
    <s v="Farmacias Tobalaba Santiago Chl"/>
    <n v="25570"/>
    <x v="1"/>
    <x v="1"/>
    <x v="1"/>
    <x v="24"/>
  </r>
  <r>
    <x v="8"/>
    <d v="2025-05-20T00:00:00"/>
    <s v="Seg Desgravamen Tr"/>
    <n v="2350"/>
    <x v="1"/>
    <x v="3"/>
    <x v="2"/>
    <x v="25"/>
  </r>
  <r>
    <x v="8"/>
    <d v="2025-05-19T13:22:00"/>
    <s v="Marcos Andres Espinoza Santiago Chl"/>
    <n v="3950"/>
    <x v="1"/>
    <x v="1"/>
    <x v="1"/>
    <x v="2"/>
  </r>
  <r>
    <x v="8"/>
    <d v="2025-05-18T19:38:00"/>
    <s v="Unimarc Rojas Magallan Santiago Chl"/>
    <n v="44963"/>
    <x v="1"/>
    <x v="1"/>
    <x v="1"/>
    <x v="6"/>
  </r>
  <r>
    <x v="8"/>
    <d v="2025-05-18T15:24:00"/>
    <s v="Redgloba*great Market Laflorida Chl"/>
    <n v="11350"/>
    <x v="1"/>
    <x v="1"/>
    <x v="1"/>
    <x v="6"/>
  </r>
  <r>
    <x v="8"/>
    <d v="2025-05-18T15:07:00"/>
    <s v="Cps Copec Pve Santiago Chl"/>
    <n v="2750"/>
    <x v="1"/>
    <x v="1"/>
    <x v="1"/>
    <x v="3"/>
  </r>
  <r>
    <x v="8"/>
    <d v="2025-05-18T14:58:00"/>
    <s v="Ripley Plaza Vespucio Santiago Chl"/>
    <n v="41971"/>
    <x v="1"/>
    <x v="1"/>
    <x v="1"/>
    <x v="12"/>
  </r>
  <r>
    <x v="8"/>
    <d v="2025-05-18T13:07:00"/>
    <s v="Salcobrand 405 Santiago Chl"/>
    <n v="10009"/>
    <x v="1"/>
    <x v="1"/>
    <x v="1"/>
    <x v="24"/>
  </r>
  <r>
    <x v="8"/>
    <d v="2025-05-17T16:01:00"/>
    <s v="Pasteleria Strindberg La Florida Chl"/>
    <n v="11800"/>
    <x v="1"/>
    <x v="1"/>
    <x v="1"/>
    <x v="10"/>
  </r>
  <r>
    <x v="8"/>
    <d v="2025-05-17T13:23:00"/>
    <s v="Mercadopago *Eltomeci Las Condes Chl"/>
    <n v="5180"/>
    <x v="1"/>
    <x v="1"/>
    <x v="1"/>
    <x v="2"/>
  </r>
  <r>
    <x v="8"/>
    <d v="2025-05-17T12:56:00"/>
    <s v="Farm Belen La Florida Santiago Chl"/>
    <n v="4990"/>
    <x v="1"/>
    <x v="1"/>
    <x v="1"/>
    <x v="24"/>
  </r>
  <r>
    <x v="8"/>
    <d v="2025-05-17T11:34:00"/>
    <s v="W.martinez 1940 La Florida"/>
    <n v="50000"/>
    <x v="1"/>
    <x v="1"/>
    <x v="1"/>
    <x v="15"/>
  </r>
  <r>
    <x v="8"/>
    <d v="2025-05-16T22:24:00"/>
    <s v="Merpago*jalapenos Unid Providencia Chl"/>
    <n v="51370"/>
    <x v="1"/>
    <x v="1"/>
    <x v="1"/>
    <x v="10"/>
  </r>
  <r>
    <x v="8"/>
    <d v="2025-05-16T20:54:00"/>
    <s v="Merpago*food Italia H Providencia Chl"/>
    <n v="2000"/>
    <x v="1"/>
    <x v="1"/>
    <x v="1"/>
    <x v="3"/>
  </r>
  <r>
    <x v="8"/>
    <d v="2025-05-16T19:41:00"/>
    <s v="Starbucks R. Magallane Santiago Chl"/>
    <n v="5500"/>
    <x v="1"/>
    <x v="1"/>
    <x v="1"/>
    <x v="3"/>
  </r>
  <r>
    <x v="8"/>
    <d v="2025-05-16T19:22:00"/>
    <s v="Puma Outlet Patio Flor Santiago Chl"/>
    <n v="16194"/>
    <x v="1"/>
    <x v="1"/>
    <x v="1"/>
    <x v="12"/>
  </r>
  <r>
    <x v="8"/>
    <d v="2025-05-16T13:27:00"/>
    <s v="Haulmer*botilleria Ech Santiago Chl"/>
    <n v="950"/>
    <x v="1"/>
    <x v="1"/>
    <x v="1"/>
    <x v="2"/>
  </r>
  <r>
    <x v="8"/>
    <d v="2025-05-16T11:53:00"/>
    <s v="Pedidosya Cl Restauran Cl Chl"/>
    <n v="5500"/>
    <x v="1"/>
    <x v="1"/>
    <x v="1"/>
    <x v="10"/>
  </r>
  <r>
    <x v="8"/>
    <d v="2025-05-16T09:23:00"/>
    <s v="Farmacias Tobalaba Santiago Chl"/>
    <n v="14970"/>
    <x v="1"/>
    <x v="1"/>
    <x v="1"/>
    <x v="24"/>
  </r>
  <r>
    <x v="8"/>
    <d v="2025-05-16T09:17:00"/>
    <s v="Shell.tobalaba14007.t6 Santiago Chl"/>
    <n v="15000"/>
    <x v="1"/>
    <x v="1"/>
    <x v="1"/>
    <x v="7"/>
  </r>
  <r>
    <x v="8"/>
    <d v="2025-05-16T08:16:00"/>
    <s v="Transferencia En Linea A Otro Banco Inversiones La Florida S.a"/>
    <n v="4000"/>
    <x v="1"/>
    <x v="1"/>
    <x v="1"/>
    <x v="1"/>
  </r>
  <r>
    <x v="8"/>
    <d v="2025-05-16T00:00:00"/>
    <s v="Compra con Tarjeta de Débito en VIVO FL"/>
    <n v="146568"/>
    <x v="1"/>
    <x v="1"/>
    <x v="1"/>
    <x v="12"/>
  </r>
  <r>
    <x v="8"/>
    <d v="2025-05-15T19:12:00"/>
    <s v="Dulce Aroma Santiago Chl"/>
    <n v="8120"/>
    <x v="1"/>
    <x v="1"/>
    <x v="1"/>
    <x v="2"/>
  </r>
  <r>
    <x v="8"/>
    <d v="2025-05-15T15:05:00"/>
    <s v="Valle Sur Santiago Chl"/>
    <n v="2900"/>
    <x v="1"/>
    <x v="1"/>
    <x v="1"/>
    <x v="2"/>
  </r>
  <r>
    <x v="8"/>
    <d v="2025-05-15T11:14:00"/>
    <s v="Mercadopago *Eltomeci Las Condes Chl"/>
    <n v="2140"/>
    <x v="1"/>
    <x v="1"/>
    <x v="1"/>
    <x v="2"/>
  </r>
  <r>
    <x v="8"/>
    <d v="2025-05-15T09:20:00"/>
    <s v="Merpago*dunkin Fagase Lampa Chl"/>
    <n v="3852"/>
    <x v="1"/>
    <x v="1"/>
    <x v="1"/>
    <x v="3"/>
  </r>
  <r>
    <x v="8"/>
    <d v="2025-05-15T00:00:00"/>
    <s v="Comisión por Plan Cta. Corriente"/>
    <n v="3259"/>
    <x v="1"/>
    <x v="1"/>
    <x v="2"/>
    <x v="25"/>
  </r>
  <r>
    <x v="8"/>
    <d v="2025-05-15T00:00:00"/>
    <s v="Pago en línea PUNTO PAGOS S.A."/>
    <n v="112200"/>
    <x v="1"/>
    <x v="1"/>
    <x v="2"/>
    <x v="26"/>
  </r>
  <r>
    <x v="8"/>
    <d v="2025-05-14T18:37:00"/>
    <s v="Unimarc Rojas Magallan Santiago Chl"/>
    <n v="18889"/>
    <x v="1"/>
    <x v="1"/>
    <x v="1"/>
    <x v="6"/>
  </r>
  <r>
    <x v="8"/>
    <d v="2025-05-14T18:12:00"/>
    <s v="A. Rojas M. 3638 La Florida"/>
    <n v="30000"/>
    <x v="1"/>
    <x v="1"/>
    <x v="1"/>
    <x v="15"/>
  </r>
  <r>
    <x v="8"/>
    <d v="2025-05-14T13:01:00"/>
    <s v="Pedidosya Cl Restauran Cl Chl"/>
    <n v="27670"/>
    <x v="1"/>
    <x v="1"/>
    <x v="1"/>
    <x v="10"/>
  </r>
  <r>
    <x v="8"/>
    <d v="2025-05-14T12:06:00"/>
    <s v="Urbanparq Santiago Chl"/>
    <n v="6150"/>
    <x v="1"/>
    <x v="1"/>
    <x v="1"/>
    <x v="2"/>
  </r>
  <r>
    <x v="8"/>
    <d v="2025-05-14T11:56:00"/>
    <s v="Mc Donalds Santiago Chl"/>
    <n v="6090"/>
    <x v="1"/>
    <x v="1"/>
    <x v="1"/>
    <x v="3"/>
  </r>
  <r>
    <x v="8"/>
    <d v="2025-05-14T11:48:00"/>
    <s v="Paseo Ahumada Santiago Chl"/>
    <n v="44148"/>
    <x v="1"/>
    <x v="1"/>
    <x v="1"/>
    <x v="12"/>
  </r>
  <r>
    <x v="8"/>
    <d v="2025-05-14T11:31:00"/>
    <s v="Cardinale Santiago Santiago Chl"/>
    <n v="69990"/>
    <x v="1"/>
    <x v="1"/>
    <x v="1"/>
    <x v="12"/>
  </r>
  <r>
    <x v="8"/>
    <d v="2025-05-14T11:16:00"/>
    <s v="Merpago*deibison Titan Santiago Chl"/>
    <n v="2000"/>
    <x v="1"/>
    <x v="1"/>
    <x v="1"/>
    <x v="2"/>
  </r>
  <r>
    <x v="8"/>
    <d v="2025-05-14T00:00:00"/>
    <s v="Depósito cheque/documento otros bancos"/>
    <n v="-1873228"/>
    <x v="0"/>
    <x v="0"/>
    <x v="0"/>
    <x v="20"/>
  </r>
  <r>
    <x v="8"/>
    <d v="2025-05-13T22:41:00"/>
    <s v="Haulmer*botilleria Ech Santiago Chl"/>
    <n v="3600"/>
    <x v="1"/>
    <x v="1"/>
    <x v="1"/>
    <x v="2"/>
  </r>
  <r>
    <x v="8"/>
    <d v="2025-05-13T21:13:00"/>
    <s v="Copec App Santiago Chl"/>
    <n v="1090"/>
    <x v="1"/>
    <x v="1"/>
    <x v="1"/>
    <x v="3"/>
  </r>
  <r>
    <x v="8"/>
    <d v="2025-05-13T21:11:00"/>
    <s v="Copec App Santiago Chl"/>
    <n v="15000"/>
    <x v="1"/>
    <x v="1"/>
    <x v="1"/>
    <x v="7"/>
  </r>
  <r>
    <x v="8"/>
    <d v="2025-05-13T16:38:00"/>
    <s v="Plaza Las Condes Santiago Chl"/>
    <n v="3100"/>
    <x v="1"/>
    <x v="1"/>
    <x v="1"/>
    <x v="2"/>
  </r>
  <r>
    <x v="8"/>
    <d v="2025-05-13T16:32:00"/>
    <s v="Maxik Las Condes Chl"/>
    <n v="1890"/>
    <x v="1"/>
    <x v="1"/>
    <x v="1"/>
    <x v="2"/>
  </r>
  <r>
    <x v="8"/>
    <d v="2025-05-13T16:30:00"/>
    <s v="Ave Apoquindo 302 Las Condes"/>
    <n v="50000"/>
    <x v="1"/>
    <x v="1"/>
    <x v="1"/>
    <x v="15"/>
  </r>
  <r>
    <x v="8"/>
    <d v="2025-05-13T11:24:00"/>
    <s v="Cps Copec Pve Santiago Chl"/>
    <n v="1950"/>
    <x v="1"/>
    <x v="1"/>
    <x v="1"/>
    <x v="3"/>
  </r>
  <r>
    <x v="8"/>
    <d v="2025-05-13T10:45:00"/>
    <s v="Mercadopago *Ccuvendi Las Condes Chl"/>
    <n v="1600"/>
    <x v="1"/>
    <x v="1"/>
    <x v="1"/>
    <x v="2"/>
  </r>
  <r>
    <x v="8"/>
    <d v="2025-05-12T20:53:00"/>
    <s v="Redgloba*great Market Laflorida Chl"/>
    <n v="6440"/>
    <x v="1"/>
    <x v="1"/>
    <x v="1"/>
    <x v="6"/>
  </r>
  <r>
    <x v="8"/>
    <d v="2025-05-12T20:24:00"/>
    <s v="Hip Lider Departamenta Santiago Chl"/>
    <n v="113580"/>
    <x v="1"/>
    <x v="1"/>
    <x v="1"/>
    <x v="6"/>
  </r>
  <r>
    <x v="8"/>
    <d v="2025-05-12T19:43:00"/>
    <s v="Abono Comp Nac Google Play Youtube"/>
    <n v="-418"/>
    <x v="0"/>
    <x v="0"/>
    <x v="0"/>
    <x v="39"/>
  </r>
  <r>
    <x v="8"/>
    <d v="2025-05-12T19:28:00"/>
    <s v="Comp Nac Payu *Uber Trip Santiago Chl"/>
    <n v="-1896"/>
    <x v="0"/>
    <x v="0"/>
    <x v="0"/>
    <x v="39"/>
  </r>
  <r>
    <x v="8"/>
    <d v="2025-05-12T14:51:00"/>
    <s v="Estac Megacenter 12 Santiago Chl"/>
    <n v="1700"/>
    <x v="1"/>
    <x v="1"/>
    <x v="1"/>
    <x v="19"/>
  </r>
  <r>
    <x v="8"/>
    <d v="2025-05-12T13:52:00"/>
    <s v="Ikea Open Kennedy Santiago Chl"/>
    <n v="7480"/>
    <x v="1"/>
    <x v="1"/>
    <x v="1"/>
    <x v="18"/>
  </r>
  <r>
    <x v="8"/>
    <d v="2025-05-12T13:20:00"/>
    <s v="Haulmer*parking Sagan Santiago Chl"/>
    <n v="2860"/>
    <x v="1"/>
    <x v="1"/>
    <x v="1"/>
    <x v="19"/>
  </r>
  <r>
    <x v="8"/>
    <d v="2025-05-12T11:08:00"/>
    <s v="Hip Lider Departamenta Santiago Chl"/>
    <n v="17350"/>
    <x v="1"/>
    <x v="1"/>
    <x v="1"/>
    <x v="6"/>
  </r>
  <r>
    <x v="8"/>
    <d v="2025-05-12T08:16:00"/>
    <s v="Marcos Andres Espinoza Santiago Chl"/>
    <n v="3600"/>
    <x v="1"/>
    <x v="1"/>
    <x v="1"/>
    <x v="2"/>
  </r>
  <r>
    <x v="8"/>
    <d v="2025-05-11T17:04:00"/>
    <s v="Tuu*apicami San Jose De M Chl"/>
    <n v="12000"/>
    <x v="1"/>
    <x v="1"/>
    <x v="1"/>
    <x v="10"/>
  </r>
  <r>
    <x v="8"/>
    <d v="2025-05-11T16:05:00"/>
    <s v="Restorant Vizcamaipo S Jose De Mai Chl"/>
    <n v="52140"/>
    <x v="1"/>
    <x v="1"/>
    <x v="1"/>
    <x v="10"/>
  </r>
  <r>
    <x v="8"/>
    <d v="2025-05-11T13:27:00"/>
    <s v="La Casa De Chocolate S Jose De Mai Chl"/>
    <n v="3500"/>
    <x v="1"/>
    <x v="1"/>
    <x v="1"/>
    <x v="10"/>
  </r>
  <r>
    <x v="8"/>
    <d v="2025-05-11T13:07:00"/>
    <s v="La Casa De Chocolate S Jose De Mai Chl"/>
    <n v="16300"/>
    <x v="1"/>
    <x v="1"/>
    <x v="1"/>
    <x v="10"/>
  </r>
  <r>
    <x v="8"/>
    <d v="2025-05-11T11:59:00"/>
    <s v="Copec App Santiago Chl"/>
    <n v="20000"/>
    <x v="1"/>
    <x v="1"/>
    <x v="1"/>
    <x v="7"/>
  </r>
  <r>
    <x v="8"/>
    <d v="2025-05-10T17:54:00"/>
    <s v="22984-bk Penalolen Santiago Chl"/>
    <n v="6650"/>
    <x v="1"/>
    <x v="1"/>
    <x v="1"/>
    <x v="10"/>
  </r>
  <r>
    <x v="8"/>
    <d v="2025-05-10T17:46:00"/>
    <s v="Chocolates Del Mundo S Santiago Chl"/>
    <n v="17200"/>
    <x v="1"/>
    <x v="1"/>
    <x v="1"/>
    <x v="11"/>
  </r>
  <r>
    <x v="8"/>
    <d v="2025-05-10T17:01:00"/>
    <s v="Tb Factory Spa Penalolen Chl"/>
    <n v="39990"/>
    <x v="1"/>
    <x v="1"/>
    <x v="1"/>
    <x v="12"/>
  </r>
  <r>
    <x v="8"/>
    <d v="2025-05-10T16:45:00"/>
    <s v="Paris Quilin Santiago Chl"/>
    <n v="23990"/>
    <x v="1"/>
    <x v="1"/>
    <x v="1"/>
    <x v="12"/>
  </r>
  <r>
    <x v="8"/>
    <d v="2025-05-10T13:50:00"/>
    <s v="Don Benito La Florida Chl"/>
    <n v="5970"/>
    <x v="1"/>
    <x v="1"/>
    <x v="1"/>
    <x v="3"/>
  </r>
  <r>
    <x v="8"/>
    <d v="2025-05-10T13:43:00"/>
    <s v="Redgloba*el Sabroson Laflorida Chl"/>
    <n v="8000"/>
    <x v="1"/>
    <x v="1"/>
    <x v="1"/>
    <x v="3"/>
  </r>
  <r>
    <x v="8"/>
    <d v="2025-05-10T10:34:00"/>
    <s v="Banco Del Estado La Florida Chl"/>
    <n v="50000"/>
    <x v="1"/>
    <x v="1"/>
    <x v="1"/>
    <x v="15"/>
  </r>
  <r>
    <x v="8"/>
    <d v="2025-05-09T23:18:00"/>
    <s v="Pedidosya Cl Restauran Cl Chl"/>
    <n v="8393"/>
    <x v="1"/>
    <x v="1"/>
    <x v="1"/>
    <x v="10"/>
  </r>
  <r>
    <x v="8"/>
    <d v="2025-05-09T23:13:00"/>
    <s v="Pedidosya Cl Restauran Cl Chl"/>
    <n v="7530"/>
    <x v="1"/>
    <x v="1"/>
    <x v="1"/>
    <x v="10"/>
  </r>
  <r>
    <x v="8"/>
    <d v="2025-05-09T15:21:00"/>
    <s v="Mercadopago *Eltomeci Las Condes Chl"/>
    <n v="5870"/>
    <x v="1"/>
    <x v="1"/>
    <x v="1"/>
    <x v="2"/>
  </r>
  <r>
    <x v="8"/>
    <d v="2025-05-09T11:32:00"/>
    <s v="Mall Vivo La Florida Santiago Chl"/>
    <n v="11400"/>
    <x v="1"/>
    <x v="1"/>
    <x v="1"/>
    <x v="12"/>
  </r>
  <r>
    <x v="8"/>
    <d v="2025-05-09T09:48:00"/>
    <s v="Shel Walker Martinez F Santiago Chl"/>
    <n v="10000"/>
    <x v="1"/>
    <x v="1"/>
    <x v="1"/>
    <x v="7"/>
  </r>
  <r>
    <x v="8"/>
    <d v="2025-05-09T06:04:00"/>
    <s v="Smu Sa - Sueldos"/>
    <n v="-598194"/>
    <x v="0"/>
    <x v="0"/>
    <x v="0"/>
    <x v="28"/>
  </r>
  <r>
    <x v="8"/>
    <d v="2025-05-08T22:38:00"/>
    <s v="Abono Transferencia Desde Otros Bancos"/>
    <n v="-60804"/>
    <x v="0"/>
    <x v="0"/>
    <x v="0"/>
    <x v="39"/>
  </r>
  <r>
    <x v="8"/>
    <d v="2025-05-08T19:35:00"/>
    <s v="Cps Copec Pve Santiago Chl"/>
    <n v="1950"/>
    <x v="1"/>
    <x v="1"/>
    <x v="1"/>
    <x v="3"/>
  </r>
  <r>
    <x v="8"/>
    <d v="2025-05-08T19:29:00"/>
    <s v="Hip Lider Plaza Vespuc Santiago Chl"/>
    <n v="10230"/>
    <x v="1"/>
    <x v="1"/>
    <x v="1"/>
    <x v="6"/>
  </r>
  <r>
    <x v="8"/>
    <d v="2025-05-08T18:59:00"/>
    <s v="Comp Nac Payu *Uber Trip Santiago Chl"/>
    <n v="-2296"/>
    <x v="0"/>
    <x v="0"/>
    <x v="0"/>
    <x v="39"/>
  </r>
  <r>
    <x v="8"/>
    <d v="2025-05-08T13:13:00"/>
    <s v="Tottus Walker Martinez Santiago Chl"/>
    <n v="5915"/>
    <x v="1"/>
    <x v="1"/>
    <x v="1"/>
    <x v="6"/>
  </r>
  <r>
    <x v="8"/>
    <d v="2025-05-08T11:35:00"/>
    <s v="Nico Gas La Florida Santiago Chl"/>
    <n v="27300"/>
    <x v="1"/>
    <x v="1"/>
    <x v="1"/>
    <x v="14"/>
  </r>
  <r>
    <x v="8"/>
    <d v="2025-05-08T10:43:00"/>
    <s v="Mercadopago *Globalsh Las Condes Chl"/>
    <n v="9490"/>
    <x v="1"/>
    <x v="1"/>
    <x v="1"/>
    <x v="2"/>
  </r>
  <r>
    <x v="8"/>
    <d v="2025-05-07T21:00:00"/>
    <s v="Transferencia En Linea A Otro Banco Katherine Valdes"/>
    <n v="25000"/>
    <x v="1"/>
    <x v="1"/>
    <x v="1"/>
    <x v="8"/>
  </r>
  <r>
    <x v="8"/>
    <d v="2025-05-07T19:06:00"/>
    <s v="Tottus Walker Martinez Santiago Chl"/>
    <n v="4384"/>
    <x v="1"/>
    <x v="1"/>
    <x v="1"/>
    <x v="6"/>
  </r>
  <r>
    <x v="8"/>
    <d v="2025-05-07T19:00:00"/>
    <s v="Inversiones Dinamarca Santiago Chl"/>
    <n v="10500"/>
    <x v="1"/>
    <x v="1"/>
    <x v="1"/>
    <x v="3"/>
  </r>
  <r>
    <x v="8"/>
    <d v="2025-05-07T14:59:00"/>
    <s v="Transferencia En Linea A Otro Banco Marcelo Zapata Miranda"/>
    <n v="100000"/>
    <x v="1"/>
    <x v="1"/>
    <x v="1"/>
    <x v="7"/>
  </r>
  <r>
    <x v="8"/>
    <d v="2025-05-07T11:44:00"/>
    <s v="Hip Lider Santa Amalia Santiago Chl"/>
    <n v="11630"/>
    <x v="1"/>
    <x v="1"/>
    <x v="1"/>
    <x v="6"/>
  </r>
  <r>
    <x v="8"/>
    <d v="2025-05-07T09:55:00"/>
    <s v="Farmacias Tobalaba Santiago Chl"/>
    <n v="6990"/>
    <x v="1"/>
    <x v="1"/>
    <x v="1"/>
    <x v="24"/>
  </r>
  <r>
    <x v="8"/>
    <d v="2025-05-06T19:24:00"/>
    <s v="Redgloba*great Market Laflorida Chl"/>
    <n v="9740"/>
    <x v="1"/>
    <x v="1"/>
    <x v="1"/>
    <x v="6"/>
  </r>
  <r>
    <x v="8"/>
    <d v="2025-05-06T18:32:00"/>
    <s v="Abono Transferencia Desde Otros Bancos"/>
    <n v="-10223"/>
    <x v="0"/>
    <x v="0"/>
    <x v="0"/>
    <x v="39"/>
  </r>
  <r>
    <x v="8"/>
    <d v="2025-05-06T16:54:00"/>
    <s v="Transferencia En Linea De Katherine Valdes Seguel"/>
    <n v="-500000"/>
    <x v="0"/>
    <x v="0"/>
    <x v="0"/>
    <x v="39"/>
  </r>
  <r>
    <x v="8"/>
    <d v="2025-05-06T10:53:00"/>
    <s v="A.apoquindo 5710 Las Condes"/>
    <n v="15000"/>
    <x v="1"/>
    <x v="1"/>
    <x v="1"/>
    <x v="15"/>
  </r>
  <r>
    <x v="8"/>
    <d v="2025-05-06T09:18:00"/>
    <s v="Marina Hoteles Ltda- S Santiago Chl"/>
    <n v="1900"/>
    <x v="1"/>
    <x v="1"/>
    <x v="1"/>
    <x v="3"/>
  </r>
  <r>
    <x v="8"/>
    <d v="2025-05-06T00:00:00"/>
    <s v="Compra con Tarjeta de Débito en PEDIDOSYA CL PLUS5566556655 CHL"/>
    <n v="1449"/>
    <x v="1"/>
    <x v="1"/>
    <x v="1"/>
    <x v="10"/>
  </r>
  <r>
    <x v="8"/>
    <d v="2025-05-05T23:21:00"/>
    <s v="Abono Transferencia Desde Otros Bancos"/>
    <n v="-60000"/>
    <x v="0"/>
    <x v="0"/>
    <x v="0"/>
    <x v="39"/>
  </r>
  <r>
    <x v="8"/>
    <d v="2025-05-05T20:55:00"/>
    <s v="Shel Walker Martinez F Santiago Chl"/>
    <n v="10000"/>
    <x v="1"/>
    <x v="1"/>
    <x v="1"/>
    <x v="7"/>
  </r>
  <r>
    <x v="8"/>
    <d v="2025-05-05T20:00:00"/>
    <s v="Dulce Aroma Santiago Chl"/>
    <n v="6170"/>
    <x v="1"/>
    <x v="1"/>
    <x v="1"/>
    <x v="2"/>
  </r>
  <r>
    <x v="8"/>
    <d v="2025-05-05T16:10:00"/>
    <s v="Transferencia En Linea A Otro Banco Fernando Arriagada"/>
    <n v="11000"/>
    <x v="1"/>
    <x v="1"/>
    <x v="1"/>
    <x v="8"/>
  </r>
  <r>
    <x v="8"/>
    <d v="2025-05-05T15:10:00"/>
    <s v="Winkler Santiago Chl"/>
    <n v="3180"/>
    <x v="1"/>
    <x v="1"/>
    <x v="1"/>
    <x v="2"/>
  </r>
  <r>
    <x v="8"/>
    <d v="2025-05-05T11:17:00"/>
    <s v="Transferencia En Linea A Otro Banco Soluciones Nutriciones Y Fisicas Spa"/>
    <n v="8000"/>
    <x v="1"/>
    <x v="1"/>
    <x v="1"/>
    <x v="8"/>
  </r>
  <r>
    <x v="8"/>
    <d v="2025-05-05T11:16:00"/>
    <s v="Transferencia En Linea A Otro Banco Soluciones Nutriciones Y Fisicas Spa"/>
    <n v="110000"/>
    <x v="1"/>
    <x v="1"/>
    <x v="2"/>
    <x v="8"/>
  </r>
  <r>
    <x v="8"/>
    <d v="2025-05-05T08:31:00"/>
    <s v="Transferencia En Linea A Otro Banco Fernando Arriagada"/>
    <n v="703000"/>
    <x v="1"/>
    <x v="1"/>
    <x v="2"/>
    <x v="22"/>
  </r>
  <r>
    <x v="8"/>
    <d v="2025-05-05T00:56:00"/>
    <s v="Transferencia En Linea A Otro Banco Unired S.a. (Entel)"/>
    <n v="60984"/>
    <x v="1"/>
    <x v="1"/>
    <x v="2"/>
    <x v="26"/>
  </r>
  <r>
    <x v="8"/>
    <d v="2025-05-05T00:53:00"/>
    <s v="Transferencia En Linea A Otro Banco Fernando Arriagada (Colegio)"/>
    <n v="229970"/>
    <x v="1"/>
    <x v="1"/>
    <x v="2"/>
    <x v="1"/>
  </r>
  <r>
    <x v="8"/>
    <d v="2025-05-05T00:53:00"/>
    <s v="Transferencia En Linea A Otro Banco Fernando Arriagada"/>
    <n v="36030"/>
    <x v="1"/>
    <x v="1"/>
    <x v="2"/>
    <x v="26"/>
  </r>
  <r>
    <x v="8"/>
    <d v="2025-05-04T19:26:00"/>
    <s v="Haulmer*botilleria Ech Santiago Chl"/>
    <n v="2300"/>
    <x v="1"/>
    <x v="1"/>
    <x v="1"/>
    <x v="2"/>
  </r>
  <r>
    <x v="8"/>
    <d v="2025-05-04T19:04:00"/>
    <s v="Mall Paseo Quilin Santiago Chl"/>
    <n v="800"/>
    <x v="1"/>
    <x v="1"/>
    <x v="1"/>
    <x v="19"/>
  </r>
  <r>
    <x v="8"/>
    <d v="2025-05-04T19:02:00"/>
    <s v="Paseo Quilin Santiago Chl"/>
    <n v="3990"/>
    <x v="1"/>
    <x v="1"/>
    <x v="1"/>
    <x v="2"/>
  </r>
  <r>
    <x v="8"/>
    <d v="2025-05-04T18:56:00"/>
    <s v="Mall Quilin Santiago Chl"/>
    <n v="12990"/>
    <x v="1"/>
    <x v="1"/>
    <x v="1"/>
    <x v="11"/>
  </r>
  <r>
    <x v="8"/>
    <d v="2025-05-04T18:02:00"/>
    <s v="Cps Copec Pve Santiago Chl"/>
    <n v="550"/>
    <x v="1"/>
    <x v="1"/>
    <x v="1"/>
    <x v="3"/>
  </r>
  <r>
    <x v="8"/>
    <d v="2025-05-04T16:48:00"/>
    <s v="Mayorista 10 Sn L Macu Santiago Chl"/>
    <n v="4860"/>
    <x v="1"/>
    <x v="1"/>
    <x v="1"/>
    <x v="6"/>
  </r>
  <r>
    <x v="8"/>
    <d v="2025-05-04T10:19:00"/>
    <s v="Shell Ep324 Alessdri26 Santiago Chl"/>
    <n v="10000"/>
    <x v="1"/>
    <x v="1"/>
    <x v="1"/>
    <x v="7"/>
  </r>
  <r>
    <x v="8"/>
    <d v="2025-05-03T14:53:00"/>
    <s v="Paseo Quilin Santiago Chl"/>
    <n v="11895"/>
    <x v="1"/>
    <x v="1"/>
    <x v="1"/>
    <x v="10"/>
  </r>
  <r>
    <x v="8"/>
    <d v="2025-05-03T14:30:00"/>
    <s v="Shell Ep580 Irarra4123 Santiago Chl"/>
    <n v="10000"/>
    <x v="1"/>
    <x v="1"/>
    <x v="1"/>
    <x v="7"/>
  </r>
  <r>
    <x v="8"/>
    <d v="2025-05-03T14:00:00"/>
    <s v="Pedro De Valdivia 3 Santiago Chl"/>
    <n v="9750"/>
    <x v="1"/>
    <x v="1"/>
    <x v="1"/>
    <x v="10"/>
  </r>
  <r>
    <x v="8"/>
    <d v="2025-05-02T20:57:00"/>
    <s v="Tottus Walker Martinez Santiago Chl"/>
    <n v="8370"/>
    <x v="1"/>
    <x v="1"/>
    <x v="1"/>
    <x v="6"/>
  </r>
  <r>
    <x v="8"/>
    <d v="2025-05-02T20:42:00"/>
    <s v="Ahum L550 W.martinez 3 Santiago Chl"/>
    <n v="4124"/>
    <x v="1"/>
    <x v="1"/>
    <x v="1"/>
    <x v="24"/>
  </r>
  <r>
    <x v="8"/>
    <d v="2025-05-02T18:51:00"/>
    <s v="Unimarc Consistorial Santiago Chl"/>
    <n v="3663"/>
    <x v="1"/>
    <x v="1"/>
    <x v="1"/>
    <x v="6"/>
  </r>
  <r>
    <x v="8"/>
    <d v="2025-05-02T18:42:00"/>
    <s v="Consistorial 2701 Penalolen"/>
    <n v="150000"/>
    <x v="1"/>
    <x v="1"/>
    <x v="1"/>
    <x v="15"/>
  </r>
  <r>
    <x v="8"/>
    <d v="2025-05-02T18:24:00"/>
    <s v="Transferencia En Linea A Otro Banco Katherine Valdes"/>
    <n v="10000"/>
    <x v="1"/>
    <x v="1"/>
    <x v="1"/>
    <x v="8"/>
  </r>
  <r>
    <x v="8"/>
    <d v="2025-05-02T17:40:00"/>
    <s v="Uno Salud Santiago Chl"/>
    <n v="94500"/>
    <x v="1"/>
    <x v="1"/>
    <x v="1"/>
    <x v="24"/>
  </r>
  <r>
    <x v="8"/>
    <d v="2025-05-02T16:45:00"/>
    <s v="Mc Donalds Santiago Chl"/>
    <n v="2590"/>
    <x v="1"/>
    <x v="1"/>
    <x v="1"/>
    <x v="3"/>
  </r>
  <r>
    <x v="8"/>
    <d v="2025-05-01T19:05:00"/>
    <s v="Google Play Youtube Go Las Condes Chl"/>
    <n v="5500"/>
    <x v="1"/>
    <x v="1"/>
    <x v="1"/>
    <x v="17"/>
  </r>
  <r>
    <x v="8"/>
    <d v="2025-05-01T18:42:00"/>
    <s v="Transferencia En Linea A Otro Banco Fernando Arriagada Tapp"/>
    <n v="6000"/>
    <x v="1"/>
    <x v="1"/>
    <x v="1"/>
    <x v="17"/>
  </r>
  <r>
    <x v="8"/>
    <d v="2025-05-01T18:26:00"/>
    <s v="Dulce Aroma Santiago Chl"/>
    <n v="11050"/>
    <x v="1"/>
    <x v="1"/>
    <x v="1"/>
    <x v="2"/>
  </r>
  <r>
    <x v="8"/>
    <d v="2025-05-01T15:53:00"/>
    <s v="Pass Line Ltda Santiago Chl"/>
    <n v="11000"/>
    <x v="1"/>
    <x v="1"/>
    <x v="1"/>
    <x v="17"/>
  </r>
  <r>
    <x v="8"/>
    <d v="2025-05-01T03:38:00"/>
    <s v="Payu *Uber Trip Santiago Chl"/>
    <n v="2625"/>
    <x v="1"/>
    <x v="1"/>
    <x v="1"/>
    <x v="2"/>
  </r>
  <r>
    <x v="8"/>
    <d v="2025-04-30T20:29:00"/>
    <s v="Sajaki Sushi Santiago Chl"/>
    <n v="5900"/>
    <x v="1"/>
    <x v="1"/>
    <x v="1"/>
    <x v="10"/>
  </r>
  <r>
    <x v="8"/>
    <d v="2025-04-30T19:47:00"/>
    <s v="Cps Copec Pve Santiago Chl"/>
    <n v="350"/>
    <x v="1"/>
    <x v="1"/>
    <x v="1"/>
    <x v="3"/>
  </r>
  <r>
    <x v="8"/>
    <d v="2025-04-30T17:19:00"/>
    <s v="Transferencia En Linea A Otro Banco Katherine Valdes"/>
    <n v="50000"/>
    <x v="1"/>
    <x v="1"/>
    <x v="1"/>
    <x v="8"/>
  </r>
  <r>
    <x v="8"/>
    <d v="2025-04-30T17:01:00"/>
    <s v="Cugat Santa Maria Rancagua Chl"/>
    <n v="1780"/>
    <x v="1"/>
    <x v="1"/>
    <x v="1"/>
    <x v="3"/>
  </r>
  <r>
    <x v="8"/>
    <d v="2025-04-30T16:38:00"/>
    <s v="Payu *Uber Trip Santiago Chl"/>
    <n v="1896"/>
    <x v="1"/>
    <x v="1"/>
    <x v="1"/>
    <x v="2"/>
  </r>
  <r>
    <x v="8"/>
    <d v="2025-04-30T14:11:00"/>
    <s v="Cafeteria Shell Cachapoal Chl"/>
    <n v="6000"/>
    <x v="1"/>
    <x v="1"/>
    <x v="1"/>
    <x v="3"/>
  </r>
  <r>
    <x v="8"/>
    <d v="2025-04-30T11:26:00"/>
    <s v="Unimarc.cl Mirador Oc Santiago Chl"/>
    <n v="27191"/>
    <x v="1"/>
    <x v="1"/>
    <x v="1"/>
    <x v="6"/>
  </r>
  <r>
    <x v="8"/>
    <d v="2025-04-30T09:12:00"/>
    <s v="Tienda Shell La Flor F Santiago Chl"/>
    <n v="4090"/>
    <x v="1"/>
    <x v="1"/>
    <x v="1"/>
    <x v="3"/>
  </r>
  <r>
    <x v="8"/>
    <d v="2025-04-30T09:10:00"/>
    <s v="W.martinez 1940 La Florida"/>
    <n v="5000"/>
    <x v="1"/>
    <x v="1"/>
    <x v="1"/>
    <x v="15"/>
  </r>
  <r>
    <x v="8"/>
    <d v="2025-04-30T09:09:00"/>
    <s v="Shel Walker Martinez F Santiago Chl"/>
    <n v="30000"/>
    <x v="1"/>
    <x v="1"/>
    <x v="1"/>
    <x v="7"/>
  </r>
  <r>
    <x v="8"/>
    <d v="2025-04-30T08:48:00"/>
    <s v="Unimarc.cl Mirador Oc Santiago Chl"/>
    <n v="42641"/>
    <x v="1"/>
    <x v="1"/>
    <x v="1"/>
    <x v="6"/>
  </r>
  <r>
    <x v="8"/>
    <d v="2025-04-30T07:28:00"/>
    <s v="Parking Mall Florida C Santiago Chl"/>
    <n v="350"/>
    <x v="1"/>
    <x v="1"/>
    <x v="1"/>
    <x v="19"/>
  </r>
  <r>
    <x v="8"/>
    <d v="2025-04-30T03:54:00"/>
    <s v="Payu *Uber Trip Santiago Chl"/>
    <n v="2541"/>
    <x v="1"/>
    <x v="1"/>
    <x v="1"/>
    <x v="2"/>
  </r>
  <r>
    <x v="8"/>
    <d v="2025-04-30T01:21:00"/>
    <s v="Smu Sa - Remuneraciones"/>
    <n v="-2093819"/>
    <x v="0"/>
    <x v="0"/>
    <x v="0"/>
    <x v="28"/>
  </r>
  <r>
    <x v="9"/>
    <d v="2025-04-29T22:12:00"/>
    <s v="Transferencia En Linea A Otro Banco Patricia Macaya"/>
    <n v="2600"/>
    <x v="1"/>
    <x v="1"/>
    <x v="1"/>
    <x v="1"/>
  </r>
  <r>
    <x v="9"/>
    <d v="2025-04-29T20:23:00"/>
    <s v="Minimarket Las Encinas Santiago Chl"/>
    <n v="1900"/>
    <x v="1"/>
    <x v="1"/>
    <x v="1"/>
    <x v="2"/>
  </r>
  <r>
    <x v="9"/>
    <d v="2025-04-29T20:17:00"/>
    <s v="Dulce Aroma Santiago Chl"/>
    <n v="3950"/>
    <x v="1"/>
    <x v="1"/>
    <x v="1"/>
    <x v="2"/>
  </r>
  <r>
    <x v="9"/>
    <d v="2025-04-29T18:38:00"/>
    <s v="Merpago*martinez Marti Las Condes Chl"/>
    <n v="1000"/>
    <x v="1"/>
    <x v="1"/>
    <x v="1"/>
    <x v="3"/>
  </r>
  <r>
    <x v="9"/>
    <d v="2025-04-29T17:01:00"/>
    <s v="Transferencia En Linea A Otro Banco Katherine Valdes"/>
    <n v="10000"/>
    <x v="1"/>
    <x v="1"/>
    <x v="1"/>
    <x v="8"/>
  </r>
  <r>
    <x v="9"/>
    <d v="2025-04-29T16:54:00"/>
    <s v="Payu *Uber Trip Santiago Chl"/>
    <n v="2296"/>
    <x v="1"/>
    <x v="1"/>
    <x v="1"/>
    <x v="2"/>
  </r>
  <r>
    <x v="9"/>
    <d v="2025-04-29T16:04:00"/>
    <s v="Servicios Y Comercial Las Condes Chl"/>
    <n v="3284"/>
    <x v="1"/>
    <x v="1"/>
    <x v="1"/>
    <x v="2"/>
  </r>
  <r>
    <x v="9"/>
    <d v="2025-04-29T12:58:00"/>
    <s v="Merpago*central De Res Huechuraba Chl"/>
    <n v="890"/>
    <x v="1"/>
    <x v="1"/>
    <x v="1"/>
    <x v="3"/>
  </r>
  <r>
    <x v="9"/>
    <d v="2025-04-29T09:24:00"/>
    <s v="Marina Hoteles Ltda- S Santiago Chl"/>
    <n v="1900"/>
    <x v="1"/>
    <x v="1"/>
    <x v="1"/>
    <x v="3"/>
  </r>
  <r>
    <x v="9"/>
    <d v="2025-04-29T07:24:00"/>
    <s v="Parking Mall Florida C Santiago Chl"/>
    <n v="300"/>
    <x v="1"/>
    <x v="1"/>
    <x v="1"/>
    <x v="19"/>
  </r>
  <r>
    <x v="9"/>
    <d v="2025-04-28T21:19:00"/>
    <s v="Administradora De Fran Santiago Chl"/>
    <n v="3990"/>
    <x v="1"/>
    <x v="1"/>
    <x v="1"/>
    <x v="3"/>
  </r>
  <r>
    <x v="9"/>
    <d v="2025-04-28T21:18:00"/>
    <s v="Administradora De Fran Santiago Chl"/>
    <n v="5990"/>
    <x v="1"/>
    <x v="1"/>
    <x v="1"/>
    <x v="3"/>
  </r>
  <r>
    <x v="9"/>
    <d v="2025-04-28T20:39:00"/>
    <s v="Parking Mall Florida C Santiago Chl"/>
    <n v="250"/>
    <x v="1"/>
    <x v="1"/>
    <x v="1"/>
    <x v="19"/>
  </r>
  <r>
    <x v="9"/>
    <d v="2025-04-28T13:46:00"/>
    <s v="Transferencia En Linea A Otro Banco Victor Valdes"/>
    <n v="50000"/>
    <x v="1"/>
    <x v="1"/>
    <x v="1"/>
    <x v="40"/>
  </r>
  <r>
    <x v="9"/>
    <d v="2025-04-28T13:23:00"/>
    <s v="Marcos Andres Espinoza Santiago Chl"/>
    <n v="4000"/>
    <x v="1"/>
    <x v="1"/>
    <x v="1"/>
    <x v="2"/>
  </r>
  <r>
    <x v="9"/>
    <d v="2025-04-28T11:31:00"/>
    <s v="Farmacias Tobalaba Santiago Chl"/>
    <n v="6990"/>
    <x v="1"/>
    <x v="1"/>
    <x v="1"/>
    <x v="24"/>
  </r>
  <r>
    <x v="9"/>
    <d v="2025-04-27T19:05:00"/>
    <s v="Dulce Aroma Santiago Chl"/>
    <n v="3580"/>
    <x v="1"/>
    <x v="1"/>
    <x v="1"/>
    <x v="2"/>
  </r>
  <r>
    <x v="9"/>
    <d v="2025-04-27T14:29:00"/>
    <s v="Unimarc Rojas Magallan Santiago Chl"/>
    <n v="4491"/>
    <x v="1"/>
    <x v="1"/>
    <x v="1"/>
    <x v="6"/>
  </r>
  <r>
    <x v="9"/>
    <d v="2025-04-27T14:28:00"/>
    <s v="Unimarc Rojas Magallan Santiago Chl"/>
    <n v="62487"/>
    <x v="1"/>
    <x v="1"/>
    <x v="1"/>
    <x v="6"/>
  </r>
  <r>
    <x v="9"/>
    <d v="2025-04-27T11:51:00"/>
    <s v="Atm7282;m=1;e=1; La Florida Chl"/>
    <n v="30000"/>
    <x v="1"/>
    <x v="1"/>
    <x v="1"/>
    <x v="15"/>
  </r>
  <r>
    <x v="9"/>
    <d v="2025-04-26T19:29:00"/>
    <s v="Pedidosya Cl Restauran Cl Chl"/>
    <n v="16500"/>
    <x v="1"/>
    <x v="1"/>
    <x v="1"/>
    <x v="10"/>
  </r>
  <r>
    <x v="9"/>
    <d v="2025-04-26T15:18:00"/>
    <s v="Copec App Santiago Chl"/>
    <n v="3840"/>
    <x v="1"/>
    <x v="1"/>
    <x v="1"/>
    <x v="3"/>
  </r>
  <r>
    <x v="9"/>
    <d v="2025-04-26T15:14:00"/>
    <s v="Copec App Santiago Chl"/>
    <n v="15000"/>
    <x v="1"/>
    <x v="1"/>
    <x v="1"/>
    <x v="7"/>
  </r>
  <r>
    <x v="9"/>
    <d v="2025-04-26T13:40:00"/>
    <s v="Cps Copec Pve Santiago Chl"/>
    <n v="2500"/>
    <x v="1"/>
    <x v="1"/>
    <x v="1"/>
    <x v="3"/>
  </r>
  <r>
    <x v="9"/>
    <d v="2025-04-26T13:33:00"/>
    <s v="Hip Lider Plaza Vespuc Santiago Chl"/>
    <n v="20061"/>
    <x v="1"/>
    <x v="1"/>
    <x v="1"/>
    <x v="6"/>
  </r>
  <r>
    <x v="9"/>
    <d v="2025-04-25T23:29:00"/>
    <s v="Abono Transferencia Desde Otros Bancos"/>
    <n v="-57271"/>
    <x v="0"/>
    <x v="0"/>
    <x v="0"/>
    <x v="39"/>
  </r>
  <r>
    <x v="9"/>
    <d v="2025-04-25T16:08:00"/>
    <s v="Cps Copec Pve Santiago Chl"/>
    <n v="2350"/>
    <x v="1"/>
    <x v="1"/>
    <x v="1"/>
    <x v="3"/>
  </r>
  <r>
    <x v="9"/>
    <d v="2025-04-25T15:02:00"/>
    <s v="Mercadopago *Ccuvendi Las Condes Chl"/>
    <n v="1600"/>
    <x v="1"/>
    <x v="1"/>
    <x v="1"/>
    <x v="2"/>
  </r>
  <r>
    <x v="9"/>
    <d v="2025-04-25T08:57:00"/>
    <s v="Unimarc Rojas Magallan Santiago Chl"/>
    <n v="34786"/>
    <x v="1"/>
    <x v="1"/>
    <x v="1"/>
    <x v="6"/>
  </r>
  <r>
    <x v="9"/>
    <d v="2025-04-25T08:10:00"/>
    <s v="Marcos Andres Espinoza Santiago Chl"/>
    <n v="3600"/>
    <x v="1"/>
    <x v="1"/>
    <x v="1"/>
    <x v="2"/>
  </r>
  <r>
    <x v="9"/>
    <d v="2025-04-24T22:30:00"/>
    <s v="Isapre Banmedica - Salud (Pago Isapre)"/>
    <n v="-54045"/>
    <x v="0"/>
    <x v="0"/>
    <x v="0"/>
    <x v="39"/>
  </r>
  <r>
    <x v="9"/>
    <d v="2025-04-24T19:18:00"/>
    <s v="Dulce Aroma Santiago Chl"/>
    <n v="5400"/>
    <x v="1"/>
    <x v="1"/>
    <x v="1"/>
    <x v="2"/>
  </r>
  <r>
    <x v="9"/>
    <d v="2025-04-24T14:50:00"/>
    <s v="Google *Spotify 650-253-0000 Usa"/>
    <n v="5850"/>
    <x v="1"/>
    <x v="1"/>
    <x v="2"/>
    <x v="4"/>
  </r>
  <r>
    <x v="9"/>
    <d v="2025-04-24T13:55:00"/>
    <s v="Cugat Santa Maria Rancagua Chl"/>
    <n v="3990"/>
    <x v="1"/>
    <x v="1"/>
    <x v="1"/>
    <x v="3"/>
  </r>
  <r>
    <x v="9"/>
    <d v="2025-04-24T08:46:00"/>
    <s v="Tienda Shell La Flor F Santiago Chl"/>
    <n v="3290"/>
    <x v="1"/>
    <x v="1"/>
    <x v="1"/>
    <x v="3"/>
  </r>
  <r>
    <x v="9"/>
    <d v="2025-04-24T08:43:00"/>
    <s v="Micopiloto F102 Santiago Chl"/>
    <n v="25000"/>
    <x v="1"/>
    <x v="1"/>
    <x v="1"/>
    <x v="7"/>
  </r>
  <r>
    <x v="9"/>
    <d v="2025-04-24T08:22:00"/>
    <s v="Marcos Andres Espinoza Santiago Chl"/>
    <n v="2100"/>
    <x v="1"/>
    <x v="1"/>
    <x v="1"/>
    <x v="2"/>
  </r>
  <r>
    <x v="9"/>
    <d v="2025-04-24T08:09:00"/>
    <s v="Marcos Andres Espinoza Santiago Chl"/>
    <n v="3600"/>
    <x v="1"/>
    <x v="1"/>
    <x v="1"/>
    <x v="2"/>
  </r>
  <r>
    <x v="9"/>
    <d v="2025-04-23T21:07:00"/>
    <s v="Sajaki Sushi Santiago Chl"/>
    <n v="15900"/>
    <x v="1"/>
    <x v="1"/>
    <x v="1"/>
    <x v="10"/>
  </r>
  <r>
    <x v="9"/>
    <d v="2025-04-23T20:08:00"/>
    <s v="Farmacias Tobalaba Santiago Chl"/>
    <n v="10980"/>
    <x v="1"/>
    <x v="1"/>
    <x v="1"/>
    <x v="24"/>
  </r>
  <r>
    <x v="9"/>
    <d v="2025-04-23T16:14:00"/>
    <s v="Spid Cerro El Plomo Santiago Chl"/>
    <n v="2990"/>
    <x v="1"/>
    <x v="1"/>
    <x v="1"/>
    <x v="3"/>
  </r>
  <r>
    <x v="9"/>
    <d v="2025-04-23T14:22:00"/>
    <s v="Transferencia En Linea A Otro Banco Victor Valdes"/>
    <n v="5000"/>
    <x v="1"/>
    <x v="1"/>
    <x v="1"/>
    <x v="40"/>
  </r>
  <r>
    <x v="9"/>
    <d v="2025-04-23T13:15:00"/>
    <s v="Merpago*central De Res Huechuraba Chl"/>
    <n v="890"/>
    <x v="1"/>
    <x v="1"/>
    <x v="1"/>
    <x v="3"/>
  </r>
  <r>
    <x v="9"/>
    <d v="2025-04-23T12:45:00"/>
    <s v="Transferencia En Linea A Otro Banco Katherine Valdes"/>
    <n v="10000"/>
    <x v="1"/>
    <x v="1"/>
    <x v="1"/>
    <x v="8"/>
  </r>
  <r>
    <x v="9"/>
    <d v="2025-04-23T09:18:00"/>
    <s v="Marina Hoteles Ltda- S Santiago Chl"/>
    <n v="1900"/>
    <x v="1"/>
    <x v="1"/>
    <x v="1"/>
    <x v="3"/>
  </r>
  <r>
    <x v="9"/>
    <d v="2025-04-22T18:33:00"/>
    <s v="Rosario Norte 530 Las Condes"/>
    <n v="10000"/>
    <x v="1"/>
    <x v="1"/>
    <x v="1"/>
    <x v="15"/>
  </r>
  <r>
    <x v="9"/>
    <d v="2025-04-22T15:26:00"/>
    <s v="Servicios Y Comercial Las Condes Chl"/>
    <n v="2129"/>
    <x v="1"/>
    <x v="1"/>
    <x v="1"/>
    <x v="2"/>
  </r>
  <r>
    <x v="9"/>
    <d v="2025-04-22T13:27:00"/>
    <s v="Merpago*central De Res Huechuraba Chl"/>
    <n v="890"/>
    <x v="1"/>
    <x v="1"/>
    <x v="1"/>
    <x v="3"/>
  </r>
  <r>
    <x v="9"/>
    <d v="2025-04-22T09:22:00"/>
    <s v="Marina Hoteles Ltda- S Santiago Chl"/>
    <n v="1900"/>
    <x v="1"/>
    <x v="1"/>
    <x v="1"/>
    <x v="3"/>
  </r>
  <r>
    <x v="9"/>
    <d v="2025-04-21T22:13:00"/>
    <s v="Cps Copec Pve Santiago Chl"/>
    <n v="100"/>
    <x v="1"/>
    <x v="1"/>
    <x v="1"/>
    <x v="3"/>
  </r>
  <r>
    <x v="9"/>
    <d v="2025-04-21T17:44:00"/>
    <s v="Uno Salud Santiago Chl"/>
    <n v="11900"/>
    <x v="1"/>
    <x v="1"/>
    <x v="1"/>
    <x v="24"/>
  </r>
  <r>
    <x v="9"/>
    <d v="2025-04-21T13:20:00"/>
    <s v="Heladomania Santiago Chl"/>
    <n v="1300"/>
    <x v="1"/>
    <x v="1"/>
    <x v="1"/>
    <x v="2"/>
  </r>
  <r>
    <x v="9"/>
    <d v="2025-04-21T12:21:00"/>
    <s v="Cps Copec Pve Santiago Chl"/>
    <n v="1950"/>
    <x v="1"/>
    <x v="1"/>
    <x v="1"/>
    <x v="3"/>
  </r>
  <r>
    <x v="9"/>
    <d v="2025-04-21T11:47:00"/>
    <s v="Abono Promocion Comercios Asociados"/>
    <n v="-4000"/>
    <x v="0"/>
    <x v="0"/>
    <x v="0"/>
    <x v="39"/>
  </r>
  <r>
    <x v="9"/>
    <d v="2025-04-21T09:54:00"/>
    <s v="Abono Transferencia Desde Otros Bancos"/>
    <n v="-22817"/>
    <x v="0"/>
    <x v="0"/>
    <x v="0"/>
    <x v="39"/>
  </r>
  <r>
    <x v="9"/>
    <d v="2025-04-21T09:42:00"/>
    <s v="Abono Transferencia Desde Otros Bancos"/>
    <n v="-45634"/>
    <x v="0"/>
    <x v="0"/>
    <x v="0"/>
    <x v="39"/>
  </r>
  <r>
    <x v="9"/>
    <d v="2025-04-20T19:05:00"/>
    <s v="Hip Lider Quilin Santiago Chl"/>
    <n v="24170"/>
    <x v="1"/>
    <x v="1"/>
    <x v="1"/>
    <x v="6"/>
  </r>
  <r>
    <x v="9"/>
    <d v="2025-04-20T18:39:00"/>
    <s v="Mall Paseo Quilin Santiago Chl"/>
    <n v="1000"/>
    <x v="1"/>
    <x v="1"/>
    <x v="1"/>
    <x v="17"/>
  </r>
  <r>
    <x v="9"/>
    <d v="2025-04-20T18:33:00"/>
    <s v="Mc Donalds Renaca Renaca Chl"/>
    <n v="2690"/>
    <x v="1"/>
    <x v="1"/>
    <x v="1"/>
    <x v="3"/>
  </r>
  <r>
    <x v="9"/>
    <d v="2025-04-20T18:26:00"/>
    <s v="Mc Donalds Santiago Chl"/>
    <n v="1990"/>
    <x v="1"/>
    <x v="1"/>
    <x v="1"/>
    <x v="3"/>
  </r>
  <r>
    <x v="9"/>
    <d v="2025-04-20T18:18:00"/>
    <s v="Casa Ideas Mall Paseo Santiago Chl"/>
    <n v="3990"/>
    <x v="1"/>
    <x v="1"/>
    <x v="1"/>
    <x v="18"/>
  </r>
  <r>
    <x v="9"/>
    <d v="2025-04-20T18:11:00"/>
    <s v="Paris Quilin Santiago Chl"/>
    <n v="40822"/>
    <x v="1"/>
    <x v="1"/>
    <x v="1"/>
    <x v="12"/>
  </r>
  <r>
    <x v="9"/>
    <d v="2025-04-20T00:00:00"/>
    <s v="Seg Desgravamen Tr"/>
    <n v="2341"/>
    <x v="1"/>
    <x v="3"/>
    <x v="2"/>
    <x v="25"/>
  </r>
  <r>
    <x v="9"/>
    <d v="2025-04-18T22:37:00"/>
    <s v="Sumup * Brotherwood La Santiago Chl"/>
    <n v="40920"/>
    <x v="1"/>
    <x v="1"/>
    <x v="1"/>
    <x v="10"/>
  </r>
  <r>
    <x v="9"/>
    <d v="2025-04-18T14:16:00"/>
    <s v="Mayorista 10 Parque La Santiago Chl"/>
    <n v="5290"/>
    <x v="1"/>
    <x v="1"/>
    <x v="1"/>
    <x v="6"/>
  </r>
  <r>
    <x v="9"/>
    <d v="2025-04-18T12:18:00"/>
    <s v="Cps Copec Pve Santiago Chl"/>
    <n v="400"/>
    <x v="1"/>
    <x v="1"/>
    <x v="1"/>
    <x v="3"/>
  </r>
  <r>
    <x v="9"/>
    <d v="2025-04-18T12:07:00"/>
    <s v="Hip Lider Plaza Vespuc Santiago Chl"/>
    <n v="2790"/>
    <x v="1"/>
    <x v="1"/>
    <x v="1"/>
    <x v="6"/>
  </r>
  <r>
    <x v="9"/>
    <d v="2025-04-18T12:03:00"/>
    <s v="Banco Del Estado La Florida Chl"/>
    <n v="50000"/>
    <x v="1"/>
    <x v="1"/>
    <x v="1"/>
    <x v="15"/>
  </r>
  <r>
    <x v="9"/>
    <d v="2025-04-17T22:04:00"/>
    <s v="Abono Transferencia Desde Otros Bancos"/>
    <n v="-60201"/>
    <x v="0"/>
    <x v="0"/>
    <x v="0"/>
    <x v="39"/>
  </r>
  <r>
    <x v="9"/>
    <d v="2025-04-17T21:03:00"/>
    <s v="Mercadopago *Papajohn Las Condes Chl"/>
    <n v="13185"/>
    <x v="1"/>
    <x v="1"/>
    <x v="1"/>
    <x v="10"/>
  </r>
  <r>
    <x v="9"/>
    <d v="2025-04-17T20:19:00"/>
    <s v="Unimarc Macul Santiago Chl"/>
    <n v="890"/>
    <x v="1"/>
    <x v="1"/>
    <x v="1"/>
    <x v="6"/>
  </r>
  <r>
    <x v="9"/>
    <d v="2025-04-17T20:15:00"/>
    <s v="Avenida Macul 357 Macul"/>
    <n v="100000"/>
    <x v="1"/>
    <x v="1"/>
    <x v="1"/>
    <x v="15"/>
  </r>
  <r>
    <x v="9"/>
    <d v="2025-04-17T18:59:00"/>
    <s v="Comp Nac Payu *Uber Trip Santiago Chl"/>
    <n v="-2762"/>
    <x v="0"/>
    <x v="0"/>
    <x v="0"/>
    <x v="39"/>
  </r>
  <r>
    <x v="9"/>
    <d v="2025-04-17T13:49:00"/>
    <s v="Cugat Santa Maria Rancagua Chl"/>
    <n v="6480"/>
    <x v="1"/>
    <x v="1"/>
    <x v="1"/>
    <x v="3"/>
  </r>
  <r>
    <x v="9"/>
    <d v="2025-04-17T09:28:00"/>
    <s v="Mc Donalds S.fco.mostaza Chl"/>
    <n v="4290"/>
    <x v="1"/>
    <x v="1"/>
    <x v="1"/>
    <x v="3"/>
  </r>
  <r>
    <x v="9"/>
    <d v="2025-04-17T08:34:00"/>
    <s v="Google Play Youtube Go Las Condes Chl"/>
    <n v="1790"/>
    <x v="1"/>
    <x v="1"/>
    <x v="2"/>
    <x v="17"/>
  </r>
  <r>
    <x v="9"/>
    <d v="2025-04-17T08:08:00"/>
    <s v="Marcos Andres Espinoza Santiago Chl"/>
    <n v="4000"/>
    <x v="1"/>
    <x v="1"/>
    <x v="1"/>
    <x v="2"/>
  </r>
  <r>
    <x v="9"/>
    <d v="2025-04-16T21:14:00"/>
    <s v="Esch9037 Rojas Magalla Santiago Chl"/>
    <n v="40000"/>
    <x v="1"/>
    <x v="1"/>
    <x v="1"/>
    <x v="15"/>
  </r>
  <r>
    <x v="9"/>
    <d v="2025-04-16T17:31:00"/>
    <s v="Abono Transferencia Desde Otros Bancos"/>
    <n v="-8750"/>
    <x v="0"/>
    <x v="0"/>
    <x v="0"/>
    <x v="39"/>
  </r>
  <r>
    <x v="9"/>
    <d v="2025-04-16T14:56:00"/>
    <s v="Spid Cerro El Plomo Santiago Chl"/>
    <n v="1990"/>
    <x v="1"/>
    <x v="1"/>
    <x v="1"/>
    <x v="3"/>
  </r>
  <r>
    <x v="9"/>
    <d v="2025-04-16T13:19:00"/>
    <s v="Merpago*central De Res Huechuraba Chl"/>
    <n v="890"/>
    <x v="1"/>
    <x v="1"/>
    <x v="1"/>
    <x v="3"/>
  </r>
  <r>
    <x v="9"/>
    <d v="2025-04-16T09:34:00"/>
    <s v="Marina Hoteles Ltda- S Santiago Chl"/>
    <n v="1900"/>
    <x v="1"/>
    <x v="1"/>
    <x v="1"/>
    <x v="3"/>
  </r>
  <r>
    <x v="9"/>
    <d v="2025-04-15T21:04:00"/>
    <s v="Unimarc Rojas Magallan Santiago Chl"/>
    <n v="2025"/>
    <x v="1"/>
    <x v="1"/>
    <x v="1"/>
    <x v="6"/>
  </r>
  <r>
    <x v="9"/>
    <d v="2025-04-15T21:01:00"/>
    <s v="Unimarc Rojas Magallan Santiago Chl"/>
    <n v="20065"/>
    <x v="1"/>
    <x v="1"/>
    <x v="1"/>
    <x v="6"/>
  </r>
  <r>
    <x v="9"/>
    <d v="2025-04-15T20:56:00"/>
    <s v="Pedidosya Cl Restauran Cl Chl"/>
    <n v="11350"/>
    <x v="1"/>
    <x v="1"/>
    <x v="1"/>
    <x v="10"/>
  </r>
  <r>
    <x v="9"/>
    <d v="2025-04-15T20:46:00"/>
    <s v="A. Rojas M. 3638 La Florida"/>
    <n v="50000"/>
    <x v="1"/>
    <x v="1"/>
    <x v="1"/>
    <x v="15"/>
  </r>
  <r>
    <x v="9"/>
    <d v="2025-04-15T17:18:00"/>
    <s v="Merpago*martinez Marti Las Condes Chl"/>
    <n v="1000"/>
    <x v="1"/>
    <x v="1"/>
    <x v="1"/>
    <x v="3"/>
  </r>
  <r>
    <x v="9"/>
    <d v="2025-04-15T14:05:00"/>
    <s v="Mercadopago *Mercadol Las Condes Chl"/>
    <n v="12850"/>
    <x v="1"/>
    <x v="1"/>
    <x v="1"/>
    <x v="2"/>
  </r>
  <r>
    <x v="9"/>
    <d v="2025-04-15T13:10:00"/>
    <s v="Merpago*central De Res Huechuraba Chl"/>
    <n v="890"/>
    <x v="1"/>
    <x v="1"/>
    <x v="1"/>
    <x v="3"/>
  </r>
  <r>
    <x v="9"/>
    <d v="2025-04-15T00:00:00"/>
    <s v="Marina Hoteles Ltda-"/>
    <n v="1900"/>
    <x v="1"/>
    <x v="3"/>
    <x v="1"/>
    <x v="3"/>
  </r>
  <r>
    <x v="9"/>
    <d v="2025-04-14T22:52:00"/>
    <s v="Smu Sa - Anticipos"/>
    <n v="-150000"/>
    <x v="0"/>
    <x v="0"/>
    <x v="0"/>
    <x v="28"/>
  </r>
  <r>
    <x v="9"/>
    <d v="2025-04-14T21:20:00"/>
    <s v="Hip Lider Plaza Vespuc Santiago Chl"/>
    <n v="6496"/>
    <x v="1"/>
    <x v="1"/>
    <x v="1"/>
    <x v="6"/>
  </r>
  <r>
    <x v="9"/>
    <d v="2025-04-14T19:18:00"/>
    <s v="Comp Nac Payu *Uber Trip Santiago Chl"/>
    <n v="-3292"/>
    <x v="0"/>
    <x v="0"/>
    <x v="0"/>
    <x v="39"/>
  </r>
  <r>
    <x v="9"/>
    <d v="2025-04-14T11:01:00"/>
    <s v="Transferencia En Linea A Otro Banco Katherine Valdes"/>
    <n v="20000"/>
    <x v="1"/>
    <x v="1"/>
    <x v="1"/>
    <x v="8"/>
  </r>
  <r>
    <x v="9"/>
    <d v="2025-04-13T18:44:00"/>
    <s v="Cinepolis La Reina Santiago Chl"/>
    <n v="17720"/>
    <x v="1"/>
    <x v="1"/>
    <x v="1"/>
    <x v="17"/>
  </r>
  <r>
    <x v="9"/>
    <d v="2025-04-13T18:31:00"/>
    <s v="Tienda Mall Plaza Egan Santiago Chl"/>
    <n v="750"/>
    <x v="1"/>
    <x v="1"/>
    <x v="1"/>
    <x v="19"/>
  </r>
  <r>
    <x v="9"/>
    <d v="2025-04-13T18:16:00"/>
    <s v="Mall Plaza Egana Santiago Chl"/>
    <n v="20224"/>
    <x v="1"/>
    <x v="1"/>
    <x v="1"/>
    <x v="10"/>
  </r>
  <r>
    <x v="9"/>
    <d v="2025-04-13T15:14:00"/>
    <s v="Cinepolis Web Chile Chl"/>
    <n v="15400"/>
    <x v="1"/>
    <x v="1"/>
    <x v="1"/>
    <x v="17"/>
  </r>
  <r>
    <x v="9"/>
    <d v="2025-04-13T12:44:00"/>
    <s v="Mc Donalds Santiago Chl"/>
    <n v="2990"/>
    <x v="1"/>
    <x v="1"/>
    <x v="1"/>
    <x v="3"/>
  </r>
  <r>
    <x v="9"/>
    <d v="2025-04-13T12:42:00"/>
    <s v="Hip Lider Santa Amalia Santiago Chl"/>
    <n v="14918"/>
    <x v="1"/>
    <x v="1"/>
    <x v="1"/>
    <x v="6"/>
  </r>
  <r>
    <x v="9"/>
    <d v="2025-04-12T21:47:00"/>
    <s v="Haulmer*botilleria Ech Santiago Chl"/>
    <n v="2300"/>
    <x v="1"/>
    <x v="1"/>
    <x v="1"/>
    <x v="2"/>
  </r>
  <r>
    <x v="9"/>
    <d v="2025-04-12T20:59:00"/>
    <s v="Redgloba*suenos Market Providencia Chl"/>
    <n v="1800"/>
    <x v="1"/>
    <x v="1"/>
    <x v="1"/>
    <x v="2"/>
  </r>
  <r>
    <x v="9"/>
    <d v="2025-04-12T20:39:00"/>
    <s v="Pica Que Pica Santiago Chl"/>
    <n v="6700"/>
    <x v="1"/>
    <x v="1"/>
    <x v="1"/>
    <x v="2"/>
  </r>
  <r>
    <x v="9"/>
    <d v="2025-04-12T14:38:00"/>
    <s v="Cps Copec Pve Santiago Chl"/>
    <n v="4050"/>
    <x v="1"/>
    <x v="1"/>
    <x v="1"/>
    <x v="3"/>
  </r>
  <r>
    <x v="9"/>
    <d v="2025-04-12T13:21:00"/>
    <s v="Hip Lider Plaza Vespuc Santiago Chl"/>
    <n v="12690"/>
    <x v="1"/>
    <x v="1"/>
    <x v="1"/>
    <x v="6"/>
  </r>
  <r>
    <x v="9"/>
    <d v="2025-04-12T12:52:00"/>
    <s v="Puma Plaza Vespucio Santiago Chl"/>
    <n v="17495"/>
    <x v="1"/>
    <x v="1"/>
    <x v="1"/>
    <x v="12"/>
  </r>
  <r>
    <x v="9"/>
    <d v="2025-04-12T12:01:00"/>
    <s v="Juan Valdes Pza Vespuc Santiago Chl"/>
    <n v="7200"/>
    <x v="1"/>
    <x v="1"/>
    <x v="1"/>
    <x v="10"/>
  </r>
  <r>
    <x v="9"/>
    <d v="2025-04-11T18:04:00"/>
    <s v="Transferencia En Linea A Otro Banco Katherine Valdes"/>
    <n v="10000"/>
    <x v="1"/>
    <x v="1"/>
    <x v="1"/>
    <x v="8"/>
  </r>
  <r>
    <x v="9"/>
    <d v="2025-04-11T13:35:00"/>
    <s v="Marcos Andres Espinoza Santiago Chl"/>
    <n v="5700"/>
    <x v="1"/>
    <x v="1"/>
    <x v="1"/>
    <x v="2"/>
  </r>
  <r>
    <x v="9"/>
    <d v="2025-04-11T08:36:00"/>
    <s v="Abono Transferencia Desde Otros Bancos"/>
    <n v="-56672"/>
    <x v="0"/>
    <x v="0"/>
    <x v="0"/>
    <x v="39"/>
  </r>
  <r>
    <x v="9"/>
    <d v="2025-04-11T08:21:00"/>
    <s v="Marcos Andres Espinoza Santiago Chl"/>
    <n v="1690"/>
    <x v="1"/>
    <x v="1"/>
    <x v="1"/>
    <x v="2"/>
  </r>
  <r>
    <x v="9"/>
    <d v="2025-04-11T08:12:00"/>
    <s v="Marcos Andres Espinoza Santiago Chl"/>
    <n v="2600"/>
    <x v="1"/>
    <x v="1"/>
    <x v="1"/>
    <x v="2"/>
  </r>
  <r>
    <x v="9"/>
    <d v="2025-04-10T21:00:00"/>
    <s v="Cps Copec Pve Santiago Chl"/>
    <n v="400"/>
    <x v="1"/>
    <x v="1"/>
    <x v="1"/>
    <x v="3"/>
  </r>
  <r>
    <x v="9"/>
    <d v="2025-04-10T19:04:00"/>
    <s v="Farm Belen La Florida Santiago Chl"/>
    <n v="9060"/>
    <x v="1"/>
    <x v="1"/>
    <x v="1"/>
    <x v="24"/>
  </r>
  <r>
    <x v="9"/>
    <d v="2025-04-10T18:12:00"/>
    <s v="Jairo Alexis Guerra Al Santiago Chl"/>
    <n v="7260"/>
    <x v="1"/>
    <x v="1"/>
    <x v="1"/>
    <x v="2"/>
  </r>
  <r>
    <x v="9"/>
    <d v="2025-04-10T13:24:00"/>
    <s v="Cugat Santa Maria Rancagua Chl"/>
    <n v="5480"/>
    <x v="1"/>
    <x v="1"/>
    <x v="1"/>
    <x v="3"/>
  </r>
  <r>
    <x v="9"/>
    <d v="2025-04-10T08:29:00"/>
    <s v="Tienda Shell La Flor F Santiago Chl"/>
    <n v="3100"/>
    <x v="1"/>
    <x v="1"/>
    <x v="1"/>
    <x v="3"/>
  </r>
  <r>
    <x v="9"/>
    <d v="2025-04-10T08:27:00"/>
    <s v="W.martinez 1940 La Florida"/>
    <n v="5000"/>
    <x v="1"/>
    <x v="1"/>
    <x v="1"/>
    <x v="15"/>
  </r>
  <r>
    <x v="9"/>
    <d v="2025-04-10T00:00:00"/>
    <s v="Parking Mall Florida"/>
    <n v="300"/>
    <x v="1"/>
    <x v="3"/>
    <x v="1"/>
    <x v="19"/>
  </r>
  <r>
    <x v="9"/>
    <d v="2025-04-09T21:38:00"/>
    <s v="9037 La Florida Santiago Chl"/>
    <n v="40000"/>
    <x v="1"/>
    <x v="1"/>
    <x v="1"/>
    <x v="15"/>
  </r>
  <r>
    <x v="9"/>
    <d v="2025-04-09T18:19:00"/>
    <s v="Rosario Norte 530 Las Condes"/>
    <n v="5000"/>
    <x v="1"/>
    <x v="1"/>
    <x v="1"/>
    <x v="15"/>
  </r>
  <r>
    <x v="9"/>
    <d v="2025-04-09T07:26:00"/>
    <s v="Parking Mall Florida C Santiago Chl"/>
    <n v="350"/>
    <x v="1"/>
    <x v="1"/>
    <x v="1"/>
    <x v="19"/>
  </r>
  <r>
    <x v="9"/>
    <d v="2025-04-09T03:29:00"/>
    <s v="Payu *Uber Trip Santiago Chl"/>
    <n v="3991"/>
    <x v="1"/>
    <x v="1"/>
    <x v="1"/>
    <x v="2"/>
  </r>
  <r>
    <x v="9"/>
    <d v="2025-04-09T00:00:00"/>
    <s v="Merpago*central De R"/>
    <n v="890"/>
    <x v="1"/>
    <x v="3"/>
    <x v="1"/>
    <x v="3"/>
  </r>
  <r>
    <x v="9"/>
    <d v="2025-04-09T00:00:00"/>
    <s v="Maxik"/>
    <n v="990"/>
    <x v="1"/>
    <x v="3"/>
    <x v="1"/>
    <x v="3"/>
  </r>
  <r>
    <x v="9"/>
    <d v="2025-04-09T00:00:00"/>
    <s v="Merpago*martinez Mar"/>
    <n v="1000"/>
    <x v="1"/>
    <x v="3"/>
    <x v="1"/>
    <x v="3"/>
  </r>
  <r>
    <x v="9"/>
    <d v="2025-04-09T00:00:00"/>
    <s v="Spid Cerro El Plomo"/>
    <n v="1990"/>
    <x v="1"/>
    <x v="3"/>
    <x v="1"/>
    <x v="3"/>
  </r>
  <r>
    <x v="9"/>
    <d v="2025-04-09T00:00:00"/>
    <s v="Haulmer*botilleria E"/>
    <n v="2300"/>
    <x v="1"/>
    <x v="3"/>
    <x v="1"/>
    <x v="2"/>
  </r>
  <r>
    <x v="9"/>
    <d v="2025-04-08T21:51:00"/>
    <s v="Unired S.a. - Proveedores"/>
    <n v="-47152"/>
    <x v="0"/>
    <x v="0"/>
    <x v="0"/>
    <x v="39"/>
  </r>
  <r>
    <x v="9"/>
    <d v="2025-04-08T20:40:00"/>
    <s v="Administradora De Fran Santiago Chl"/>
    <n v="16570"/>
    <x v="1"/>
    <x v="1"/>
    <x v="1"/>
    <x v="3"/>
  </r>
  <r>
    <x v="9"/>
    <d v="2025-04-08T16:29:00"/>
    <s v="Payu *Uber Trip Santiago Chl"/>
    <n v="2762"/>
    <x v="1"/>
    <x v="1"/>
    <x v="1"/>
    <x v="2"/>
  </r>
  <r>
    <x v="9"/>
    <d v="2025-04-08T12:55:00"/>
    <s v="Abono Transferencia Desde Otros Bancos"/>
    <n v="-6625"/>
    <x v="0"/>
    <x v="0"/>
    <x v="0"/>
    <x v="39"/>
  </r>
  <r>
    <x v="9"/>
    <d v="2025-04-08T00:00:00"/>
    <s v="Merpago*martinez Mar"/>
    <n v="1000"/>
    <x v="1"/>
    <x v="3"/>
    <x v="1"/>
    <x v="3"/>
  </r>
  <r>
    <x v="9"/>
    <d v="2025-04-08T00:00:00"/>
    <s v="Farmacias Tobalaba"/>
    <n v="8980"/>
    <x v="1"/>
    <x v="3"/>
    <x v="1"/>
    <x v="24"/>
  </r>
  <r>
    <x v="9"/>
    <d v="2025-04-08T00:00:00"/>
    <s v="Servicios Y Comercia"/>
    <n v="1604"/>
    <x v="1"/>
    <x v="3"/>
    <x v="1"/>
    <x v="2"/>
  </r>
  <r>
    <x v="9"/>
    <d v="2025-04-08T00:00:00"/>
    <s v="Rosario Norte 2"/>
    <n v="1990"/>
    <x v="1"/>
    <x v="3"/>
    <x v="1"/>
    <x v="2"/>
  </r>
  <r>
    <x v="9"/>
    <d v="2025-04-07T00:00:00"/>
    <s v="Merpago*dunkin Fagas"/>
    <n v="2616"/>
    <x v="1"/>
    <x v="3"/>
    <x v="1"/>
    <x v="3"/>
  </r>
  <r>
    <x v="9"/>
    <d v="2025-04-07T00:00:00"/>
    <s v="Parking Mall Florida"/>
    <n v="250"/>
    <x v="1"/>
    <x v="3"/>
    <x v="1"/>
    <x v="19"/>
  </r>
  <r>
    <x v="9"/>
    <d v="2025-04-07T00:00:00"/>
    <s v="Merpago*claudio Omar"/>
    <n v="3400"/>
    <x v="1"/>
    <x v="3"/>
    <x v="1"/>
    <x v="2"/>
  </r>
  <r>
    <x v="9"/>
    <d v="2025-04-07T00:00:00"/>
    <s v="Jumbo Penalolen"/>
    <n v="4900"/>
    <x v="1"/>
    <x v="3"/>
    <x v="1"/>
    <x v="6"/>
  </r>
  <r>
    <x v="9"/>
    <d v="2025-04-07T00:00:00"/>
    <s v="Jumbo Penalolen"/>
    <n v="66634"/>
    <x v="1"/>
    <x v="3"/>
    <x v="1"/>
    <x v="6"/>
  </r>
  <r>
    <x v="9"/>
    <d v="2025-04-06T21:17:00"/>
    <s v="Transferencia En Linea A Otro Banco Fernando Arriagada"/>
    <n v="220000"/>
    <x v="1"/>
    <x v="1"/>
    <x v="2"/>
    <x v="1"/>
  </r>
  <r>
    <x v="9"/>
    <d v="2025-04-06T13:55:00"/>
    <s v="Transferencia En Linea A Otro Banco Soluciones Nutriciones Y Fisicas Spa"/>
    <n v="110000"/>
    <x v="1"/>
    <x v="1"/>
    <x v="2"/>
    <x v="8"/>
  </r>
  <r>
    <x v="9"/>
    <d v="2025-04-06T00:00:00"/>
    <s v="Shell Pan. Sur 4251"/>
    <n v="10000"/>
    <x v="1"/>
    <x v="3"/>
    <x v="1"/>
    <x v="7"/>
  </r>
  <r>
    <x v="9"/>
    <d v="2025-04-06T00:00:00"/>
    <s v="Casa Unico Limitada"/>
    <n v="5500"/>
    <x v="1"/>
    <x v="3"/>
    <x v="1"/>
    <x v="2"/>
  </r>
  <r>
    <x v="9"/>
    <d v="2025-04-06T00:00:00"/>
    <s v="Unimarc Linderos"/>
    <n v="900"/>
    <x v="1"/>
    <x v="3"/>
    <x v="1"/>
    <x v="6"/>
  </r>
  <r>
    <x v="9"/>
    <d v="2025-04-05T17:27:00"/>
    <s v="Cps Copec Pve Santiago Chl"/>
    <n v="400"/>
    <x v="1"/>
    <x v="1"/>
    <x v="1"/>
    <x v="3"/>
  </r>
  <r>
    <x v="9"/>
    <d v="2025-04-05T16:40:00"/>
    <s v="Transferencia En Linea A Otro Banco Fernando Arriagada"/>
    <n v="600000"/>
    <x v="1"/>
    <x v="1"/>
    <x v="2"/>
    <x v="22"/>
  </r>
  <r>
    <x v="9"/>
    <d v="2025-04-05T10:46:00"/>
    <s v="Consistorial 2701 Penalolen"/>
    <n v="80000"/>
    <x v="1"/>
    <x v="1"/>
    <x v="1"/>
    <x v="15"/>
  </r>
  <r>
    <x v="9"/>
    <d v="2025-04-05T10:25:00"/>
    <s v="Copec App Santiago Chl"/>
    <n v="20000"/>
    <x v="1"/>
    <x v="1"/>
    <x v="1"/>
    <x v="7"/>
  </r>
  <r>
    <x v="9"/>
    <d v="2025-04-05T00:00:00"/>
    <s v="Pedro De Valdivia 3"/>
    <n v="7060"/>
    <x v="1"/>
    <x v="3"/>
    <x v="1"/>
    <x v="10"/>
  </r>
  <r>
    <x v="9"/>
    <d v="2025-04-05T00:00:00"/>
    <s v="Pedidosya Cl Restaur"/>
    <n v="18250"/>
    <x v="1"/>
    <x v="3"/>
    <x v="1"/>
    <x v="10"/>
  </r>
  <r>
    <x v="9"/>
    <d v="2025-04-05T00:00:00"/>
    <s v="Unimarc Consistorial"/>
    <n v="10236"/>
    <x v="1"/>
    <x v="3"/>
    <x v="1"/>
    <x v="6"/>
  </r>
  <r>
    <x v="9"/>
    <d v="2025-04-04T19:24:00"/>
    <s v="Transferencia En Linea A Otro Banco Unired S.a. (Unipay)"/>
    <n v="47152"/>
    <x v="1"/>
    <x v="1"/>
    <x v="1"/>
    <x v="6"/>
  </r>
  <r>
    <x v="9"/>
    <d v="2025-04-04T13:54:00"/>
    <s v="Merpago*claudio Omar S La Florida Chl"/>
    <n v="3900"/>
    <x v="1"/>
    <x v="1"/>
    <x v="1"/>
    <x v="2"/>
  </r>
  <r>
    <x v="9"/>
    <d v="2025-04-04T12:57:00"/>
    <s v="Transferencia En Linea A Otro Banco Unired S.a. (Entel)"/>
    <n v="40984"/>
    <x v="1"/>
    <x v="1"/>
    <x v="2"/>
    <x v="26"/>
  </r>
  <r>
    <x v="9"/>
    <d v="2025-04-04T03:36:00"/>
    <s v="Payu *Uber Trip Santiago Chl"/>
    <n v="3464"/>
    <x v="1"/>
    <x v="1"/>
    <x v="1"/>
    <x v="2"/>
  </r>
  <r>
    <x v="9"/>
    <d v="2025-04-04T00:00:00"/>
    <s v="Magentas Bakery"/>
    <n v="5000"/>
    <x v="1"/>
    <x v="3"/>
    <x v="1"/>
    <x v="3"/>
  </r>
  <r>
    <x v="9"/>
    <d v="2025-04-04T00:00:00"/>
    <s v="Decathlon Plaza Vesp"/>
    <n v="12000"/>
    <x v="1"/>
    <x v="3"/>
    <x v="1"/>
    <x v="1"/>
  </r>
  <r>
    <x v="9"/>
    <d v="2025-04-04T00:00:00"/>
    <s v="Estac. Cps - Mall Pl"/>
    <n v="1050"/>
    <x v="1"/>
    <x v="3"/>
    <x v="1"/>
    <x v="19"/>
  </r>
  <r>
    <x v="9"/>
    <d v="2025-04-04T00:00:00"/>
    <s v="Farm Belen La Florid"/>
    <n v="3990"/>
    <x v="1"/>
    <x v="3"/>
    <x v="1"/>
    <x v="24"/>
  </r>
  <r>
    <x v="9"/>
    <d v="2025-04-04T00:00:00"/>
    <s v="Dbs"/>
    <n v="28980"/>
    <x v="1"/>
    <x v="3"/>
    <x v="1"/>
    <x v="24"/>
  </r>
  <r>
    <x v="9"/>
    <d v="2025-04-04T00:00:00"/>
    <s v="Olaf Edmundo Biaggin"/>
    <n v="750"/>
    <x v="1"/>
    <x v="3"/>
    <x v="1"/>
    <x v="2"/>
  </r>
  <r>
    <x v="9"/>
    <d v="2025-04-04T00:00:00"/>
    <s v="Servicios Y Comercia"/>
    <n v="1464"/>
    <x v="1"/>
    <x v="3"/>
    <x v="1"/>
    <x v="2"/>
  </r>
  <r>
    <x v="9"/>
    <d v="2025-04-04T00:00:00"/>
    <s v="Marcos Andres Espino"/>
    <n v="3600"/>
    <x v="1"/>
    <x v="3"/>
    <x v="1"/>
    <x v="2"/>
  </r>
  <r>
    <x v="9"/>
    <d v="2025-04-04T00:00:00"/>
    <s v="Emporio 2011"/>
    <n v="5800"/>
    <x v="1"/>
    <x v="3"/>
    <x v="1"/>
    <x v="2"/>
  </r>
  <r>
    <x v="9"/>
    <d v="2025-04-04T00:00:00"/>
    <s v="Sajaki Sushi"/>
    <n v="14630"/>
    <x v="1"/>
    <x v="3"/>
    <x v="1"/>
    <x v="10"/>
  </r>
  <r>
    <x v="9"/>
    <d v="2025-04-03T16:36:00"/>
    <s v="Payu *Uber Trip Santiago Chl"/>
    <n v="3292"/>
    <x v="1"/>
    <x v="1"/>
    <x v="1"/>
    <x v="2"/>
  </r>
  <r>
    <x v="9"/>
    <d v="2025-04-03T00:00:00"/>
    <s v="Mc Donalds"/>
    <n v="2890"/>
    <x v="1"/>
    <x v="3"/>
    <x v="1"/>
    <x v="3"/>
  </r>
  <r>
    <x v="9"/>
    <d v="2025-04-03T00:00:00"/>
    <s v="Tienda Shell La Flor"/>
    <n v="3290"/>
    <x v="1"/>
    <x v="3"/>
    <x v="1"/>
    <x v="3"/>
  </r>
  <r>
    <x v="9"/>
    <d v="2025-04-03T00:00:00"/>
    <s v="Cugat Santa Maria"/>
    <n v="4990"/>
    <x v="1"/>
    <x v="3"/>
    <x v="1"/>
    <x v="3"/>
  </r>
  <r>
    <x v="9"/>
    <d v="2025-04-03T00:00:00"/>
    <s v="Shel Walker Martinez"/>
    <n v="20000"/>
    <x v="1"/>
    <x v="3"/>
    <x v="1"/>
    <x v="7"/>
  </r>
  <r>
    <x v="9"/>
    <d v="2025-04-03T00:00:00"/>
    <s v="Parking Mall Florida"/>
    <n v="350"/>
    <x v="1"/>
    <x v="3"/>
    <x v="1"/>
    <x v="19"/>
  </r>
  <r>
    <x v="9"/>
    <d v="2025-04-03T00:00:00"/>
    <s v="Dulce Aroma"/>
    <n v="11420"/>
    <x v="1"/>
    <x v="3"/>
    <x v="1"/>
    <x v="2"/>
  </r>
  <r>
    <x v="9"/>
    <d v="2025-04-02T00:00:00"/>
    <s v="Merpago*central De R"/>
    <n v="890"/>
    <x v="1"/>
    <x v="3"/>
    <x v="1"/>
    <x v="3"/>
  </r>
  <r>
    <x v="9"/>
    <d v="2025-04-02T00:00:00"/>
    <s v="Spid Cerro El Plomo"/>
    <n v="3879"/>
    <x v="1"/>
    <x v="3"/>
    <x v="1"/>
    <x v="3"/>
  </r>
  <r>
    <x v="9"/>
    <d v="2025-04-02T00:00:00"/>
    <s v="Parking Mall Florida"/>
    <n v="250"/>
    <x v="1"/>
    <x v="3"/>
    <x v="1"/>
    <x v="19"/>
  </r>
  <r>
    <x v="9"/>
    <d v="2025-04-02T00:00:00"/>
    <s v="Rosario Norte 2"/>
    <n v="1990"/>
    <x v="1"/>
    <x v="3"/>
    <x v="1"/>
    <x v="2"/>
  </r>
  <r>
    <x v="9"/>
    <d v="2025-04-02T00:00:00"/>
    <s v="Unimarc.cl Mirador O"/>
    <n v="44422"/>
    <x v="1"/>
    <x v="3"/>
    <x v="1"/>
    <x v="6"/>
  </r>
  <r>
    <x v="9"/>
    <d v="2025-04-01T23:03:00"/>
    <s v="Transferencia En Linea A Otro Banco Fernando Arriagada"/>
    <n v="194750"/>
    <x v="1"/>
    <x v="1"/>
    <x v="1"/>
    <x v="18"/>
  </r>
  <r>
    <x v="9"/>
    <d v="2025-04-01T21:06:00"/>
    <s v="Transferencia En Linea A Otro Banco Soluciones Nutriciones Y Fisicas Spa"/>
    <n v="40000"/>
    <x v="1"/>
    <x v="1"/>
    <x v="1"/>
    <x v="8"/>
  </r>
  <r>
    <x v="9"/>
    <d v="2025-04-01T00:00:00"/>
    <s v="Merpago*central De R"/>
    <n v="890"/>
    <x v="1"/>
    <x v="3"/>
    <x v="1"/>
    <x v="3"/>
  </r>
  <r>
    <x v="9"/>
    <d v="2025-04-01T00:00:00"/>
    <s v="Marina Hoteles Ltda-"/>
    <n v="1900"/>
    <x v="1"/>
    <x v="3"/>
    <x v="1"/>
    <x v="3"/>
  </r>
  <r>
    <x v="9"/>
    <d v="2025-04-01T00:00:00"/>
    <s v="Maxik"/>
    <n v="2980"/>
    <x v="1"/>
    <x v="3"/>
    <x v="1"/>
    <x v="3"/>
  </r>
  <r>
    <x v="9"/>
    <d v="2025-04-01T00:00:00"/>
    <s v="Ahum L550 W.martinez"/>
    <n v="6898"/>
    <x v="1"/>
    <x v="3"/>
    <x v="1"/>
    <x v="24"/>
  </r>
  <r>
    <x v="9"/>
    <d v="2025-04-01T00:00:00"/>
    <s v="Ahum L550 W.martinez"/>
    <n v="22799"/>
    <x v="1"/>
    <x v="3"/>
    <x v="1"/>
    <x v="24"/>
  </r>
  <r>
    <x v="9"/>
    <d v="2025-04-01T00:00:00"/>
    <s v="Servicios Y Comercia"/>
    <n v="2822"/>
    <x v="1"/>
    <x v="3"/>
    <x v="1"/>
    <x v="2"/>
  </r>
  <r>
    <x v="9"/>
    <d v="2025-04-01T00:00:00"/>
    <s v="Pedidosya Cl Restaur"/>
    <n v="18610"/>
    <x v="1"/>
    <x v="3"/>
    <x v="1"/>
    <x v="10"/>
  </r>
  <r>
    <x v="9"/>
    <d v="2025-03-31T23:00:00"/>
    <s v="Abono Transferencia Desde Otros Bancos"/>
    <n v="-39193"/>
    <x v="0"/>
    <x v="0"/>
    <x v="0"/>
    <x v="39"/>
  </r>
  <r>
    <x v="9"/>
    <d v="2025-03-31T21:09:00"/>
    <s v="Transferencia En Linea A Otro Banco Fernando Arriagada"/>
    <n v="140000"/>
    <x v="1"/>
    <x v="1"/>
    <x v="1"/>
    <x v="18"/>
  </r>
  <r>
    <x v="9"/>
    <d v="2025-03-31T16:26:00"/>
    <s v="Transferencia En Linea A Otro Banco Fernando Arriagada"/>
    <n v="15000"/>
    <x v="1"/>
    <x v="1"/>
    <x v="1"/>
    <x v="17"/>
  </r>
  <r>
    <x v="9"/>
    <d v="2025-03-31T16:07:00"/>
    <s v="Transferencia En Linea A Otro Banco Alvaro Perez"/>
    <n v="11000"/>
    <x v="1"/>
    <x v="1"/>
    <x v="1"/>
    <x v="17"/>
  </r>
  <r>
    <x v="9"/>
    <d v="2025-03-31T13:40:00"/>
    <s v="Marcos Andres Espinoza Santiago Chl"/>
    <n v="2530"/>
    <x v="1"/>
    <x v="1"/>
    <x v="1"/>
    <x v="2"/>
  </r>
  <r>
    <x v="9"/>
    <d v="2025-03-31T13:35:00"/>
    <s v="Transferencia En Linea A Otro Banco Cristian Ramirez"/>
    <n v="32960"/>
    <x v="1"/>
    <x v="1"/>
    <x v="1"/>
    <x v="12"/>
  </r>
  <r>
    <x v="9"/>
    <d v="2025-03-31T12:41:00"/>
    <s v="Marcos Andres Espinoza Santiago Chl"/>
    <n v="1300"/>
    <x v="1"/>
    <x v="1"/>
    <x v="1"/>
    <x v="2"/>
  </r>
  <r>
    <x v="9"/>
    <d v="2025-03-31T10:48:00"/>
    <s v="Transferencia En Linea A Otro Banco Patricia Macaya"/>
    <n v="700"/>
    <x v="1"/>
    <x v="1"/>
    <x v="1"/>
    <x v="1"/>
  </r>
  <r>
    <x v="9"/>
    <d v="2025-03-31T10:41:00"/>
    <s v="Transferencia En Linea A Otro Banco Patricia Macaya"/>
    <n v="24500"/>
    <x v="1"/>
    <x v="1"/>
    <x v="1"/>
    <x v="1"/>
  </r>
  <r>
    <x v="9"/>
    <d v="2025-03-31T10:37:00"/>
    <s v="Transferencia En Linea A Otro Banco Corporacion Educacional Patrona De Lourdes"/>
    <n v="105230"/>
    <x v="1"/>
    <x v="1"/>
    <x v="2"/>
    <x v="1"/>
  </r>
  <r>
    <x v="9"/>
    <d v="2025-03-31T00:00:00"/>
    <s v="Merpago*dunkin Fagas"/>
    <n v="11580"/>
    <x v="1"/>
    <x v="3"/>
    <x v="1"/>
    <x v="3"/>
  </r>
  <r>
    <x v="9"/>
    <d v="2025-03-31T00:00:00"/>
    <s v="Nico Gas La Florida"/>
    <n v="27600"/>
    <x v="1"/>
    <x v="3"/>
    <x v="1"/>
    <x v="14"/>
  </r>
  <r>
    <x v="9"/>
    <d v="2025-03-31T00:00:00"/>
    <s v="Hc Quilin"/>
    <n v="28510"/>
    <x v="1"/>
    <x v="3"/>
    <x v="1"/>
    <x v="18"/>
  </r>
  <r>
    <x v="9"/>
    <d v="2025-03-31T00:00:00"/>
    <s v="Decocasa"/>
    <n v="74250"/>
    <x v="1"/>
    <x v="3"/>
    <x v="1"/>
    <x v="18"/>
  </r>
  <r>
    <x v="9"/>
    <d v="2025-03-31T00:00:00"/>
    <s v="Walker Martinez"/>
    <n v="17100"/>
    <x v="1"/>
    <x v="3"/>
    <x v="1"/>
    <x v="10"/>
  </r>
  <r>
    <x v="9"/>
    <d v="2025-03-30T23:10:00"/>
    <s v="Transferencia En Linea A Otro Banco Unired S.a. (AguasAndina)"/>
    <n v="75810"/>
    <x v="1"/>
    <x v="1"/>
    <x v="2"/>
    <x v="26"/>
  </r>
  <r>
    <x v="9"/>
    <d v="2025-03-30T23:10:00"/>
    <s v="Transferencia En Linea A Otro Banco Unired S.a. (TAG)"/>
    <n v="39663"/>
    <x v="1"/>
    <x v="1"/>
    <x v="2"/>
    <x v="37"/>
  </r>
  <r>
    <x v="9"/>
    <d v="2025-03-30T23:10:00"/>
    <s v="Transferencia En Linea A Otro Banco Unired S.a. (TAG)"/>
    <n v="11500"/>
    <x v="1"/>
    <x v="1"/>
    <x v="2"/>
    <x v="37"/>
  </r>
  <r>
    <x v="9"/>
    <d v="2025-03-30T23:10:00"/>
    <s v="Transferencia En Linea A Otro Banco Unired S.a. (TAG)"/>
    <n v="4077"/>
    <x v="1"/>
    <x v="1"/>
    <x v="2"/>
    <x v="37"/>
  </r>
  <r>
    <x v="9"/>
    <d v="2025-03-30T23:10:00"/>
    <s v="Transferencia En Linea A Otro Banco Unired S.a. (TAG)"/>
    <n v="36489"/>
    <x v="1"/>
    <x v="1"/>
    <x v="2"/>
    <x v="37"/>
  </r>
  <r>
    <x v="9"/>
    <d v="2025-03-30T23:10:00"/>
    <s v="Transferencia En Linea A Otro Banco Unired S.a. (TAG)"/>
    <n v="3941"/>
    <x v="1"/>
    <x v="1"/>
    <x v="2"/>
    <x v="37"/>
  </r>
  <r>
    <x v="9"/>
    <d v="2025-03-30T23:10:00"/>
    <s v="Transferencia En Linea A Otro Banco Unired S.a. (TAG)"/>
    <n v="67253"/>
    <x v="1"/>
    <x v="1"/>
    <x v="2"/>
    <x v="37"/>
  </r>
  <r>
    <x v="9"/>
    <d v="2025-03-30T23:10:00"/>
    <s v="Transferencia En Linea A Otro Banco Unired S.a. (TAG)"/>
    <n v="6296"/>
    <x v="1"/>
    <x v="1"/>
    <x v="2"/>
    <x v="37"/>
  </r>
  <r>
    <x v="9"/>
    <d v="2025-03-30T23:10:00"/>
    <s v="Transferencia En Linea A Otro Banco Unired S.a. (TAG)"/>
    <n v="38068"/>
    <x v="1"/>
    <x v="1"/>
    <x v="2"/>
    <x v="37"/>
  </r>
  <r>
    <x v="9"/>
    <d v="2025-03-30T20:18:00"/>
    <s v="Transferencia En Linea A Otro Banco Katherine Valdes"/>
    <n v="150000"/>
    <x v="1"/>
    <x v="1"/>
    <x v="1"/>
    <x v="8"/>
  </r>
  <r>
    <x v="9"/>
    <d v="2025-03-30T00:00:00"/>
    <s v="Compara Online 1 Soa"/>
    <n v="5650"/>
    <x v="1"/>
    <x v="3"/>
    <x v="1"/>
    <x v="7"/>
  </r>
  <r>
    <x v="9"/>
    <d v="2025-03-30T00:00:00"/>
    <s v="Webpay Municipal"/>
    <n v="138562"/>
    <x v="1"/>
    <x v="3"/>
    <x v="1"/>
    <x v="7"/>
  </r>
  <r>
    <x v="9"/>
    <d v="2025-03-30T00:00:00"/>
    <s v="Hc Quilin"/>
    <n v="27787"/>
    <x v="1"/>
    <x v="3"/>
    <x v="1"/>
    <x v="18"/>
  </r>
  <r>
    <x v="9"/>
    <d v="2025-03-30T00:00:00"/>
    <s v="Sodimac Pe Al/nva.la"/>
    <n v="99740"/>
    <x v="1"/>
    <x v="3"/>
    <x v="1"/>
    <x v="18"/>
  </r>
  <r>
    <x v="9"/>
    <d v="2025-03-30T00:00:00"/>
    <s v="Ripley Car S.a Internet-fono"/>
    <n v="505980"/>
    <x v="1"/>
    <x v="3"/>
    <x v="1"/>
    <x v="18"/>
  </r>
  <r>
    <x v="9"/>
    <d v="2025-03-29T21:33:00"/>
    <s v="Banco Del Estado La Florida Chl"/>
    <n v="30000"/>
    <x v="1"/>
    <x v="1"/>
    <x v="1"/>
    <x v="15"/>
  </r>
  <r>
    <x v="9"/>
    <d v="2025-03-29T12:12:00"/>
    <s v="Merpago*claudio Omar S La Florida Chl"/>
    <n v="6700"/>
    <x v="1"/>
    <x v="1"/>
    <x v="1"/>
    <x v="2"/>
  </r>
  <r>
    <x v="9"/>
    <d v="2025-03-29T01:03:00"/>
    <s v="Smu Sa - Sueldos"/>
    <n v="-4097508"/>
    <x v="0"/>
    <x v="0"/>
    <x v="0"/>
    <x v="41"/>
  </r>
  <r>
    <x v="9"/>
    <d v="2025-03-29T00:00:00"/>
    <s v="Shell Colon 4359 F15"/>
    <n v="15000"/>
    <x v="1"/>
    <x v="3"/>
    <x v="1"/>
    <x v="7"/>
  </r>
  <r>
    <x v="9"/>
    <d v="2025-03-29T00:00:00"/>
    <s v="Saba Arauco Kennedy"/>
    <n v="3150"/>
    <x v="1"/>
    <x v="3"/>
    <x v="1"/>
    <x v="19"/>
  </r>
  <r>
    <x v="9"/>
    <d v="2025-03-29T00:00:00"/>
    <s v="Ikea Open Kennedy"/>
    <n v="17920"/>
    <x v="1"/>
    <x v="3"/>
    <x v="1"/>
    <x v="18"/>
  </r>
  <r>
    <x v="9"/>
    <d v="2025-03-29T00:00:00"/>
    <s v="Ikea Open Kennedy"/>
    <n v="25470"/>
    <x v="1"/>
    <x v="3"/>
    <x v="1"/>
    <x v="18"/>
  </r>
  <r>
    <x v="9"/>
    <d v="2025-03-29T00:00:00"/>
    <s v="Sumup * Nicolas Acha"/>
    <n v="864000"/>
    <x v="1"/>
    <x v="3"/>
    <x v="1"/>
    <x v="18"/>
  </r>
  <r>
    <x v="9"/>
    <d v="2025-03-29T00:00:00"/>
    <s v="Carls Jr"/>
    <n v="7980"/>
    <x v="1"/>
    <x v="3"/>
    <x v="1"/>
    <x v="10"/>
  </r>
  <r>
    <x v="9"/>
    <d v="2025-03-29T00:00:00"/>
    <s v="Ripley Car S.a Parque Arauco"/>
    <n v="2990"/>
    <x v="1"/>
    <x v="3"/>
    <x v="1"/>
    <x v="12"/>
  </r>
  <r>
    <x v="9"/>
    <d v="2025-03-29T00:00:00"/>
    <s v="Hip Lider Departamen"/>
    <n v="170710"/>
    <x v="1"/>
    <x v="3"/>
    <x v="1"/>
    <x v="6"/>
  </r>
  <r>
    <x v="9"/>
    <d v="2025-03-28T20:31:00"/>
    <s v="Transferencia En Linea A Otro Banco Fernando Arriagada"/>
    <n v="245000"/>
    <x v="1"/>
    <x v="1"/>
    <x v="2"/>
    <x v="27"/>
  </r>
  <r>
    <x v="9"/>
    <d v="2025-03-28T17:57:00"/>
    <s v="Atm7282;m=1;e=1; La Florida Chl"/>
    <n v="30000"/>
    <x v="1"/>
    <x v="1"/>
    <x v="1"/>
    <x v="15"/>
  </r>
  <r>
    <x v="9"/>
    <d v="2025-03-28T14:03:00"/>
    <s v="Unimarc.cl Mirador Oc Santiago Chl"/>
    <n v="-745"/>
    <x v="0"/>
    <x v="0"/>
    <x v="0"/>
    <x v="39"/>
  </r>
  <r>
    <x v="9"/>
    <d v="2025-03-28T14:00:00"/>
    <s v="Transferencia En Linea A Otro Banco Halomed Chile Spa"/>
    <n v="25000"/>
    <x v="1"/>
    <x v="1"/>
    <x v="1"/>
    <x v="24"/>
  </r>
  <r>
    <x v="9"/>
    <d v="2025-03-28T13:42:00"/>
    <s v="Pedidosya Cl Mercados Cl Chl"/>
    <n v="12307"/>
    <x v="1"/>
    <x v="1"/>
    <x v="1"/>
    <x v="10"/>
  </r>
  <r>
    <x v="9"/>
    <d v="2025-03-28T13:18:00"/>
    <s v="Nico Gas La Florida Santiago Chl"/>
    <n v="78100"/>
    <x v="1"/>
    <x v="1"/>
    <x v="1"/>
    <x v="14"/>
  </r>
  <r>
    <x v="9"/>
    <d v="2025-03-28T13:01:00"/>
    <s v="Abono Promocion Comercios Asociados"/>
    <n v="-2875"/>
    <x v="0"/>
    <x v="0"/>
    <x v="0"/>
    <x v="39"/>
  </r>
  <r>
    <x v="9"/>
    <d v="2025-03-28T12:49:00"/>
    <s v="Transferencia En Linea A Otro Banco Inversiones La Florida S.a"/>
    <n v="10000"/>
    <x v="1"/>
    <x v="1"/>
    <x v="1"/>
    <x v="1"/>
  </r>
  <r>
    <x v="9"/>
    <d v="2025-03-28T12:46:00"/>
    <s v="Pedidosya Cl Propinas Cl Chl"/>
    <n v="850"/>
    <x v="1"/>
    <x v="1"/>
    <x v="1"/>
    <x v="10"/>
  </r>
  <r>
    <x v="9"/>
    <d v="2025-03-28T12:07:00"/>
    <s v="Pedidosya Cl Restauran Cl Chl"/>
    <n v="15260"/>
    <x v="1"/>
    <x v="1"/>
    <x v="1"/>
    <x v="10"/>
  </r>
  <r>
    <x v="9"/>
    <d v="2025-03-28T08:00:00"/>
    <s v="Marcos Andres Espinoza Santiago Chl"/>
    <n v="4600"/>
    <x v="1"/>
    <x v="1"/>
    <x v="1"/>
    <x v="2"/>
  </r>
  <r>
    <x v="9"/>
    <d v="2025-03-28T00:00:00"/>
    <s v="Haulmer*botilleria E"/>
    <n v="5600"/>
    <x v="1"/>
    <x v="3"/>
    <x v="1"/>
    <x v="2"/>
  </r>
  <r>
    <x v="9"/>
    <d v="2025-03-28T00:00:00"/>
    <s v="Inversiones Dinamarc"/>
    <n v="10500"/>
    <x v="1"/>
    <x v="3"/>
    <x v="1"/>
    <x v="2"/>
  </r>
  <r>
    <x v="9"/>
    <d v="2025-03-28T00:00:00"/>
    <s v="Falabella Expo Greci"/>
    <n v="63990"/>
    <x v="1"/>
    <x v="3"/>
    <x v="1"/>
    <x v="18"/>
  </r>
  <r>
    <x v="9"/>
    <d v="2025-03-28T00:00:00"/>
    <s v="Falabella Expo Greci"/>
    <n v="359990"/>
    <x v="1"/>
    <x v="3"/>
    <x v="1"/>
    <x v="18"/>
  </r>
  <r>
    <x v="9"/>
    <d v="2025-03-28T00:00:00"/>
    <s v="Merpago*chicken Love"/>
    <n v="8900"/>
    <x v="1"/>
    <x v="3"/>
    <x v="1"/>
    <x v="10"/>
  </r>
  <r>
    <x v="9"/>
    <d v="2025-03-28T00:00:00"/>
    <s v="Merpago*mit 4 Spa Mi"/>
    <n v="11980"/>
    <x v="1"/>
    <x v="3"/>
    <x v="1"/>
    <x v="10"/>
  </r>
  <r>
    <x v="9"/>
    <d v="2025-03-27T22:23:00"/>
    <s v="Smu Sa - Remuneraciones"/>
    <n v="-2010173"/>
    <x v="0"/>
    <x v="0"/>
    <x v="0"/>
    <x v="28"/>
  </r>
  <r>
    <x v="10"/>
    <d v="2025-03-27T21:30:00"/>
    <s v="Haulmer*botilleria Ech Santiago Chl"/>
    <n v="4150"/>
    <x v="1"/>
    <x v="1"/>
    <x v="1"/>
    <x v="2"/>
  </r>
  <r>
    <x v="10"/>
    <d v="2025-03-27T18:28:00"/>
    <s v="Jairo Alexis Guerra Al Santiago Chl"/>
    <n v="5000"/>
    <x v="1"/>
    <x v="1"/>
    <x v="1"/>
    <x v="2"/>
  </r>
  <r>
    <x v="10"/>
    <d v="2025-03-27T15:54:00"/>
    <s v="Alvi Rancagua Chl"/>
    <n v="6400"/>
    <x v="1"/>
    <x v="1"/>
    <x v="1"/>
    <x v="19"/>
  </r>
  <r>
    <x v="10"/>
    <d v="2025-03-27T13:20:00"/>
    <s v="Cugat Santa Maria Rancagua Chl"/>
    <n v="5480"/>
    <x v="1"/>
    <x v="1"/>
    <x v="1"/>
    <x v="3"/>
  </r>
  <r>
    <x v="10"/>
    <d v="2025-03-27T08:33:00"/>
    <s v="Tienda Shell La Flor F Santiago Chl"/>
    <n v="3100"/>
    <x v="1"/>
    <x v="1"/>
    <x v="1"/>
    <x v="3"/>
  </r>
  <r>
    <x v="10"/>
    <d v="2025-03-27T07:25:00"/>
    <s v="Parking Mall Florida C Santiago Chl"/>
    <n v="350"/>
    <x v="1"/>
    <x v="1"/>
    <x v="1"/>
    <x v="19"/>
  </r>
  <r>
    <x v="10"/>
    <d v="2025-03-26T21:45:00"/>
    <s v="Isapre Banmedica - Salud (Pago Isapre)"/>
    <n v="-63503"/>
    <x v="0"/>
    <x v="0"/>
    <x v="0"/>
    <x v="39"/>
  </r>
  <r>
    <x v="10"/>
    <d v="2025-03-26T20:54:00"/>
    <s v="Petrobras Los Presiden Santiago Chl"/>
    <n v="25000"/>
    <x v="1"/>
    <x v="1"/>
    <x v="1"/>
    <x v="7"/>
  </r>
  <r>
    <x v="10"/>
    <d v="2025-03-26T20:34:00"/>
    <s v="Tottus Quilin Santiago Chl"/>
    <n v="19935"/>
    <x v="1"/>
    <x v="1"/>
    <x v="1"/>
    <x v="6"/>
  </r>
  <r>
    <x v="10"/>
    <d v="2025-03-26T20:08:00"/>
    <s v="Sb 749 Santiago Chl"/>
    <n v="5249"/>
    <x v="1"/>
    <x v="1"/>
    <x v="1"/>
    <x v="24"/>
  </r>
  <r>
    <x v="10"/>
    <d v="2025-03-26T16:05:00"/>
    <s v="Servicios Y Comercial Las Condes Chl"/>
    <n v="2997"/>
    <x v="1"/>
    <x v="1"/>
    <x v="1"/>
    <x v="2"/>
  </r>
  <r>
    <x v="10"/>
    <d v="2025-03-26T14:15:00"/>
    <s v="Unimarc.cl Mirador Oc Santiago Chl"/>
    <n v="33059"/>
    <x v="1"/>
    <x v="1"/>
    <x v="1"/>
    <x v="6"/>
  </r>
  <r>
    <x v="10"/>
    <d v="2025-03-26T12:57:00"/>
    <s v="Transferencia En Linea A Otro Banco Barbara Aguilar"/>
    <n v="4100"/>
    <x v="1"/>
    <x v="1"/>
    <x v="1"/>
    <x v="1"/>
  </r>
  <r>
    <x v="10"/>
    <d v="2025-03-26T09:31:00"/>
    <s v="Marina Hoteles Ltda- S Santiago Chl"/>
    <n v="1900"/>
    <x v="1"/>
    <x v="1"/>
    <x v="1"/>
    <x v="3"/>
  </r>
  <r>
    <x v="10"/>
    <d v="2025-03-26T08:44:00"/>
    <s v="Banco Del Estado Santiago Chl"/>
    <n v="10000"/>
    <x v="1"/>
    <x v="1"/>
    <x v="1"/>
    <x v="15"/>
  </r>
  <r>
    <x v="10"/>
    <d v="2025-03-26T07:21:00"/>
    <s v="Parking Mall Florida C Santiago Chl"/>
    <n v="300"/>
    <x v="1"/>
    <x v="1"/>
    <x v="1"/>
    <x v="19"/>
  </r>
  <r>
    <x v="10"/>
    <d v="2025-03-26T00:09:00"/>
    <s v="Copec App Santiago Chl"/>
    <n v="5000"/>
    <x v="1"/>
    <x v="1"/>
    <x v="1"/>
    <x v="3"/>
  </r>
  <r>
    <x v="10"/>
    <d v="2025-03-25T17:25:00"/>
    <s v="Farmacias Tobalaba Santiago Chl"/>
    <n v="7990"/>
    <x v="1"/>
    <x v="1"/>
    <x v="1"/>
    <x v="24"/>
  </r>
  <r>
    <x v="10"/>
    <d v="2025-03-25T15:50:00"/>
    <s v="Google Play Youtube Go Las Condes Chl"/>
    <n v="5850"/>
    <x v="1"/>
    <x v="1"/>
    <x v="2"/>
    <x v="17"/>
  </r>
  <r>
    <x v="10"/>
    <d v="2025-03-25T13:48:00"/>
    <s v="Cugat Santa Maria Rancagua Chl"/>
    <n v="6480"/>
    <x v="1"/>
    <x v="1"/>
    <x v="1"/>
    <x v="3"/>
  </r>
  <r>
    <x v="10"/>
    <d v="2025-03-25T08:54:00"/>
    <s v="Copec App Santiago Chl"/>
    <n v="20000"/>
    <x v="1"/>
    <x v="1"/>
    <x v="1"/>
    <x v="7"/>
  </r>
  <r>
    <x v="10"/>
    <d v="2025-03-25T08:51:00"/>
    <s v="Steffens Y Compania Li Santiago Chl"/>
    <n v="2990"/>
    <x v="1"/>
    <x v="1"/>
    <x v="1"/>
    <x v="2"/>
  </r>
  <r>
    <x v="10"/>
    <d v="2025-03-24T22:00:00"/>
    <s v="Walker Market Santiago Chl"/>
    <n v="5500"/>
    <x v="1"/>
    <x v="1"/>
    <x v="1"/>
    <x v="2"/>
  </r>
  <r>
    <x v="10"/>
    <d v="2025-03-24T12:35:00"/>
    <s v="Transferencia En Linea A Otro Banco Katherine Valdes"/>
    <n v="20000"/>
    <x v="1"/>
    <x v="1"/>
    <x v="1"/>
    <x v="8"/>
  </r>
  <r>
    <x v="10"/>
    <d v="2025-03-24T11:39:00"/>
    <s v="Hip Lider Departamenta Santiago Chl"/>
    <n v="17740"/>
    <x v="1"/>
    <x v="1"/>
    <x v="1"/>
    <x v="6"/>
  </r>
  <r>
    <x v="10"/>
    <d v="2025-03-23T19:28:00"/>
    <s v="Farm Belen La Florida Santiago Chl"/>
    <n v="3990"/>
    <x v="1"/>
    <x v="1"/>
    <x v="1"/>
    <x v="24"/>
  </r>
  <r>
    <x v="10"/>
    <d v="2025-03-23T13:26:00"/>
    <s v="Cps Copec Pve Santiago Chl"/>
    <n v="450"/>
    <x v="1"/>
    <x v="1"/>
    <x v="1"/>
    <x v="3"/>
  </r>
  <r>
    <x v="10"/>
    <d v="2025-03-23T13:19:00"/>
    <s v="Salcobrand 405 Santiago Chl"/>
    <n v="16497"/>
    <x v="1"/>
    <x v="1"/>
    <x v="1"/>
    <x v="24"/>
  </r>
  <r>
    <x v="10"/>
    <d v="2025-03-22T17:19:00"/>
    <s v="Libreria Al-parr Santiago Chl"/>
    <n v="2150"/>
    <x v="1"/>
    <x v="1"/>
    <x v="1"/>
    <x v="11"/>
  </r>
  <r>
    <x v="10"/>
    <d v="2025-03-22T17:10:00"/>
    <s v="Copec App Santiago Chl"/>
    <n v="9610"/>
    <x v="1"/>
    <x v="1"/>
    <x v="1"/>
    <x v="3"/>
  </r>
  <r>
    <x v="10"/>
    <d v="2025-03-22T10:33:00"/>
    <s v="W.martinez 1940 La Florida"/>
    <n v="30000"/>
    <x v="1"/>
    <x v="1"/>
    <x v="1"/>
    <x v="15"/>
  </r>
  <r>
    <x v="10"/>
    <d v="2025-03-22T09:29:00"/>
    <s v="Transferencia En Linea A Otro Banco Katherine Valdes"/>
    <n v="30000"/>
    <x v="1"/>
    <x v="1"/>
    <x v="1"/>
    <x v="8"/>
  </r>
  <r>
    <x v="10"/>
    <d v="2025-03-21T22:00:00"/>
    <s v="Unired Cl Tarjeta Unim Santiago Chl (Unipay)"/>
    <n v="51613"/>
    <x v="1"/>
    <x v="1"/>
    <x v="1"/>
    <x v="6"/>
  </r>
  <r>
    <x v="10"/>
    <d v="2025-03-21T20:18:00"/>
    <s v="Bello Oriente Santiago Chl"/>
    <n v="14400"/>
    <x v="1"/>
    <x v="1"/>
    <x v="1"/>
    <x v="10"/>
  </r>
  <r>
    <x v="10"/>
    <d v="2025-03-21T19:57:00"/>
    <s v="Cps Copec Pve Santiago Chl"/>
    <n v="3250"/>
    <x v="1"/>
    <x v="1"/>
    <x v="1"/>
    <x v="3"/>
  </r>
  <r>
    <x v="10"/>
    <d v="2025-03-21T19:54:00"/>
    <s v="Abono Transferencia Desde Otros Bancos"/>
    <n v="-9600"/>
    <x v="0"/>
    <x v="0"/>
    <x v="0"/>
    <x v="39"/>
  </r>
  <r>
    <x v="10"/>
    <d v="2025-03-21T19:48:00"/>
    <s v="Hip Lider Plaza Vespuc Santiago Chl"/>
    <n v="21160"/>
    <x v="1"/>
    <x v="1"/>
    <x v="1"/>
    <x v="6"/>
  </r>
  <r>
    <x v="10"/>
    <d v="2025-03-21T19:30:00"/>
    <s v="Mallplaza Vespucio Santiago Chl"/>
    <n v="28456"/>
    <x v="1"/>
    <x v="1"/>
    <x v="1"/>
    <x v="10"/>
  </r>
  <r>
    <x v="10"/>
    <d v="2025-03-21T19:06:00"/>
    <s v="Ripley Plaza Vespucio Santiago Chl"/>
    <n v="34971"/>
    <x v="1"/>
    <x v="1"/>
    <x v="1"/>
    <x v="12"/>
  </r>
  <r>
    <x v="10"/>
    <d v="2025-03-21T15:49:00"/>
    <s v="Abono Transferencia Desde Otros Bancos"/>
    <n v="-2176"/>
    <x v="0"/>
    <x v="0"/>
    <x v="0"/>
    <x v="39"/>
  </r>
  <r>
    <x v="10"/>
    <d v="2025-03-21T15:46:00"/>
    <s v="Transferencia En Linea A Otro Banco Fernando Arriagada Tapp"/>
    <n v="11500"/>
    <x v="1"/>
    <x v="1"/>
    <x v="1"/>
    <x v="17"/>
  </r>
  <r>
    <x v="10"/>
    <d v="2025-03-21T13:24:00"/>
    <s v="Marcos Andres Espinoza Santiago Chl"/>
    <n v="3350"/>
    <x v="1"/>
    <x v="1"/>
    <x v="1"/>
    <x v="2"/>
  </r>
  <r>
    <x v="10"/>
    <d v="2025-03-21T11:52:00"/>
    <s v="Transferencia En Linea A Otro Banco Fernando Arriagada"/>
    <n v="35000"/>
    <x v="1"/>
    <x v="1"/>
    <x v="2"/>
    <x v="26"/>
  </r>
  <r>
    <x v="10"/>
    <d v="2025-03-21T11:43:00"/>
    <s v="Transferencia En Linea De Katherine Valdes Seguel"/>
    <n v="-500000"/>
    <x v="0"/>
    <x v="0"/>
    <x v="0"/>
    <x v="39"/>
  </r>
  <r>
    <x v="10"/>
    <d v="2025-03-21T09:09:00"/>
    <s v="Express Rojas Magalla Santiago Chl"/>
    <n v="24069"/>
    <x v="1"/>
    <x v="1"/>
    <x v="1"/>
    <x v="6"/>
  </r>
  <r>
    <x v="10"/>
    <d v="2025-03-20T23:20:00"/>
    <s v="Haulmer*botilleria Ech Santiago Chl"/>
    <n v="2750"/>
    <x v="1"/>
    <x v="1"/>
    <x v="1"/>
    <x v="2"/>
  </r>
  <r>
    <x v="10"/>
    <d v="2025-03-20T22:53:00"/>
    <s v="Abono Transferencia Desde Otros Bancos"/>
    <n v="-55424"/>
    <x v="0"/>
    <x v="0"/>
    <x v="0"/>
    <x v="39"/>
  </r>
  <r>
    <x v="10"/>
    <d v="2025-03-20T19:15:00"/>
    <s v="Dulce Aroma Santiago Chl"/>
    <n v="7270"/>
    <x v="1"/>
    <x v="1"/>
    <x v="1"/>
    <x v="2"/>
  </r>
  <r>
    <x v="10"/>
    <d v="2025-03-20T17:11:00"/>
    <s v="Jairo Alexis Guerra Al Santiago Chl"/>
    <n v="7180"/>
    <x v="1"/>
    <x v="1"/>
    <x v="1"/>
    <x v="2"/>
  </r>
  <r>
    <x v="10"/>
    <d v="2025-03-20T13:12:00"/>
    <s v="Transferencia En Linea A Otro Banco Katherine Valdes"/>
    <n v="10000"/>
    <x v="1"/>
    <x v="1"/>
    <x v="1"/>
    <x v="8"/>
  </r>
  <r>
    <x v="10"/>
    <d v="2025-03-20T08:24:00"/>
    <s v="Tienda Shell La Flor F Santiago Chl"/>
    <n v="3100"/>
    <x v="1"/>
    <x v="1"/>
    <x v="1"/>
    <x v="3"/>
  </r>
  <r>
    <x v="10"/>
    <d v="2025-03-20T08:22:00"/>
    <s v="Shel Walker Martinez F Santiago Chl"/>
    <n v="20000"/>
    <x v="1"/>
    <x v="1"/>
    <x v="1"/>
    <x v="7"/>
  </r>
  <r>
    <x v="10"/>
    <d v="2025-03-19T23:25:00"/>
    <s v="Abono Transferencia Desde Otros Bancos"/>
    <n v="-21183"/>
    <x v="0"/>
    <x v="0"/>
    <x v="0"/>
    <x v="39"/>
  </r>
  <r>
    <x v="10"/>
    <d v="2025-03-19T13:00:00"/>
    <s v="Merpago*central De Res Huechuraba Chl"/>
    <n v="890"/>
    <x v="1"/>
    <x v="1"/>
    <x v="1"/>
    <x v="3"/>
  </r>
  <r>
    <x v="10"/>
    <d v="2025-03-19T07:22:00"/>
    <s v="Parking Mall Florida C Santiago Chl"/>
    <n v="300"/>
    <x v="1"/>
    <x v="1"/>
    <x v="1"/>
    <x v="19"/>
  </r>
  <r>
    <x v="10"/>
    <d v="2025-03-18T21:29:00"/>
    <s v="Cps Copec Pve Santiago Chl"/>
    <n v="250"/>
    <x v="1"/>
    <x v="1"/>
    <x v="1"/>
    <x v="3"/>
  </r>
  <r>
    <x v="10"/>
    <d v="2025-03-18T18:46:00"/>
    <s v="Payu *Uber Trip Santiago Chl"/>
    <n v="2724"/>
    <x v="1"/>
    <x v="1"/>
    <x v="1"/>
    <x v="2"/>
  </r>
  <r>
    <x v="10"/>
    <d v="2025-03-18T18:25:00"/>
    <s v="A.apoquindo 5710 Las Condes"/>
    <n v="5000"/>
    <x v="1"/>
    <x v="1"/>
    <x v="1"/>
    <x v="15"/>
  </r>
  <r>
    <x v="10"/>
    <d v="2025-03-18T18:24:00"/>
    <s v="Merpago*martinez Marti Las Condes Chl"/>
    <n v="1000"/>
    <x v="1"/>
    <x v="1"/>
    <x v="1"/>
    <x v="3"/>
  </r>
  <r>
    <x v="10"/>
    <d v="2025-03-18T13:10:00"/>
    <s v="Merpago*central De Res Huechuraba Chl"/>
    <n v="890"/>
    <x v="1"/>
    <x v="1"/>
    <x v="1"/>
    <x v="3"/>
  </r>
  <r>
    <x v="10"/>
    <d v="2025-03-17T11:54:00"/>
    <s v="Hip Lider Departamenta Santiago Chl"/>
    <n v="15850"/>
    <x v="1"/>
    <x v="1"/>
    <x v="1"/>
    <x v="6"/>
  </r>
  <r>
    <x v="10"/>
    <d v="2025-03-17T10:15:00"/>
    <s v="Merpago*dunkin Fagase Lampa Chl"/>
    <n v="2358"/>
    <x v="1"/>
    <x v="1"/>
    <x v="1"/>
    <x v="3"/>
  </r>
  <r>
    <x v="10"/>
    <d v="2025-03-17T07:59:00"/>
    <s v="Marcos Andres Espinoza Santiago Chl"/>
    <n v="2500"/>
    <x v="1"/>
    <x v="1"/>
    <x v="1"/>
    <x v="2"/>
  </r>
  <r>
    <x v="10"/>
    <d v="2025-03-16T19:52:00"/>
    <s v="Express Rojas Magalla Santiago Chl"/>
    <n v="16840"/>
    <x v="1"/>
    <x v="1"/>
    <x v="1"/>
    <x v="6"/>
  </r>
  <r>
    <x v="10"/>
    <d v="2025-03-16T19:25:00"/>
    <s v="Copec App Santiago Chl"/>
    <n v="9532"/>
    <x v="1"/>
    <x v="1"/>
    <x v="1"/>
    <x v="3"/>
  </r>
  <r>
    <x v="10"/>
    <d v="2025-03-16T15:22:00"/>
    <s v="La Temucana Santiago Chl"/>
    <n v="6000"/>
    <x v="1"/>
    <x v="1"/>
    <x v="1"/>
    <x v="10"/>
  </r>
  <r>
    <x v="10"/>
    <d v="2025-03-16T14:51:00"/>
    <s v="La Temucana Santiago Chl"/>
    <n v="17200"/>
    <x v="1"/>
    <x v="1"/>
    <x v="1"/>
    <x v="10"/>
  </r>
  <r>
    <x v="10"/>
    <d v="2025-03-16T13:58:00"/>
    <s v="Hip Lider Departamenta Santiago Chl"/>
    <n v="7950"/>
    <x v="1"/>
    <x v="1"/>
    <x v="1"/>
    <x v="6"/>
  </r>
  <r>
    <x v="10"/>
    <d v="2025-03-16T09:33:00"/>
    <s v="Google Play Youtube Go Las Condes Chl"/>
    <n v="1400"/>
    <x v="1"/>
    <x v="1"/>
    <x v="1"/>
    <x v="17"/>
  </r>
  <r>
    <x v="10"/>
    <d v="2025-03-15T21:07:00"/>
    <s v="Cps Copec Pve Santiago Chl"/>
    <n v="1650"/>
    <x v="1"/>
    <x v="1"/>
    <x v="1"/>
    <x v="3"/>
  </r>
  <r>
    <x v="10"/>
    <d v="2025-03-15T20:29:00"/>
    <s v="Vespucio Santiago Chl"/>
    <n v="11970"/>
    <x v="1"/>
    <x v="1"/>
    <x v="1"/>
    <x v="10"/>
  </r>
  <r>
    <x v="10"/>
    <d v="2025-03-15T20:09:00"/>
    <s v="Juan Valdes Pza Vespuc Santiago Chl"/>
    <n v="6000"/>
    <x v="1"/>
    <x v="1"/>
    <x v="1"/>
    <x v="10"/>
  </r>
  <r>
    <x v="10"/>
    <d v="2025-03-15T13:32:00"/>
    <s v="Merpago*claudio Omar S La Florida Chl"/>
    <n v="2000"/>
    <x v="1"/>
    <x v="1"/>
    <x v="1"/>
    <x v="2"/>
  </r>
  <r>
    <x v="10"/>
    <d v="2025-03-15T11:58:00"/>
    <s v="Banco Del Estado La Florida Chl"/>
    <n v="30000"/>
    <x v="1"/>
    <x v="1"/>
    <x v="1"/>
    <x v="15"/>
  </r>
  <r>
    <x v="10"/>
    <d v="2025-03-14T22:34:00"/>
    <s v="Cps Copec Pve Santiago Chl"/>
    <n v="500"/>
    <x v="1"/>
    <x v="1"/>
    <x v="1"/>
    <x v="3"/>
  </r>
  <r>
    <x v="10"/>
    <d v="2025-03-14T21:10:00"/>
    <s v="Hip Lider Plaza Vespuc Santiago Chl"/>
    <n v="44525"/>
    <x v="1"/>
    <x v="1"/>
    <x v="1"/>
    <x v="6"/>
  </r>
  <r>
    <x v="10"/>
    <d v="2025-03-14T20:42:00"/>
    <s v="Bellavista Providencia Santiago Chl"/>
    <n v="4900"/>
    <x v="1"/>
    <x v="1"/>
    <x v="1"/>
    <x v="2"/>
  </r>
  <r>
    <x v="10"/>
    <d v="2025-03-14T17:04:00"/>
    <s v="Merpago*claudio Omar S La Florida Chl"/>
    <n v="4790"/>
    <x v="1"/>
    <x v="1"/>
    <x v="1"/>
    <x v="2"/>
  </r>
  <r>
    <x v="10"/>
    <d v="2025-03-14T13:32:00"/>
    <s v="Marcos Andres Espinoza Santiago Chl"/>
    <n v="3600"/>
    <x v="1"/>
    <x v="1"/>
    <x v="1"/>
    <x v="2"/>
  </r>
  <r>
    <x v="10"/>
    <d v="2025-03-14T13:27:00"/>
    <s v="Heladomania Santiago Chl"/>
    <n v="2600"/>
    <x v="1"/>
    <x v="1"/>
    <x v="1"/>
    <x v="2"/>
  </r>
  <r>
    <x v="10"/>
    <d v="2025-03-14T08:05:00"/>
    <s v="Marcos Andres Espinoza Santiago Chl"/>
    <n v="3200"/>
    <x v="1"/>
    <x v="1"/>
    <x v="1"/>
    <x v="2"/>
  </r>
  <r>
    <x v="10"/>
    <d v="2025-03-13T22:54:00"/>
    <s v="Smu Sa - Anticipos"/>
    <n v="-150000"/>
    <x v="0"/>
    <x v="0"/>
    <x v="0"/>
    <x v="28"/>
  </r>
  <r>
    <x v="10"/>
    <d v="2025-03-13T22:46:00"/>
    <s v="Abono Transferencia Desde Otros Bancos"/>
    <n v="-56014"/>
    <x v="0"/>
    <x v="0"/>
    <x v="0"/>
    <x v="39"/>
  </r>
  <r>
    <x v="10"/>
    <d v="2025-03-13T18:40:00"/>
    <s v="Jairo Alexis Guerra Al Santiago Chl"/>
    <n v="3390"/>
    <x v="1"/>
    <x v="1"/>
    <x v="1"/>
    <x v="2"/>
  </r>
  <r>
    <x v="10"/>
    <d v="2025-03-13T13:25:00"/>
    <s v="Cugat Santa Maria Rancagua Chl"/>
    <n v="3990"/>
    <x v="1"/>
    <x v="1"/>
    <x v="1"/>
    <x v="3"/>
  </r>
  <r>
    <x v="10"/>
    <d v="2025-03-13T08:18:00"/>
    <s v="Tienda Shell La Flor F Santiago Chl"/>
    <n v="3100"/>
    <x v="1"/>
    <x v="1"/>
    <x v="1"/>
    <x v="3"/>
  </r>
  <r>
    <x v="10"/>
    <d v="2025-03-13T08:17:00"/>
    <s v="W.martinez 1940 La Florida"/>
    <n v="5000"/>
    <x v="1"/>
    <x v="1"/>
    <x v="1"/>
    <x v="15"/>
  </r>
  <r>
    <x v="10"/>
    <d v="2025-03-13T08:16:00"/>
    <s v="Micopiloto F102 Santiago Chl"/>
    <n v="20000"/>
    <x v="1"/>
    <x v="1"/>
    <x v="1"/>
    <x v="7"/>
  </r>
  <r>
    <x v="10"/>
    <d v="2025-03-12T20:35:00"/>
    <s v="Dulce Aroma Santiago Chl"/>
    <n v="10590"/>
    <x v="1"/>
    <x v="1"/>
    <x v="1"/>
    <x v="2"/>
  </r>
  <r>
    <x v="10"/>
    <d v="2025-03-12T13:01:00"/>
    <s v="Merpago*central De Res Huechuraba Chl"/>
    <n v="890"/>
    <x v="1"/>
    <x v="1"/>
    <x v="1"/>
    <x v="3"/>
  </r>
  <r>
    <x v="10"/>
    <d v="2025-03-12T12:23:00"/>
    <s v="Transferencia En Linea A Otro Banco Barbara Aguilar"/>
    <n v="9500"/>
    <x v="1"/>
    <x v="1"/>
    <x v="1"/>
    <x v="1"/>
  </r>
  <r>
    <x v="10"/>
    <d v="2025-03-12T12:20:00"/>
    <s v="Transferencia En Linea A Otro Banco Luis Ramos"/>
    <n v="12000"/>
    <x v="1"/>
    <x v="1"/>
    <x v="1"/>
    <x v="1"/>
  </r>
  <r>
    <x v="10"/>
    <d v="2025-03-12T11:40:00"/>
    <s v="Spid Cerro El Plomo Santiago Chl"/>
    <n v="919"/>
    <x v="1"/>
    <x v="1"/>
    <x v="1"/>
    <x v="3"/>
  </r>
  <r>
    <x v="10"/>
    <d v="2025-03-12T00:18:00"/>
    <s v="Unimarc.cl Mirador Oc Santiago Chl"/>
    <n v="36867"/>
    <x v="1"/>
    <x v="1"/>
    <x v="1"/>
    <x v="6"/>
  </r>
  <r>
    <x v="10"/>
    <d v="2025-03-11T16:52:00"/>
    <s v="Mercadopago *Comercia Las Condes Chl"/>
    <n v="9180"/>
    <x v="1"/>
    <x v="1"/>
    <x v="1"/>
    <x v="2"/>
  </r>
  <r>
    <x v="10"/>
    <d v="2025-03-11T13:10:00"/>
    <s v="Merpago*central De Res Huechuraba Chl"/>
    <n v="1790"/>
    <x v="1"/>
    <x v="1"/>
    <x v="1"/>
    <x v="3"/>
  </r>
  <r>
    <x v="10"/>
    <d v="2025-03-11T09:19:00"/>
    <s v="Marina Hoteles Ltda- S Santiago Chl"/>
    <n v="1900"/>
    <x v="1"/>
    <x v="1"/>
    <x v="1"/>
    <x v="3"/>
  </r>
  <r>
    <x v="10"/>
    <d v="2025-03-10T22:37:00"/>
    <s v="Plaza Vespucio Santiago Chl"/>
    <n v="4600"/>
    <x v="1"/>
    <x v="1"/>
    <x v="1"/>
    <x v="19"/>
  </r>
  <r>
    <x v="10"/>
    <d v="2025-03-10T11:26:00"/>
    <s v="Hip Lider Departamenta Santiago Chl"/>
    <n v="40385"/>
    <x v="1"/>
    <x v="1"/>
    <x v="1"/>
    <x v="6"/>
  </r>
  <r>
    <x v="10"/>
    <d v="2025-03-09T11:19:00"/>
    <s v="Shel Walker Martinez F Santiago Chl"/>
    <n v="10000"/>
    <x v="1"/>
    <x v="1"/>
    <x v="1"/>
    <x v="7"/>
  </r>
  <r>
    <x v="10"/>
    <d v="2025-03-08T21:19:00"/>
    <s v="Express Rojas Magalla Santiago Chl"/>
    <n v="30166"/>
    <x v="1"/>
    <x v="1"/>
    <x v="1"/>
    <x v="6"/>
  </r>
  <r>
    <x v="10"/>
    <d v="2025-03-08T14:17:00"/>
    <s v="Sajaki Sushi Santiago Chl"/>
    <n v="10600"/>
    <x v="1"/>
    <x v="1"/>
    <x v="1"/>
    <x v="10"/>
  </r>
  <r>
    <x v="10"/>
    <d v="2025-03-08T12:41:00"/>
    <s v="Banco Del Estado La Florida Chl"/>
    <n v="30000"/>
    <x v="1"/>
    <x v="1"/>
    <x v="1"/>
    <x v="15"/>
  </r>
  <r>
    <x v="10"/>
    <d v="2025-03-07T22:12:00"/>
    <s v="Abono Transferencia Desde Otros Bancos"/>
    <n v="-52122"/>
    <x v="0"/>
    <x v="0"/>
    <x v="0"/>
    <x v="39"/>
  </r>
  <r>
    <x v="10"/>
    <d v="2025-03-07T20:03:00"/>
    <s v="Hip Lider Departamenta Santiago Chl"/>
    <n v="41590"/>
    <x v="1"/>
    <x v="1"/>
    <x v="1"/>
    <x v="6"/>
  </r>
  <r>
    <x v="10"/>
    <d v="2025-03-07T13:51:00"/>
    <s v="Merpago*claudio Omar S La Florida Chl"/>
    <n v="12220"/>
    <x v="1"/>
    <x v="1"/>
    <x v="1"/>
    <x v="2"/>
  </r>
  <r>
    <x v="10"/>
    <d v="2025-03-07T13:01:00"/>
    <s v="Unimarc.cl Mirador Oc Santiago Chl"/>
    <n v="-1077"/>
    <x v="0"/>
    <x v="0"/>
    <x v="0"/>
    <x v="39"/>
  </r>
  <r>
    <x v="10"/>
    <d v="2025-03-06T17:51:00"/>
    <s v="Transferencia En Linea A Otro Banco Katherine Valdes"/>
    <n v="10000"/>
    <x v="1"/>
    <x v="1"/>
    <x v="1"/>
    <x v="8"/>
  </r>
  <r>
    <x v="10"/>
    <d v="2025-03-06T17:02:00"/>
    <s v="Shell F703 Punta Arena Punta Arenas Chl"/>
    <n v="13358"/>
    <x v="1"/>
    <x v="1"/>
    <x v="1"/>
    <x v="7"/>
  </r>
  <r>
    <x v="10"/>
    <d v="2025-03-06T14:49:00"/>
    <s v="Work Cafe Punta Arenas Magallanes Chl"/>
    <n v="3700"/>
    <x v="1"/>
    <x v="1"/>
    <x v="1"/>
    <x v="3"/>
  </r>
  <r>
    <x v="10"/>
    <d v="2025-03-06T14:35:00"/>
    <s v="Casa Dona Maria Punta Arenas Chl"/>
    <n v="15400"/>
    <x v="1"/>
    <x v="1"/>
    <x v="1"/>
    <x v="3"/>
  </r>
  <r>
    <x v="10"/>
    <d v="2025-03-06T12:09:00"/>
    <s v="Abono Transferencia Desde Otros Bancos"/>
    <n v="-13834"/>
    <x v="0"/>
    <x v="0"/>
    <x v="0"/>
    <x v="39"/>
  </r>
  <r>
    <x v="10"/>
    <d v="2025-03-06T10:19:00"/>
    <s v="Haulmer*ssg Santiago Chl"/>
    <n v="1025"/>
    <x v="1"/>
    <x v="1"/>
    <x v="1"/>
    <x v="19"/>
  </r>
  <r>
    <x v="10"/>
    <d v="2025-03-06T09:44:00"/>
    <s v="Mercadopago *Kioskoro Las Condes Chl"/>
    <n v="3100"/>
    <x v="1"/>
    <x v="1"/>
    <x v="1"/>
    <x v="2"/>
  </r>
  <r>
    <x v="10"/>
    <d v="2025-03-06T03:16:00"/>
    <s v="Spid Aeropuerto Santiago Chl"/>
    <n v="2490"/>
    <x v="1"/>
    <x v="1"/>
    <x v="1"/>
    <x v="3"/>
  </r>
  <r>
    <x v="10"/>
    <d v="2025-03-06T02:41:00"/>
    <s v="Entel Oneclick Esa Pag Santiago Chl (Entel)"/>
    <n v="40984"/>
    <x v="1"/>
    <x v="1"/>
    <x v="2"/>
    <x v="26"/>
  </r>
  <r>
    <x v="10"/>
    <d v="2025-03-05T20:18:00"/>
    <s v="Hip Lider Santa Amalia Santiago Chl"/>
    <n v="15330"/>
    <x v="1"/>
    <x v="1"/>
    <x v="1"/>
    <x v="6"/>
  </r>
  <r>
    <x v="10"/>
    <d v="2025-03-05T17:47:00"/>
    <s v="Pronto Copec Sf Mostaz S.fco.mostaza Chl"/>
    <n v="4030"/>
    <x v="1"/>
    <x v="1"/>
    <x v="1"/>
    <x v="3"/>
  </r>
  <r>
    <x v="10"/>
    <d v="2025-03-05T16:14:00"/>
    <s v="Transferencia En Linea A Otro Banco Fernando Arriagada"/>
    <n v="5000"/>
    <x v="1"/>
    <x v="1"/>
    <x v="1"/>
    <x v="2"/>
  </r>
  <r>
    <x v="10"/>
    <d v="2025-03-05T13:24:00"/>
    <s v="Cugat Santa Maria Rancagua Chl"/>
    <n v="6380"/>
    <x v="1"/>
    <x v="1"/>
    <x v="1"/>
    <x v="3"/>
  </r>
  <r>
    <x v="10"/>
    <d v="2025-03-05T12:48:00"/>
    <s v="Transferencia En Linea A Otro Banco Katherine Valdes"/>
    <n v="10000"/>
    <x v="1"/>
    <x v="1"/>
    <x v="1"/>
    <x v="8"/>
  </r>
  <r>
    <x v="10"/>
    <d v="2025-03-05T09:09:00"/>
    <s v="Tienda Shell La Flor F Santiago Chl"/>
    <n v="3800"/>
    <x v="1"/>
    <x v="1"/>
    <x v="1"/>
    <x v="3"/>
  </r>
  <r>
    <x v="10"/>
    <d v="2025-03-05T09:02:00"/>
    <s v="Shel Walker Martinez F Santiago Chl"/>
    <n v="25000"/>
    <x v="1"/>
    <x v="1"/>
    <x v="1"/>
    <x v="7"/>
  </r>
  <r>
    <x v="10"/>
    <d v="2025-03-05T08:39:00"/>
    <s v="Unimarc.cl Mirador Oc Santiago Chl"/>
    <n v="34696"/>
    <x v="1"/>
    <x v="1"/>
    <x v="1"/>
    <x v="6"/>
  </r>
  <r>
    <x v="10"/>
    <d v="2025-03-05T08:26:00"/>
    <s v="Transferencia En Linea A Otro Banco Fernando Arriagada"/>
    <n v="730000"/>
    <x v="1"/>
    <x v="1"/>
    <x v="2"/>
    <x v="22"/>
  </r>
  <r>
    <x v="10"/>
    <d v="2025-03-05T08:26:00"/>
    <s v="Transferencia En Linea A Otro Banco Fernando Arriagada"/>
    <n v="220000"/>
    <x v="1"/>
    <x v="1"/>
    <x v="2"/>
    <x v="1"/>
  </r>
  <r>
    <x v="10"/>
    <d v="2025-03-04T20:08:00"/>
    <s v="Cps Copec Pve Santiago Chl"/>
    <n v="3150"/>
    <x v="1"/>
    <x v="1"/>
    <x v="1"/>
    <x v="3"/>
  </r>
  <r>
    <x v="10"/>
    <d v="2025-03-04T19:43:00"/>
    <s v="Mercadopago *Matos Las Condes Chl"/>
    <n v="22980"/>
    <x v="1"/>
    <x v="1"/>
    <x v="1"/>
    <x v="12"/>
  </r>
  <r>
    <x v="10"/>
    <d v="2025-03-04T16:10:00"/>
    <s v="Servicios Y Comercial Las Condes Chl"/>
    <n v="1156"/>
    <x v="1"/>
    <x v="1"/>
    <x v="1"/>
    <x v="2"/>
  </r>
  <r>
    <x v="10"/>
    <d v="2025-03-04T13:14:00"/>
    <s v="Merpago*central De Res Huechuraba Chl"/>
    <n v="890"/>
    <x v="1"/>
    <x v="1"/>
    <x v="1"/>
    <x v="3"/>
  </r>
  <r>
    <x v="10"/>
    <d v="2025-03-04T09:51:00"/>
    <s v="Transferencia En Linea A Otro Banco Alan Carvajal"/>
    <n v="14127"/>
    <x v="1"/>
    <x v="1"/>
    <x v="1"/>
    <x v="11"/>
  </r>
  <r>
    <x v="10"/>
    <d v="2025-03-04T09:23:00"/>
    <s v="Marina Hoteles Ltda- S Santiago Chl"/>
    <n v="1700"/>
    <x v="1"/>
    <x v="1"/>
    <x v="1"/>
    <x v="3"/>
  </r>
  <r>
    <x v="10"/>
    <d v="2025-03-03T23:47:00"/>
    <s v="Transferencia En Linea A Otro Banco Yldebrando Uzcategui"/>
    <n v="19990"/>
    <x v="1"/>
    <x v="1"/>
    <x v="1"/>
    <x v="12"/>
  </r>
  <r>
    <x v="10"/>
    <d v="2025-03-03T22:37:00"/>
    <s v="Abono Transferencia Desde Otros Bancos"/>
    <n v="-59202"/>
    <x v="0"/>
    <x v="0"/>
    <x v="0"/>
    <x v="39"/>
  </r>
  <r>
    <x v="10"/>
    <d v="2025-03-03T21:00:00"/>
    <s v="Tuu*thewalkerbarbersho Santiago Chl"/>
    <n v="25990"/>
    <x v="1"/>
    <x v="1"/>
    <x v="1"/>
    <x v="24"/>
  </r>
  <r>
    <x v="10"/>
    <d v="2025-03-03T19:23:00"/>
    <s v="Farm Belen La Florida Santiago Chl"/>
    <n v="3990"/>
    <x v="1"/>
    <x v="1"/>
    <x v="1"/>
    <x v="24"/>
  </r>
  <r>
    <x v="10"/>
    <d v="2025-03-03T19:05:00"/>
    <s v="Shel Walker Martinez F Santiago Chl"/>
    <n v="10000"/>
    <x v="1"/>
    <x v="1"/>
    <x v="1"/>
    <x v="7"/>
  </r>
  <r>
    <x v="10"/>
    <d v="2025-03-03T14:55:00"/>
    <s v="Hip Lider Departamenta Santiago Chl"/>
    <n v="42711"/>
    <x v="1"/>
    <x v="1"/>
    <x v="1"/>
    <x v="6"/>
  </r>
  <r>
    <x v="10"/>
    <d v="2025-03-02T21:07:00"/>
    <s v="Express Rojas Magalla Santiago Chl"/>
    <n v="44546"/>
    <x v="1"/>
    <x v="1"/>
    <x v="1"/>
    <x v="6"/>
  </r>
  <r>
    <x v="10"/>
    <d v="2025-03-02T16:26:00"/>
    <s v="Transferencia En Linea A Otro Banco Carlos Mora"/>
    <n v="9600"/>
    <x v="1"/>
    <x v="1"/>
    <x v="1"/>
    <x v="3"/>
  </r>
  <r>
    <x v="10"/>
    <d v="2025-03-02T14:01:00"/>
    <s v="Pescaderia El Tiburon Santiago Chl"/>
    <n v="7400"/>
    <x v="1"/>
    <x v="1"/>
    <x v="1"/>
    <x v="10"/>
  </r>
  <r>
    <x v="10"/>
    <d v="2025-03-01T23:15:00"/>
    <s v="60285 La Flori Wal M Santiago Chl"/>
    <n v="9480"/>
    <x v="1"/>
    <x v="1"/>
    <x v="1"/>
    <x v="2"/>
  </r>
  <r>
    <x v="10"/>
    <d v="2025-03-01T20:03:00"/>
    <s v="Hc Quilin Santiago Chl"/>
    <n v="9990"/>
    <x v="1"/>
    <x v="1"/>
    <x v="1"/>
    <x v="18"/>
  </r>
  <r>
    <x v="10"/>
    <d v="2025-03-01T16:06:00"/>
    <s v="Hip Lider Departamenta Santiago Chl"/>
    <n v="86290"/>
    <x v="1"/>
    <x v="1"/>
    <x v="1"/>
    <x v="6"/>
  </r>
  <r>
    <x v="10"/>
    <d v="2025-03-01T14:59:00"/>
    <s v="Sodimac Pe Al/nva.la F Santiago Chl"/>
    <n v="47980"/>
    <x v="1"/>
    <x v="1"/>
    <x v="1"/>
    <x v="18"/>
  </r>
  <r>
    <x v="10"/>
    <d v="2025-03-01T14:28:00"/>
    <s v="Merpago*olivia Paola O Macul Chl"/>
    <n v="3890"/>
    <x v="1"/>
    <x v="1"/>
    <x v="1"/>
    <x v="2"/>
  </r>
  <r>
    <x v="10"/>
    <d v="2025-03-01T14:03:00"/>
    <s v="Remates Todo Hogar Jav Maipo Chl"/>
    <n v="25000"/>
    <x v="1"/>
    <x v="1"/>
    <x v="1"/>
    <x v="18"/>
  </r>
  <r>
    <x v="10"/>
    <d v="2025-03-01T13:55:00"/>
    <s v="Banco Del Estado Santiago Chl"/>
    <n v="60000"/>
    <x v="1"/>
    <x v="1"/>
    <x v="1"/>
    <x v="15"/>
  </r>
  <r>
    <x v="10"/>
    <d v="2025-03-01T11:47:00"/>
    <s v="Marcos Andres Espinoza Santiago Chl"/>
    <n v="4080"/>
    <x v="1"/>
    <x v="1"/>
    <x v="1"/>
    <x v="2"/>
  </r>
  <r>
    <x v="10"/>
    <d v="2025-03-01T11:23:00"/>
    <s v="Marcos Andres Espinoza Santiago Chl"/>
    <n v="2900"/>
    <x v="1"/>
    <x v="1"/>
    <x v="1"/>
    <x v="2"/>
  </r>
  <r>
    <x v="10"/>
    <d v="2025-03-01T11:12:00"/>
    <s v="Tricot La Florida Santiago Chl"/>
    <n v="3990"/>
    <x v="1"/>
    <x v="1"/>
    <x v="1"/>
    <x v="12"/>
  </r>
  <r>
    <x v="10"/>
    <d v="2025-03-01T11:02:00"/>
    <s v="Dimeiggs Santiago Chl"/>
    <n v="50634"/>
    <x v="1"/>
    <x v="1"/>
    <x v="1"/>
    <x v="1"/>
  </r>
  <r>
    <x v="10"/>
    <d v="2025-03-01T09:47:00"/>
    <s v="Shel Walker Martinez F Santiago Chl"/>
    <n v="15000"/>
    <x v="1"/>
    <x v="1"/>
    <x v="1"/>
    <x v="7"/>
  </r>
  <r>
    <x v="10"/>
    <d v="2025-03-01T00:02:00"/>
    <s v="Transferencia En Linea A Otro Banco Ericka Macarena Diaz"/>
    <n v="2740"/>
    <x v="1"/>
    <x v="1"/>
    <x v="1"/>
    <x v="1"/>
  </r>
  <r>
    <x v="10"/>
    <d v="2025-02-28T23:35:00"/>
    <s v="Mercadopago *Papajohn Las Condes Chl"/>
    <n v="13280"/>
    <x v="1"/>
    <x v="1"/>
    <x v="1"/>
    <x v="10"/>
  </r>
  <r>
    <x v="10"/>
    <d v="2025-02-28T19:35:00"/>
    <s v="Merpago*daniela Martin La Florida Chl"/>
    <n v="10800"/>
    <x v="1"/>
    <x v="1"/>
    <x v="1"/>
    <x v="2"/>
  </r>
  <r>
    <x v="10"/>
    <d v="2025-02-28T19:14:00"/>
    <s v="Mercadopago *Goodmeal Las Condes Chl"/>
    <n v="7864"/>
    <x v="1"/>
    <x v="1"/>
    <x v="1"/>
    <x v="3"/>
  </r>
  <r>
    <x v="10"/>
    <d v="2025-02-28T18:53:00"/>
    <s v="Parking Mall Florida C Santiago Chl"/>
    <n v="1100"/>
    <x v="1"/>
    <x v="1"/>
    <x v="1"/>
    <x v="19"/>
  </r>
  <r>
    <x v="10"/>
    <d v="2025-02-28T18:47:00"/>
    <s v="Jumbo Florida Center Santiago Chl"/>
    <n v="59071"/>
    <x v="1"/>
    <x v="1"/>
    <x v="1"/>
    <x v="6"/>
  </r>
  <r>
    <x v="10"/>
    <d v="2025-02-28T17:08:00"/>
    <s v="A. La Florida 898 La Florida"/>
    <n v="30000"/>
    <x v="1"/>
    <x v="1"/>
    <x v="1"/>
    <x v="15"/>
  </r>
  <r>
    <x v="10"/>
    <d v="2025-02-28T16:51:00"/>
    <s v="Sioux La Florida Santiago Chl"/>
    <n v="20500"/>
    <x v="1"/>
    <x v="1"/>
    <x v="1"/>
    <x v="12"/>
  </r>
  <r>
    <x v="10"/>
    <d v="2025-02-28T16:35:00"/>
    <s v="Puma Outlet Patio Flor Santiago Chl"/>
    <n v="25193"/>
    <x v="1"/>
    <x v="1"/>
    <x v="1"/>
    <x v="12"/>
  </r>
  <r>
    <x v="10"/>
    <d v="2025-02-28T16:00:00"/>
    <s v="Tricot La Florida Santiago Chl"/>
    <n v="8080"/>
    <x v="1"/>
    <x v="1"/>
    <x v="1"/>
    <x v="12"/>
  </r>
  <r>
    <x v="10"/>
    <d v="2025-02-28T15:51:00"/>
    <s v="Tricot La Florida Santiago Chl"/>
    <n v="3990"/>
    <x v="1"/>
    <x v="1"/>
    <x v="1"/>
    <x v="12"/>
  </r>
  <r>
    <x v="10"/>
    <d v="2025-02-28T15:33:00"/>
    <s v="Transferencia En Linea A Otro Banco Fernando Arriagada (Jardin)"/>
    <n v="20000"/>
    <x v="1"/>
    <x v="1"/>
    <x v="1"/>
    <x v="18"/>
  </r>
  <r>
    <x v="10"/>
    <d v="2025-02-28T15:10:00"/>
    <s v="La Florida Santiago Chl"/>
    <n v="12180"/>
    <x v="1"/>
    <x v="1"/>
    <x v="1"/>
    <x v="2"/>
  </r>
  <r>
    <x v="10"/>
    <d v="2025-02-28T15:05:00"/>
    <s v="Kentucky Fried Chicken Santiago Chl"/>
    <n v="2400"/>
    <x v="1"/>
    <x v="1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8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3">
  <location ref="A45:C75" firstHeaderRow="0" firstDataRow="1" firstDataCol="1" rowPageCount="3" colPageCount="1"/>
  <pivotFields count="8">
    <pivotField axis="axisPage" multipleItemSelectionAllowed="1" showAll="0">
      <items count="18">
        <item m="1" x="12"/>
        <item m="1" x="13"/>
        <item m="1" x="14"/>
        <item m="1" x="15"/>
        <item m="1" x="16"/>
        <item h="1" x="6"/>
        <item h="1" x="7"/>
        <item h="1" x="8"/>
        <item h="1" x="9"/>
        <item h="1" x="10"/>
        <item h="1" x="5"/>
        <item h="1" x="4"/>
        <item h="1" x="3"/>
        <item h="1" x="2"/>
        <item h="1" m="1" x="11"/>
        <item h="1" x="1"/>
        <item x="0"/>
        <item t="default"/>
      </items>
    </pivotField>
    <pivotField numFmtId="22" showAll="0"/>
    <pivotField showAll="0"/>
    <pivotField dataField="1" numFmtId="6" showAll="0"/>
    <pivotField axis="axisPage" showAll="0">
      <items count="5">
        <item x="0"/>
        <item x="1"/>
        <item m="1" x="3"/>
        <item m="1" x="2"/>
        <item t="default"/>
      </items>
    </pivotField>
    <pivotField axis="axisPage" showAll="0">
      <items count="7">
        <item x="1"/>
        <item x="3"/>
        <item x="0"/>
        <item x="5"/>
        <item x="2"/>
        <item x="4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</pivotField>
    <pivotField axis="axisRow" showAll="0" sortType="descending">
      <items count="56">
        <item x="3"/>
        <item x="22"/>
        <item m="1" x="46"/>
        <item m="1" x="45"/>
        <item x="1"/>
        <item m="1" x="42"/>
        <item x="19"/>
        <item m="1" x="49"/>
        <item x="24"/>
        <item m="1" x="43"/>
        <item x="2"/>
        <item x="15"/>
        <item x="18"/>
        <item x="39"/>
        <item x="28"/>
        <item x="10"/>
        <item x="12"/>
        <item x="6"/>
        <item m="1" x="53"/>
        <item x="35"/>
        <item x="17"/>
        <item x="7"/>
        <item m="1" x="51"/>
        <item m="1" x="50"/>
        <item x="11"/>
        <item x="8"/>
        <item m="1" x="48"/>
        <item x="40"/>
        <item x="26"/>
        <item x="37"/>
        <item x="25"/>
        <item x="27"/>
        <item x="14"/>
        <item x="41"/>
        <item x="38"/>
        <item x="20"/>
        <item x="36"/>
        <item m="1" x="54"/>
        <item m="1" x="47"/>
        <item m="1" x="44"/>
        <item m="1" x="52"/>
        <item x="4"/>
        <item x="21"/>
        <item x="13"/>
        <item x="33"/>
        <item x="30"/>
        <item x="23"/>
        <item x="0"/>
        <item x="34"/>
        <item x="5"/>
        <item x="9"/>
        <item x="29"/>
        <item x="32"/>
        <item x="31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7"/>
  </rowFields>
  <rowItems count="30">
    <i>
      <x v="1"/>
    </i>
    <i r="1">
      <x v="21"/>
    </i>
    <i r="1">
      <x v="17"/>
    </i>
    <i r="1">
      <x v="25"/>
    </i>
    <i r="1">
      <x v="16"/>
    </i>
    <i r="1">
      <x v="15"/>
    </i>
    <i r="1">
      <x v="20"/>
    </i>
    <i r="1">
      <x v="10"/>
    </i>
    <i r="1">
      <x v="32"/>
    </i>
    <i r="1">
      <x v="8"/>
    </i>
    <i r="1">
      <x v="46"/>
    </i>
    <i r="1">
      <x v="11"/>
    </i>
    <i r="1">
      <x v="43"/>
    </i>
    <i r="1">
      <x v="24"/>
    </i>
    <i r="1">
      <x v="12"/>
    </i>
    <i r="1">
      <x v="4"/>
    </i>
    <i r="1">
      <x v="30"/>
    </i>
    <i r="1">
      <x v="6"/>
    </i>
    <i>
      <x v="2"/>
    </i>
    <i r="1">
      <x v="1"/>
    </i>
    <i r="1">
      <x v="31"/>
    </i>
    <i r="1">
      <x v="28"/>
    </i>
    <i r="1">
      <x/>
    </i>
    <i r="1">
      <x v="24"/>
    </i>
    <i r="1">
      <x v="42"/>
    </i>
    <i r="1">
      <x v="41"/>
    </i>
    <i r="1">
      <x v="10"/>
    </i>
    <i>
      <x v="3"/>
    </i>
    <i r="1">
      <x v="54"/>
    </i>
    <i t="grand">
      <x/>
    </i>
  </rowItems>
  <colFields count="1">
    <field x="-2"/>
  </colFields>
  <colItems count="2">
    <i>
      <x/>
    </i>
    <i i="1">
      <x v="1"/>
    </i>
  </colItems>
  <pageFields count="3">
    <pageField fld="4" item="1" hier="-1"/>
    <pageField fld="5" hier="-1"/>
    <pageField fld="0" hier="-1"/>
  </pageFields>
  <dataFields count="2">
    <dataField name="Suma de MONTO ($)" fld="3" baseField="0" baseItem="0" numFmtId="42"/>
    <dataField name="% " fld="3" showDataAs="percentOfTotal" baseField="0" baseItem="0" numFmtId="9"/>
  </dataFields>
  <formats count="75">
    <format dxfId="571">
      <pivotArea type="all" dataOnly="0" outline="0" fieldPosition="0"/>
    </format>
    <format dxfId="572">
      <pivotArea outline="0" collapsedLevelsAreSubtotals="1" fieldPosition="0"/>
    </format>
    <format dxfId="573">
      <pivotArea field="7" type="button" dataOnly="0" labelOnly="1" outline="0" axis="axisRow" fieldPosition="1"/>
    </format>
    <format dxfId="574">
      <pivotArea dataOnly="0" labelOnly="1" fieldPosition="0">
        <references count="1">
          <reference field="7" count="0"/>
        </references>
      </pivotArea>
    </format>
    <format dxfId="575">
      <pivotArea dataOnly="0" labelOnly="1" grandRow="1" outline="0" fieldPosition="0"/>
    </format>
    <format dxfId="576">
      <pivotArea dataOnly="0" labelOnly="1" outline="0" axis="axisValues" fieldPosition="0"/>
    </format>
    <format dxfId="577">
      <pivotArea collapsedLevelsAreSubtotals="1" fieldPosition="0">
        <references count="1">
          <reference field="7" count="15">
            <x v="0"/>
            <x v="1"/>
            <x v="3"/>
            <x v="4"/>
            <x v="5"/>
            <x v="6"/>
            <x v="7"/>
            <x v="8"/>
            <x v="9"/>
            <x v="10"/>
            <x v="11"/>
            <x v="15"/>
            <x v="16"/>
            <x v="17"/>
            <x v="19"/>
          </reference>
        </references>
      </pivotArea>
    </format>
    <format dxfId="578">
      <pivotArea type="all" dataOnly="0" outline="0" fieldPosition="0"/>
    </format>
    <format dxfId="579">
      <pivotArea dataOnly="0" labelOnly="1" fieldPosition="0">
        <references count="1">
          <reference field="7" count="19">
            <x v="0"/>
            <x v="1"/>
            <x v="4"/>
            <x v="6"/>
            <x v="7"/>
            <x v="8"/>
            <x v="10"/>
            <x v="11"/>
            <x v="12"/>
            <x v="15"/>
            <x v="16"/>
            <x v="17"/>
            <x v="20"/>
            <x v="21"/>
            <x v="24"/>
            <x v="25"/>
            <x v="28"/>
            <x v="30"/>
            <x v="32"/>
          </reference>
        </references>
      </pivotArea>
    </format>
    <format dxfId="580">
      <pivotArea dataOnly="0" labelOnly="1" outline="0" axis="axisValues" fieldPosition="0"/>
    </format>
    <format dxfId="581">
      <pivotArea type="all" dataOnly="0" outline="0" fieldPosition="0"/>
    </format>
    <format dxfId="582">
      <pivotArea dataOnly="0" labelOnly="1" fieldPosition="0">
        <references count="1">
          <reference field="7" count="19">
            <x v="0"/>
            <x v="1"/>
            <x v="4"/>
            <x v="6"/>
            <x v="7"/>
            <x v="8"/>
            <x v="10"/>
            <x v="11"/>
            <x v="12"/>
            <x v="15"/>
            <x v="16"/>
            <x v="17"/>
            <x v="20"/>
            <x v="21"/>
            <x v="24"/>
            <x v="25"/>
            <x v="28"/>
            <x v="30"/>
            <x v="32"/>
          </reference>
        </references>
      </pivotArea>
    </format>
    <format dxfId="583">
      <pivotArea outline="0" fieldPosition="0">
        <references count="1">
          <reference field="4294967294" count="1">
            <x v="1"/>
          </reference>
        </references>
      </pivotArea>
    </format>
    <format dxfId="5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7">
      <pivotArea type="all" dataOnly="0" outline="0" fieldPosition="0"/>
    </format>
    <format dxfId="588">
      <pivotArea outline="0" collapsedLevelsAreSubtotals="1" fieldPosition="0"/>
    </format>
    <format dxfId="589">
      <pivotArea field="7" type="button" dataOnly="0" labelOnly="1" outline="0" axis="axisRow" fieldPosition="1"/>
    </format>
    <format dxfId="590">
      <pivotArea dataOnly="0" labelOnly="1" fieldPosition="0">
        <references count="1">
          <reference field="7" count="19">
            <x v="0"/>
            <x v="1"/>
            <x v="4"/>
            <x v="6"/>
            <x v="8"/>
            <x v="10"/>
            <x v="11"/>
            <x v="12"/>
            <x v="15"/>
            <x v="17"/>
            <x v="20"/>
            <x v="21"/>
            <x v="24"/>
            <x v="25"/>
            <x v="28"/>
            <x v="30"/>
            <x v="36"/>
            <x v="41"/>
            <x v="42"/>
          </reference>
        </references>
      </pivotArea>
    </format>
    <format dxfId="591">
      <pivotArea dataOnly="0" labelOnly="1" grandRow="1" outline="0" fieldPosition="0"/>
    </format>
    <format dxfId="592">
      <pivotArea dataOnly="0" labelOnly="1" fieldPosition="0">
        <references count="2">
          <reference field="6" count="1">
            <x v="2"/>
          </reference>
          <reference field="7" count="1" selected="0">
            <x v="1"/>
          </reference>
        </references>
      </pivotArea>
    </format>
    <format dxfId="593">
      <pivotArea dataOnly="0" labelOnly="1" fieldPosition="0">
        <references count="2">
          <reference field="6" count="1">
            <x v="1"/>
          </reference>
          <reference field="7" count="1" selected="0">
            <x v="17"/>
          </reference>
        </references>
      </pivotArea>
    </format>
    <format dxfId="594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4"/>
          </reference>
        </references>
      </pivotArea>
    </format>
    <format dxfId="595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25"/>
          </reference>
        </references>
      </pivotArea>
    </format>
    <format dxfId="596">
      <pivotArea dataOnly="0" labelOnly="1" fieldPosition="0">
        <references count="2">
          <reference field="6" count="1">
            <x v="1"/>
          </reference>
          <reference field="7" count="1" selected="0">
            <x v="36"/>
          </reference>
        </references>
      </pivotArea>
    </format>
    <format dxfId="597">
      <pivotArea dataOnly="0" labelOnly="1" fieldPosition="0">
        <references count="2">
          <reference field="6" count="1">
            <x v="1"/>
          </reference>
          <reference field="7" count="1" selected="0">
            <x v="8"/>
          </reference>
        </references>
      </pivotArea>
    </format>
    <format dxfId="598">
      <pivotArea dataOnly="0" labelOnly="1" fieldPosition="0">
        <references count="2">
          <reference field="6" count="1">
            <x v="1"/>
          </reference>
          <reference field="7" count="1" selected="0">
            <x v="15"/>
          </reference>
        </references>
      </pivotArea>
    </format>
    <format dxfId="599">
      <pivotArea dataOnly="0" labelOnly="1" fieldPosition="0">
        <references count="2">
          <reference field="6" count="1">
            <x v="1"/>
          </reference>
          <reference field="7" count="1" selected="0">
            <x v="10"/>
          </reference>
        </references>
      </pivotArea>
    </format>
    <format dxfId="600">
      <pivotArea dataOnly="0" labelOnly="1" fieldPosition="0">
        <references count="2">
          <reference field="6" count="1">
            <x v="2"/>
          </reference>
          <reference field="7" count="1" selected="0">
            <x v="28"/>
          </reference>
        </references>
      </pivotArea>
    </format>
    <format dxfId="601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20"/>
          </reference>
        </references>
      </pivotArea>
    </format>
    <format dxfId="602">
      <pivotArea dataOnly="0" labelOnly="1" fieldPosition="0">
        <references count="2">
          <reference field="6" count="1">
            <x v="1"/>
          </reference>
          <reference field="7" count="1" selected="0">
            <x v="11"/>
          </reference>
        </references>
      </pivotArea>
    </format>
    <format dxfId="603">
      <pivotArea dataOnly="0" labelOnly="1" fieldPosition="0">
        <references count="2">
          <reference field="6" count="1">
            <x v="2"/>
          </reference>
          <reference field="7" count="1" selected="0">
            <x v="42"/>
          </reference>
        </references>
      </pivotArea>
    </format>
    <format dxfId="604">
      <pivotArea dataOnly="0" labelOnly="1" fieldPosition="0">
        <references count="2">
          <reference field="6" count="1">
            <x v="1"/>
          </reference>
          <reference field="7" count="1" selected="0">
            <x v="24"/>
          </reference>
        </references>
      </pivotArea>
    </format>
    <format dxfId="605">
      <pivotArea dataOnly="0" labelOnly="1" fieldPosition="0">
        <references count="2">
          <reference field="6" count="1">
            <x v="1"/>
          </reference>
          <reference field="7" count="1" selected="0">
            <x v="12"/>
          </reference>
        </references>
      </pivotArea>
    </format>
    <format dxfId="606">
      <pivotArea dataOnly="0" labelOnly="1" fieldPosition="0">
        <references count="2">
          <reference field="6" count="1">
            <x v="1"/>
          </reference>
          <reference field="7" count="1" selected="0">
            <x v="21"/>
          </reference>
        </references>
      </pivotArea>
    </format>
    <format dxfId="607">
      <pivotArea dataOnly="0" labelOnly="1" fieldPosition="0">
        <references count="2">
          <reference field="6" count="1">
            <x v="1"/>
          </reference>
          <reference field="7" count="1" selected="0">
            <x v="0"/>
          </reference>
        </references>
      </pivotArea>
    </format>
    <format dxfId="608">
      <pivotArea dataOnly="0" labelOnly="1" fieldPosition="0">
        <references count="2">
          <reference field="6" count="1">
            <x v="1"/>
          </reference>
          <reference field="7" count="1" selected="0">
            <x v="6"/>
          </reference>
        </references>
      </pivotArea>
    </format>
    <format dxfId="609">
      <pivotArea dataOnly="0" labelOnly="1" fieldPosition="0">
        <references count="2">
          <reference field="6" count="1">
            <x v="2"/>
          </reference>
          <reference field="7" count="1" selected="0">
            <x v="41"/>
          </reference>
        </references>
      </pivotArea>
    </format>
    <format dxfId="610">
      <pivotArea dataOnly="0" labelOnly="1" fieldPosition="0">
        <references count="2">
          <reference field="6" count="1">
            <x v="1"/>
          </reference>
          <reference field="7" count="1" selected="0">
            <x v="30"/>
          </reference>
        </references>
      </pivotArea>
    </format>
    <format dxfId="6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2">
      <pivotArea type="all" dataOnly="0" outline="0" fieldPosition="0"/>
    </format>
    <format dxfId="613">
      <pivotArea outline="0" collapsedLevelsAreSubtotals="1" fieldPosition="0"/>
    </format>
    <format dxfId="614">
      <pivotArea field="7" type="button" dataOnly="0" labelOnly="1" outline="0" axis="axisRow" fieldPosition="1"/>
    </format>
    <format dxfId="615">
      <pivotArea dataOnly="0" labelOnly="1" fieldPosition="0">
        <references count="1">
          <reference field="7" count="19">
            <x v="0"/>
            <x v="1"/>
            <x v="4"/>
            <x v="6"/>
            <x v="8"/>
            <x v="10"/>
            <x v="11"/>
            <x v="12"/>
            <x v="15"/>
            <x v="17"/>
            <x v="20"/>
            <x v="21"/>
            <x v="24"/>
            <x v="25"/>
            <x v="28"/>
            <x v="30"/>
            <x v="36"/>
            <x v="41"/>
            <x v="42"/>
          </reference>
        </references>
      </pivotArea>
    </format>
    <format dxfId="616">
      <pivotArea dataOnly="0" labelOnly="1" grandRow="1" outline="0" fieldPosition="0"/>
    </format>
    <format dxfId="617">
      <pivotArea dataOnly="0" labelOnly="1" fieldPosition="0">
        <references count="2">
          <reference field="6" count="1">
            <x v="2"/>
          </reference>
          <reference field="7" count="1" selected="0">
            <x v="1"/>
          </reference>
        </references>
      </pivotArea>
    </format>
    <format dxfId="618">
      <pivotArea dataOnly="0" labelOnly="1" fieldPosition="0">
        <references count="2">
          <reference field="6" count="1">
            <x v="1"/>
          </reference>
          <reference field="7" count="1" selected="0">
            <x v="17"/>
          </reference>
        </references>
      </pivotArea>
    </format>
    <format dxfId="619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4"/>
          </reference>
        </references>
      </pivotArea>
    </format>
    <format dxfId="620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25"/>
          </reference>
        </references>
      </pivotArea>
    </format>
    <format dxfId="621">
      <pivotArea dataOnly="0" labelOnly="1" fieldPosition="0">
        <references count="2">
          <reference field="6" count="1">
            <x v="1"/>
          </reference>
          <reference field="7" count="1" selected="0">
            <x v="36"/>
          </reference>
        </references>
      </pivotArea>
    </format>
    <format dxfId="622">
      <pivotArea dataOnly="0" labelOnly="1" fieldPosition="0">
        <references count="2">
          <reference field="6" count="1">
            <x v="1"/>
          </reference>
          <reference field="7" count="1" selected="0">
            <x v="8"/>
          </reference>
        </references>
      </pivotArea>
    </format>
    <format dxfId="623">
      <pivotArea dataOnly="0" labelOnly="1" fieldPosition="0">
        <references count="2">
          <reference field="6" count="1">
            <x v="1"/>
          </reference>
          <reference field="7" count="1" selected="0">
            <x v="15"/>
          </reference>
        </references>
      </pivotArea>
    </format>
    <format dxfId="624">
      <pivotArea dataOnly="0" labelOnly="1" fieldPosition="0">
        <references count="2">
          <reference field="6" count="1">
            <x v="1"/>
          </reference>
          <reference field="7" count="1" selected="0">
            <x v="10"/>
          </reference>
        </references>
      </pivotArea>
    </format>
    <format dxfId="625">
      <pivotArea dataOnly="0" labelOnly="1" fieldPosition="0">
        <references count="2">
          <reference field="6" count="1">
            <x v="2"/>
          </reference>
          <reference field="7" count="1" selected="0">
            <x v="28"/>
          </reference>
        </references>
      </pivotArea>
    </format>
    <format dxfId="626">
      <pivotArea dataOnly="0" labelOnly="1" fieldPosition="0">
        <references count="2">
          <reference field="6" count="2">
            <x v="1"/>
            <x v="2"/>
          </reference>
          <reference field="7" count="1" selected="0">
            <x v="20"/>
          </reference>
        </references>
      </pivotArea>
    </format>
    <format dxfId="627">
      <pivotArea dataOnly="0" labelOnly="1" fieldPosition="0">
        <references count="2">
          <reference field="6" count="1">
            <x v="1"/>
          </reference>
          <reference field="7" count="1" selected="0">
            <x v="11"/>
          </reference>
        </references>
      </pivotArea>
    </format>
    <format dxfId="628">
      <pivotArea dataOnly="0" labelOnly="1" fieldPosition="0">
        <references count="2">
          <reference field="6" count="1">
            <x v="2"/>
          </reference>
          <reference field="7" count="1" selected="0">
            <x v="42"/>
          </reference>
        </references>
      </pivotArea>
    </format>
    <format dxfId="629">
      <pivotArea dataOnly="0" labelOnly="1" fieldPosition="0">
        <references count="2">
          <reference field="6" count="1">
            <x v="1"/>
          </reference>
          <reference field="7" count="1" selected="0">
            <x v="24"/>
          </reference>
        </references>
      </pivotArea>
    </format>
    <format dxfId="630">
      <pivotArea dataOnly="0" labelOnly="1" fieldPosition="0">
        <references count="2">
          <reference field="6" count="1">
            <x v="1"/>
          </reference>
          <reference field="7" count="1" selected="0">
            <x v="12"/>
          </reference>
        </references>
      </pivotArea>
    </format>
    <format dxfId="631">
      <pivotArea dataOnly="0" labelOnly="1" fieldPosition="0">
        <references count="2">
          <reference field="6" count="1">
            <x v="1"/>
          </reference>
          <reference field="7" count="1" selected="0">
            <x v="21"/>
          </reference>
        </references>
      </pivotArea>
    </format>
    <format dxfId="632">
      <pivotArea dataOnly="0" labelOnly="1" fieldPosition="0">
        <references count="2">
          <reference field="6" count="1">
            <x v="1"/>
          </reference>
          <reference field="7" count="1" selected="0">
            <x v="0"/>
          </reference>
        </references>
      </pivotArea>
    </format>
    <format dxfId="633">
      <pivotArea dataOnly="0" labelOnly="1" fieldPosition="0">
        <references count="2">
          <reference field="6" count="1">
            <x v="1"/>
          </reference>
          <reference field="7" count="1" selected="0">
            <x v="6"/>
          </reference>
        </references>
      </pivotArea>
    </format>
    <format dxfId="634">
      <pivotArea dataOnly="0" labelOnly="1" fieldPosition="0">
        <references count="2">
          <reference field="6" count="1">
            <x v="2"/>
          </reference>
          <reference field="7" count="1" selected="0">
            <x v="41"/>
          </reference>
        </references>
      </pivotArea>
    </format>
    <format dxfId="635">
      <pivotArea dataOnly="0" labelOnly="1" fieldPosition="0">
        <references count="2">
          <reference field="6" count="1">
            <x v="1"/>
          </reference>
          <reference field="7" count="1" selected="0">
            <x v="30"/>
          </reference>
        </references>
      </pivotArea>
    </format>
    <format dxfId="6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7">
      <pivotArea type="all" dataOnly="0" outline="0" fieldPosition="0"/>
    </format>
    <format dxfId="638">
      <pivotArea outline="0" collapsedLevelsAreSubtotals="1" fieldPosition="0"/>
    </format>
    <format dxfId="639">
      <pivotArea field="6" type="button" dataOnly="0" labelOnly="1" outline="0" axis="axisRow" fieldPosition="0"/>
    </format>
    <format dxfId="640">
      <pivotArea dataOnly="0" labelOnly="1" fieldPosition="0">
        <references count="1">
          <reference field="6" count="3">
            <x v="1"/>
            <x v="2"/>
            <x v="3"/>
          </reference>
        </references>
      </pivotArea>
    </format>
    <format dxfId="641">
      <pivotArea dataOnly="0" labelOnly="1" grandRow="1" outline="0" fieldPosition="0"/>
    </format>
    <format dxfId="642">
      <pivotArea dataOnly="0" labelOnly="1" fieldPosition="0">
        <references count="2">
          <reference field="6" count="1" selected="0">
            <x v="1"/>
          </reference>
          <reference field="7" count="17">
            <x v="4"/>
            <x v="6"/>
            <x v="8"/>
            <x v="10"/>
            <x v="11"/>
            <x v="12"/>
            <x v="15"/>
            <x v="16"/>
            <x v="17"/>
            <x v="20"/>
            <x v="21"/>
            <x v="24"/>
            <x v="25"/>
            <x v="30"/>
            <x v="32"/>
            <x v="43"/>
            <x v="46"/>
          </reference>
        </references>
      </pivotArea>
    </format>
    <format dxfId="643">
      <pivotArea dataOnly="0" labelOnly="1" fieldPosition="0">
        <references count="2">
          <reference field="6" count="1" selected="0">
            <x v="2"/>
          </reference>
          <reference field="7" count="8">
            <x v="0"/>
            <x v="1"/>
            <x v="10"/>
            <x v="24"/>
            <x v="28"/>
            <x v="31"/>
            <x v="41"/>
            <x v="42"/>
          </reference>
        </references>
      </pivotArea>
    </format>
    <format dxfId="644">
      <pivotArea dataOnly="0" labelOnly="1" fieldPosition="0">
        <references count="2">
          <reference field="6" count="1" selected="0">
            <x v="3"/>
          </reference>
          <reference field="7" count="1">
            <x v="54"/>
          </reference>
        </references>
      </pivotArea>
    </format>
    <format dxfId="6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0" format="1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17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28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25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1"/>
          </reference>
          <reference field="7" count="1" selected="0">
            <x v="36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1"/>
          </reference>
          <reference field="7" count="1" selected="0">
            <x v="3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1"/>
          </reference>
          <reference field="7" count="1" selected="0">
            <x v="16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1"/>
          </reference>
          <reference field="7" count="1" selected="0">
            <x v="29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1"/>
          </reference>
          <reference field="7" count="1" selected="0">
            <x v="24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7" count="1" selected="0">
            <x v="21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1"/>
          </reference>
          <reference field="7" count="1" selected="0">
            <x v="1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7" count="1" selected="0">
            <x v="20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1"/>
          </reference>
          <reference field="7" count="1" selected="0">
            <x v="32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1"/>
          </reference>
          <reference field="7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" displayName="Tabla2" ref="A1:G154" totalsRowShown="0">
  <autoFilter ref="A1:G154"/>
  <tableColumns count="7">
    <tableColumn id="1" name="MES"/>
    <tableColumn id="2" name="FECHA" dataDxfId="646"/>
    <tableColumn id="3" name="DESCRIPCIÓN"/>
    <tableColumn id="4" name="MONTO ($)"/>
    <tableColumn id="5" name="SALDO ($)"/>
    <tableColumn id="6" name="ABONO/CARGO"/>
    <tableColumn id="7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B10:I2426" totalsRowCount="1" headerRowDxfId="329" dataDxfId="327" totalsRowDxfId="328">
  <autoFilter ref="B10:I2425"/>
  <sortState ref="B11:I2317">
    <sortCondition descending="1" ref="C10:C2317"/>
  </sortState>
  <tableColumns count="8">
    <tableColumn id="1" name="MES" dataDxfId="345" totalsRowDxfId="344"/>
    <tableColumn id="2" name="FECHA" dataDxfId="343" totalsRowDxfId="342"/>
    <tableColumn id="3" name="DESCRIPCIÓN" dataDxfId="341" totalsRowDxfId="340"/>
    <tableColumn id="4" name="MONTO ($)" totalsRowFunction="sum" dataDxfId="339" totalsRowDxfId="338"/>
    <tableColumn id="6" name="ABONO/CARGO" dataDxfId="337" totalsRowDxfId="336"/>
    <tableColumn id="9" name="DEB/CRED." dataDxfId="335" totalsRowDxfId="334"/>
    <tableColumn id="8" name="FIJO/VAR." dataDxfId="333" totalsRowDxfId="332"/>
    <tableColumn id="7" name="CATEGORIA" dataDxfId="331" totalsRowDxfId="3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154"/>
  <sheetViews>
    <sheetView workbookViewId="0">
      <selection activeCell="D2" sqref="D2"/>
    </sheetView>
  </sheetViews>
  <sheetFormatPr baseColWidth="10" defaultRowHeight="15"/>
  <cols>
    <col min="3" max="3" width="14.28515625" customWidth="1"/>
    <col min="4" max="4" width="12.42578125" customWidth="1"/>
    <col min="6" max="6" width="16.140625" customWidth="1"/>
    <col min="7" max="7" width="12.7109375" customWidth="1"/>
  </cols>
  <sheetData>
    <row r="1" spans="1:7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</row>
    <row r="2" spans="1:7">
      <c r="A2" t="s">
        <v>238</v>
      </c>
      <c r="B2" s="1">
        <v>45779.697916666664</v>
      </c>
      <c r="C2" t="s">
        <v>20</v>
      </c>
      <c r="D2">
        <v>-2590</v>
      </c>
      <c r="E2">
        <v>4855508</v>
      </c>
      <c r="F2" t="s">
        <v>240</v>
      </c>
      <c r="G2" t="s">
        <v>242</v>
      </c>
    </row>
    <row r="3" spans="1:7">
      <c r="A3" t="s">
        <v>238</v>
      </c>
      <c r="B3" s="1">
        <v>45781.751388888886</v>
      </c>
      <c r="C3" t="s">
        <v>96</v>
      </c>
      <c r="D3">
        <v>-550</v>
      </c>
      <c r="E3">
        <v>4752452</v>
      </c>
      <c r="F3" t="s">
        <v>240</v>
      </c>
      <c r="G3" t="s">
        <v>242</v>
      </c>
    </row>
    <row r="4" spans="1:7">
      <c r="A4" t="s">
        <v>238</v>
      </c>
      <c r="B4" s="1">
        <v>45785.815972222219</v>
      </c>
      <c r="C4" t="s">
        <v>96</v>
      </c>
      <c r="D4">
        <v>-1950</v>
      </c>
      <c r="E4">
        <v>4928104</v>
      </c>
      <c r="F4" t="s">
        <v>240</v>
      </c>
      <c r="G4" t="s">
        <v>242</v>
      </c>
    </row>
    <row r="5" spans="1:7">
      <c r="A5" t="s">
        <v>238</v>
      </c>
      <c r="B5" s="1">
        <v>45790.474999999999</v>
      </c>
      <c r="C5" t="s">
        <v>96</v>
      </c>
      <c r="D5">
        <v>-1950</v>
      </c>
      <c r="E5">
        <v>5095220</v>
      </c>
      <c r="F5" t="s">
        <v>240</v>
      </c>
      <c r="G5" t="s">
        <v>242</v>
      </c>
    </row>
    <row r="6" spans="1:7">
      <c r="A6" t="s">
        <v>238</v>
      </c>
      <c r="B6" s="1">
        <v>45790.884027777778</v>
      </c>
      <c r="C6" t="s">
        <v>9</v>
      </c>
      <c r="D6">
        <v>-1090</v>
      </c>
      <c r="E6">
        <v>5018270</v>
      </c>
      <c r="F6" t="s">
        <v>240</v>
      </c>
      <c r="G6" t="s">
        <v>242</v>
      </c>
    </row>
    <row r="7" spans="1:7">
      <c r="A7" t="s">
        <v>238</v>
      </c>
      <c r="B7" s="1">
        <v>45791.49722222222</v>
      </c>
      <c r="C7" t="s">
        <v>20</v>
      </c>
      <c r="D7">
        <v>-6090</v>
      </c>
      <c r="E7">
        <v>4925996</v>
      </c>
      <c r="F7" t="s">
        <v>240</v>
      </c>
      <c r="G7" t="s">
        <v>242</v>
      </c>
    </row>
    <row r="8" spans="1:7">
      <c r="A8" t="s">
        <v>238</v>
      </c>
      <c r="B8" s="1">
        <v>45808.850694444445</v>
      </c>
      <c r="C8" t="s">
        <v>20</v>
      </c>
      <c r="D8">
        <v>-5580</v>
      </c>
      <c r="E8">
        <v>3539692</v>
      </c>
      <c r="F8" t="s">
        <v>240</v>
      </c>
      <c r="G8" t="s">
        <v>242</v>
      </c>
    </row>
    <row r="9" spans="1:7">
      <c r="A9" t="s">
        <v>238</v>
      </c>
      <c r="B9" s="1">
        <v>45795.629861111112</v>
      </c>
      <c r="C9" t="s">
        <v>96</v>
      </c>
      <c r="D9">
        <v>-2750</v>
      </c>
      <c r="E9">
        <v>4354753</v>
      </c>
      <c r="F9" t="s">
        <v>240</v>
      </c>
      <c r="G9" t="s">
        <v>242</v>
      </c>
    </row>
    <row r="10" spans="1:7">
      <c r="A10" t="s">
        <v>238</v>
      </c>
      <c r="B10" s="1">
        <v>45782.354861111111</v>
      </c>
      <c r="C10" t="s">
        <v>22</v>
      </c>
      <c r="D10">
        <v>-703000</v>
      </c>
      <c r="E10">
        <v>1517994</v>
      </c>
      <c r="F10" t="s">
        <v>240</v>
      </c>
      <c r="G10" t="s">
        <v>252</v>
      </c>
    </row>
    <row r="11" spans="1:7">
      <c r="A11" t="s">
        <v>238</v>
      </c>
      <c r="B11" s="1">
        <v>45780.604166666664</v>
      </c>
      <c r="C11" t="s">
        <v>145</v>
      </c>
      <c r="D11">
        <v>-10000</v>
      </c>
      <c r="E11">
        <v>4794452</v>
      </c>
      <c r="F11" t="s">
        <v>240</v>
      </c>
      <c r="G11" t="s">
        <v>255</v>
      </c>
    </row>
    <row r="12" spans="1:7">
      <c r="A12" t="s">
        <v>238</v>
      </c>
      <c r="B12" s="1">
        <v>45781.429861111108</v>
      </c>
      <c r="C12" t="s">
        <v>144</v>
      </c>
      <c r="D12">
        <v>-10000</v>
      </c>
      <c r="E12">
        <v>4773452</v>
      </c>
      <c r="F12" t="s">
        <v>240</v>
      </c>
      <c r="G12" t="s">
        <v>255</v>
      </c>
    </row>
    <row r="13" spans="1:7">
      <c r="A13" t="s">
        <v>238</v>
      </c>
      <c r="B13" s="1">
        <v>45782.871527777781</v>
      </c>
      <c r="C13" t="s">
        <v>51</v>
      </c>
      <c r="D13">
        <v>-10000</v>
      </c>
      <c r="E13">
        <v>4521917</v>
      </c>
      <c r="F13" t="s">
        <v>240</v>
      </c>
      <c r="G13" t="s">
        <v>255</v>
      </c>
    </row>
    <row r="14" spans="1:7">
      <c r="A14" t="s">
        <v>238</v>
      </c>
      <c r="B14" s="1">
        <v>45786.408333333333</v>
      </c>
      <c r="C14" t="s">
        <v>51</v>
      </c>
      <c r="D14">
        <v>-10000</v>
      </c>
      <c r="E14">
        <v>5585152</v>
      </c>
      <c r="F14" t="s">
        <v>240</v>
      </c>
      <c r="G14" t="s">
        <v>255</v>
      </c>
    </row>
    <row r="15" spans="1:7">
      <c r="A15" t="s">
        <v>238</v>
      </c>
      <c r="B15" s="1">
        <v>45788.499305555553</v>
      </c>
      <c r="C15" t="s">
        <v>9</v>
      </c>
      <c r="D15">
        <v>-20000</v>
      </c>
      <c r="E15">
        <v>5388108</v>
      </c>
      <c r="F15" t="s">
        <v>240</v>
      </c>
      <c r="G15" t="s">
        <v>255</v>
      </c>
    </row>
    <row r="16" spans="1:7">
      <c r="A16" t="s">
        <v>238</v>
      </c>
      <c r="B16" s="1">
        <v>45790.882638888892</v>
      </c>
      <c r="C16" t="s">
        <v>9</v>
      </c>
      <c r="D16">
        <v>-15000</v>
      </c>
      <c r="E16">
        <v>5033270</v>
      </c>
      <c r="F16" t="s">
        <v>240</v>
      </c>
      <c r="G16" t="s">
        <v>255</v>
      </c>
    </row>
    <row r="17" spans="1:7">
      <c r="A17" t="s">
        <v>238</v>
      </c>
      <c r="B17" s="1">
        <v>45793.386805555558</v>
      </c>
      <c r="C17" t="s">
        <v>105</v>
      </c>
      <c r="D17">
        <v>-15000</v>
      </c>
      <c r="E17">
        <v>4715727</v>
      </c>
      <c r="F17" t="s">
        <v>240</v>
      </c>
      <c r="G17" t="s">
        <v>255</v>
      </c>
    </row>
    <row r="18" spans="1:7">
      <c r="A18" t="s">
        <v>238</v>
      </c>
      <c r="B18" s="1">
        <v>45807.626388888886</v>
      </c>
      <c r="C18" t="s">
        <v>9</v>
      </c>
      <c r="D18">
        <v>-15000</v>
      </c>
      <c r="E18">
        <v>3429979</v>
      </c>
      <c r="F18" t="s">
        <v>240</v>
      </c>
      <c r="G18" t="s">
        <v>255</v>
      </c>
    </row>
    <row r="19" spans="1:7">
      <c r="A19" t="s">
        <v>238</v>
      </c>
      <c r="B19" s="1">
        <v>45805.411111111112</v>
      </c>
      <c r="C19" t="s">
        <v>27</v>
      </c>
      <c r="D19">
        <v>-10000</v>
      </c>
      <c r="E19">
        <v>3683461</v>
      </c>
      <c r="F19" t="s">
        <v>240</v>
      </c>
      <c r="G19" t="s">
        <v>255</v>
      </c>
    </row>
    <row r="20" spans="1:7">
      <c r="A20" t="s">
        <v>238</v>
      </c>
      <c r="B20" s="1">
        <v>45801.459722222222</v>
      </c>
      <c r="C20" t="s">
        <v>51</v>
      </c>
      <c r="D20">
        <v>-15000</v>
      </c>
      <c r="E20">
        <v>3828934</v>
      </c>
      <c r="F20" t="s">
        <v>240</v>
      </c>
      <c r="G20" t="s">
        <v>255</v>
      </c>
    </row>
    <row r="21" spans="1:7">
      <c r="A21" t="s">
        <v>238</v>
      </c>
      <c r="B21" s="1">
        <v>45797.879861111112</v>
      </c>
      <c r="C21" t="s">
        <v>9</v>
      </c>
      <c r="D21">
        <v>-10540</v>
      </c>
      <c r="E21">
        <v>4214560</v>
      </c>
      <c r="F21" t="s">
        <v>240</v>
      </c>
      <c r="G21" t="s">
        <v>255</v>
      </c>
    </row>
    <row r="22" spans="1:7">
      <c r="A22" t="s">
        <v>238</v>
      </c>
      <c r="B22" s="1">
        <v>45798.634027777778</v>
      </c>
      <c r="C22" t="s">
        <v>51</v>
      </c>
      <c r="D22">
        <v>-15000</v>
      </c>
      <c r="E22">
        <v>4129030</v>
      </c>
      <c r="F22" t="s">
        <v>240</v>
      </c>
      <c r="G22" t="s">
        <v>255</v>
      </c>
    </row>
    <row r="23" spans="1:7">
      <c r="A23" t="s">
        <v>238</v>
      </c>
      <c r="B23" s="1">
        <v>45808.582638888889</v>
      </c>
      <c r="C23" t="s">
        <v>55</v>
      </c>
      <c r="D23">
        <v>-7000</v>
      </c>
      <c r="E23">
        <v>3663079</v>
      </c>
      <c r="F23" t="s">
        <v>240</v>
      </c>
      <c r="G23" t="s">
        <v>251</v>
      </c>
    </row>
    <row r="24" spans="1:7">
      <c r="A24" t="s">
        <v>238</v>
      </c>
      <c r="B24" s="1">
        <v>45778.795138888891</v>
      </c>
      <c r="C24" t="s">
        <v>47</v>
      </c>
      <c r="D24">
        <v>-5500</v>
      </c>
      <c r="E24">
        <v>4861008</v>
      </c>
      <c r="F24" t="s">
        <v>240</v>
      </c>
      <c r="G24" t="s">
        <v>250</v>
      </c>
    </row>
    <row r="25" spans="1:7">
      <c r="A25" t="s">
        <v>238</v>
      </c>
      <c r="B25" s="1">
        <v>45803.580555555556</v>
      </c>
      <c r="C25" t="s">
        <v>83</v>
      </c>
      <c r="D25">
        <v>-5500</v>
      </c>
      <c r="E25">
        <v>3671450</v>
      </c>
      <c r="F25" t="s">
        <v>240</v>
      </c>
      <c r="G25" t="s">
        <v>250</v>
      </c>
    </row>
    <row r="26" spans="1:7">
      <c r="A26" t="s">
        <v>238</v>
      </c>
      <c r="B26" s="1">
        <v>45801.618055555555</v>
      </c>
      <c r="C26" t="s">
        <v>21</v>
      </c>
      <c r="D26">
        <v>-5850</v>
      </c>
      <c r="E26">
        <v>3783934</v>
      </c>
      <c r="F26" t="s">
        <v>240</v>
      </c>
      <c r="G26" t="s">
        <v>250</v>
      </c>
    </row>
    <row r="27" spans="1:7">
      <c r="A27" t="s">
        <v>238</v>
      </c>
      <c r="B27" s="1">
        <v>45789.618750000001</v>
      </c>
      <c r="C27" t="s">
        <v>118</v>
      </c>
      <c r="D27">
        <v>-1700</v>
      </c>
      <c r="E27">
        <v>5245896</v>
      </c>
      <c r="F27" t="s">
        <v>240</v>
      </c>
      <c r="G27" t="s">
        <v>241</v>
      </c>
    </row>
    <row r="28" spans="1:7">
      <c r="A28" t="s">
        <v>238</v>
      </c>
      <c r="B28" s="1">
        <v>45782.469444444447</v>
      </c>
      <c r="C28" t="s">
        <v>48</v>
      </c>
      <c r="D28">
        <v>-110000</v>
      </c>
      <c r="E28">
        <v>4670087</v>
      </c>
      <c r="F28" t="s">
        <v>240</v>
      </c>
      <c r="G28" t="s">
        <v>254</v>
      </c>
    </row>
    <row r="29" spans="1:7">
      <c r="A29" t="s">
        <v>238</v>
      </c>
      <c r="B29" s="1">
        <v>45782.470138888886</v>
      </c>
      <c r="C29" t="s">
        <v>48</v>
      </c>
      <c r="D29">
        <v>-8000</v>
      </c>
      <c r="E29">
        <v>4560087</v>
      </c>
      <c r="F29" t="s">
        <v>240</v>
      </c>
      <c r="G29" t="s">
        <v>254</v>
      </c>
    </row>
    <row r="30" spans="1:7">
      <c r="A30" t="s">
        <v>238</v>
      </c>
      <c r="B30" s="1">
        <v>45779.862500000003</v>
      </c>
      <c r="C30" t="s">
        <v>80</v>
      </c>
      <c r="D30">
        <v>-4124</v>
      </c>
      <c r="E30">
        <v>4817946</v>
      </c>
      <c r="F30" t="s">
        <v>240</v>
      </c>
      <c r="G30" t="s">
        <v>244</v>
      </c>
    </row>
    <row r="31" spans="1:7">
      <c r="A31" t="s">
        <v>238</v>
      </c>
      <c r="B31" s="1">
        <v>45784.413194444445</v>
      </c>
      <c r="C31" t="s">
        <v>94</v>
      </c>
      <c r="D31">
        <v>-6990</v>
      </c>
      <c r="E31">
        <v>5044890</v>
      </c>
      <c r="F31" t="s">
        <v>240</v>
      </c>
      <c r="G31" t="s">
        <v>244</v>
      </c>
    </row>
    <row r="32" spans="1:7">
      <c r="A32" t="s">
        <v>238</v>
      </c>
      <c r="B32" s="1">
        <v>45779.736111111109</v>
      </c>
      <c r="C32" t="s">
        <v>148</v>
      </c>
      <c r="D32">
        <v>-94500</v>
      </c>
      <c r="E32">
        <v>3029993</v>
      </c>
      <c r="F32" t="s">
        <v>240</v>
      </c>
      <c r="G32" t="s">
        <v>244</v>
      </c>
    </row>
    <row r="33" spans="1:7">
      <c r="A33" t="s">
        <v>238</v>
      </c>
      <c r="B33" s="1">
        <v>45808.804861111108</v>
      </c>
      <c r="C33" t="s">
        <v>76</v>
      </c>
      <c r="D33">
        <v>-3919</v>
      </c>
      <c r="E33">
        <v>3656079</v>
      </c>
      <c r="F33" t="s">
        <v>240</v>
      </c>
      <c r="G33" t="s">
        <v>244</v>
      </c>
    </row>
    <row r="34" spans="1:7">
      <c r="A34" t="s">
        <v>238</v>
      </c>
      <c r="B34" s="1">
        <v>45793.390972222223</v>
      </c>
      <c r="C34" t="s">
        <v>94</v>
      </c>
      <c r="D34">
        <v>-14970</v>
      </c>
      <c r="E34">
        <v>4700727</v>
      </c>
      <c r="F34" t="s">
        <v>240</v>
      </c>
      <c r="G34" t="s">
        <v>244</v>
      </c>
    </row>
    <row r="35" spans="1:7">
      <c r="A35" t="s">
        <v>238</v>
      </c>
      <c r="B35" s="1">
        <v>45794.538888888892</v>
      </c>
      <c r="C35" t="s">
        <v>7</v>
      </c>
      <c r="D35">
        <v>-4990</v>
      </c>
      <c r="E35">
        <v>4491714</v>
      </c>
      <c r="F35" t="s">
        <v>240</v>
      </c>
      <c r="G35" t="s">
        <v>244</v>
      </c>
    </row>
    <row r="36" spans="1:7">
      <c r="A36" t="s">
        <v>238</v>
      </c>
      <c r="B36" s="1">
        <v>45804.736111111109</v>
      </c>
      <c r="C36" t="s">
        <v>80</v>
      </c>
      <c r="D36">
        <v>-19949</v>
      </c>
      <c r="E36">
        <v>3641712</v>
      </c>
      <c r="F36" t="s">
        <v>240</v>
      </c>
      <c r="G36" t="s">
        <v>244</v>
      </c>
    </row>
    <row r="37" spans="1:7">
      <c r="A37" t="s">
        <v>238</v>
      </c>
      <c r="B37" s="1">
        <v>45797.44027777778</v>
      </c>
      <c r="C37" t="s">
        <v>94</v>
      </c>
      <c r="D37">
        <v>-25570</v>
      </c>
      <c r="E37">
        <v>4273090</v>
      </c>
      <c r="F37" t="s">
        <v>240</v>
      </c>
      <c r="G37" t="s">
        <v>244</v>
      </c>
    </row>
    <row r="38" spans="1:7">
      <c r="A38" t="s">
        <v>238</v>
      </c>
      <c r="B38" s="1">
        <v>45800.449305555558</v>
      </c>
      <c r="C38" t="s">
        <v>7</v>
      </c>
      <c r="D38">
        <v>-13900</v>
      </c>
      <c r="E38">
        <v>3947538</v>
      </c>
      <c r="F38" t="s">
        <v>240</v>
      </c>
      <c r="G38" t="s">
        <v>244</v>
      </c>
    </row>
    <row r="39" spans="1:7">
      <c r="A39" t="s">
        <v>238</v>
      </c>
      <c r="B39" s="1">
        <v>45785.482638888891</v>
      </c>
      <c r="C39" t="s">
        <v>84</v>
      </c>
      <c r="D39">
        <v>-27300</v>
      </c>
      <c r="E39">
        <v>4969253</v>
      </c>
      <c r="F39" t="s">
        <v>240</v>
      </c>
      <c r="G39" t="s">
        <v>249</v>
      </c>
    </row>
    <row r="40" spans="1:7">
      <c r="A40" t="s">
        <v>238</v>
      </c>
      <c r="B40" s="1">
        <v>45802.545138888891</v>
      </c>
      <c r="C40" t="s">
        <v>84</v>
      </c>
      <c r="D40">
        <v>-27300</v>
      </c>
      <c r="E40">
        <v>3737100</v>
      </c>
      <c r="F40" t="s">
        <v>240</v>
      </c>
      <c r="G40" t="s">
        <v>249</v>
      </c>
    </row>
    <row r="41" spans="1:7">
      <c r="A41" t="s">
        <v>238</v>
      </c>
      <c r="B41" s="1">
        <v>45778.768055555556</v>
      </c>
      <c r="C41" t="s">
        <v>56</v>
      </c>
      <c r="D41">
        <v>-11050</v>
      </c>
      <c r="E41">
        <v>4882058</v>
      </c>
      <c r="F41" t="s">
        <v>240</v>
      </c>
      <c r="G41" t="s">
        <v>247</v>
      </c>
    </row>
    <row r="42" spans="1:7">
      <c r="A42" t="s">
        <v>238</v>
      </c>
      <c r="B42" s="1">
        <v>45782.833333333336</v>
      </c>
      <c r="C42" t="s">
        <v>56</v>
      </c>
      <c r="D42">
        <v>-6170</v>
      </c>
      <c r="E42">
        <v>4528087</v>
      </c>
      <c r="F42" t="s">
        <v>240</v>
      </c>
      <c r="G42" t="s">
        <v>247</v>
      </c>
    </row>
    <row r="43" spans="1:7">
      <c r="A43" t="s">
        <v>238</v>
      </c>
      <c r="B43" s="1">
        <v>45789.344444444447</v>
      </c>
      <c r="C43" t="s">
        <v>30</v>
      </c>
      <c r="D43">
        <v>-3600</v>
      </c>
      <c r="E43">
        <v>5301541</v>
      </c>
      <c r="F43" t="s">
        <v>240</v>
      </c>
      <c r="G43" t="s">
        <v>247</v>
      </c>
    </row>
    <row r="44" spans="1:7">
      <c r="A44" t="s">
        <v>238</v>
      </c>
      <c r="B44" s="1">
        <v>45792.800000000003</v>
      </c>
      <c r="C44" t="s">
        <v>56</v>
      </c>
      <c r="D44">
        <v>-8120</v>
      </c>
      <c r="E44">
        <v>4748847</v>
      </c>
      <c r="F44" t="s">
        <v>240</v>
      </c>
      <c r="G44" t="s">
        <v>247</v>
      </c>
    </row>
    <row r="45" spans="1:7">
      <c r="A45" t="s">
        <v>238</v>
      </c>
      <c r="B45" s="1">
        <v>45806.801388888889</v>
      </c>
      <c r="C45" t="s">
        <v>56</v>
      </c>
      <c r="D45">
        <v>-6330</v>
      </c>
      <c r="E45">
        <v>3584289</v>
      </c>
      <c r="F45" t="s">
        <v>240</v>
      </c>
      <c r="G45" t="s">
        <v>247</v>
      </c>
    </row>
    <row r="46" spans="1:7">
      <c r="A46" t="s">
        <v>238</v>
      </c>
      <c r="B46" s="1">
        <v>45806.650694444441</v>
      </c>
      <c r="C46" t="s">
        <v>46</v>
      </c>
      <c r="D46">
        <v>-4600</v>
      </c>
      <c r="E46">
        <v>3588889</v>
      </c>
      <c r="F46" t="s">
        <v>240</v>
      </c>
      <c r="G46" t="s">
        <v>247</v>
      </c>
    </row>
    <row r="47" spans="1:7">
      <c r="A47" t="s">
        <v>238</v>
      </c>
      <c r="B47" s="1">
        <v>45804.797222222223</v>
      </c>
      <c r="C47" t="s">
        <v>56</v>
      </c>
      <c r="D47">
        <v>-6700</v>
      </c>
      <c r="E47">
        <v>3621763</v>
      </c>
      <c r="F47" t="s">
        <v>240</v>
      </c>
      <c r="G47" t="s">
        <v>247</v>
      </c>
    </row>
    <row r="48" spans="1:7">
      <c r="A48" t="s">
        <v>238</v>
      </c>
      <c r="B48" s="1">
        <v>45804.688194444447</v>
      </c>
      <c r="C48" t="s">
        <v>46</v>
      </c>
      <c r="D48">
        <v>-2300</v>
      </c>
      <c r="E48">
        <v>3644012</v>
      </c>
      <c r="F48" t="s">
        <v>240</v>
      </c>
      <c r="G48" t="s">
        <v>247</v>
      </c>
    </row>
    <row r="49" spans="1:7">
      <c r="A49" t="s">
        <v>238</v>
      </c>
      <c r="B49" s="1">
        <v>45796.556944444441</v>
      </c>
      <c r="C49" t="s">
        <v>30</v>
      </c>
      <c r="D49">
        <v>-3950</v>
      </c>
      <c r="E49">
        <v>4277040</v>
      </c>
      <c r="F49" t="s">
        <v>240</v>
      </c>
      <c r="G49" t="s">
        <v>247</v>
      </c>
    </row>
    <row r="50" spans="1:7">
      <c r="A50" t="s">
        <v>238</v>
      </c>
      <c r="B50" s="1">
        <v>45799.802083333336</v>
      </c>
      <c r="C50" t="s">
        <v>56</v>
      </c>
      <c r="D50">
        <v>-5670</v>
      </c>
      <c r="E50">
        <v>3953208</v>
      </c>
      <c r="F50" t="s">
        <v>240</v>
      </c>
      <c r="G50" t="s">
        <v>247</v>
      </c>
    </row>
    <row r="51" spans="1:7">
      <c r="A51" t="s">
        <v>238</v>
      </c>
      <c r="B51" s="1">
        <v>45779.779166666667</v>
      </c>
      <c r="C51" t="s">
        <v>147</v>
      </c>
      <c r="D51">
        <v>-150000</v>
      </c>
      <c r="E51">
        <v>4208095</v>
      </c>
      <c r="F51" t="s">
        <v>240</v>
      </c>
      <c r="G51" t="s">
        <v>263</v>
      </c>
    </row>
    <row r="52" spans="1:7">
      <c r="A52" t="s">
        <v>238</v>
      </c>
      <c r="B52" s="1">
        <v>45787.44027777778</v>
      </c>
      <c r="C52" t="s">
        <v>64</v>
      </c>
      <c r="D52">
        <v>-50000</v>
      </c>
      <c r="E52">
        <v>5530102</v>
      </c>
      <c r="F52" t="s">
        <v>240</v>
      </c>
      <c r="G52" t="s">
        <v>263</v>
      </c>
    </row>
    <row r="53" spans="1:7">
      <c r="A53" t="s">
        <v>238</v>
      </c>
      <c r="B53" s="1">
        <v>45808.484027777777</v>
      </c>
      <c r="C53" t="s">
        <v>77</v>
      </c>
      <c r="D53">
        <v>-50000</v>
      </c>
      <c r="E53">
        <v>3484112</v>
      </c>
      <c r="F53" t="s">
        <v>240</v>
      </c>
      <c r="G53" t="s">
        <v>263</v>
      </c>
    </row>
    <row r="54" spans="1:7">
      <c r="A54" t="s">
        <v>238</v>
      </c>
      <c r="B54" s="1">
        <v>45798.527777777781</v>
      </c>
      <c r="C54" t="s">
        <v>93</v>
      </c>
      <c r="D54">
        <v>-50000</v>
      </c>
      <c r="E54">
        <v>3534112</v>
      </c>
      <c r="F54" t="s">
        <v>240</v>
      </c>
      <c r="G54" t="s">
        <v>263</v>
      </c>
    </row>
    <row r="55" spans="1:7">
      <c r="A55" t="s">
        <v>238</v>
      </c>
      <c r="B55" s="1">
        <v>45790.6875</v>
      </c>
      <c r="C55" t="s">
        <v>114</v>
      </c>
      <c r="D55">
        <v>-50000</v>
      </c>
      <c r="E55">
        <v>3589692</v>
      </c>
      <c r="F55" t="s">
        <v>240</v>
      </c>
      <c r="G55" t="s">
        <v>263</v>
      </c>
    </row>
    <row r="56" spans="1:7">
      <c r="A56" t="s">
        <v>238</v>
      </c>
      <c r="B56" s="1">
        <v>45794.481944444444</v>
      </c>
      <c r="C56" t="s">
        <v>40</v>
      </c>
      <c r="D56">
        <v>-50000</v>
      </c>
      <c r="E56">
        <v>4541714</v>
      </c>
      <c r="F56" t="s">
        <v>240</v>
      </c>
      <c r="G56" t="s">
        <v>263</v>
      </c>
    </row>
    <row r="57" spans="1:7">
      <c r="A57" t="s">
        <v>238</v>
      </c>
      <c r="B57" s="1">
        <v>45801.518055555556</v>
      </c>
      <c r="C57" t="s">
        <v>86</v>
      </c>
      <c r="D57">
        <v>-30000</v>
      </c>
      <c r="E57">
        <v>3813934</v>
      </c>
      <c r="F57" t="s">
        <v>240</v>
      </c>
      <c r="G57" t="s">
        <v>263</v>
      </c>
    </row>
    <row r="58" spans="1:7">
      <c r="A58" t="s">
        <v>238</v>
      </c>
      <c r="B58" s="1">
        <v>45788.560416666667</v>
      </c>
      <c r="C58" t="s">
        <v>123</v>
      </c>
      <c r="D58">
        <v>-3500</v>
      </c>
      <c r="E58">
        <v>2315547</v>
      </c>
      <c r="F58" t="s">
        <v>240</v>
      </c>
      <c r="G58" t="s">
        <v>248</v>
      </c>
    </row>
    <row r="59" spans="1:7">
      <c r="A59" t="s">
        <v>238</v>
      </c>
      <c r="B59" s="1">
        <v>45786.967361111114</v>
      </c>
      <c r="C59" t="s">
        <v>26</v>
      </c>
      <c r="D59">
        <v>-7530</v>
      </c>
      <c r="E59">
        <v>5546025</v>
      </c>
      <c r="F59" t="s">
        <v>240</v>
      </c>
      <c r="G59" t="s">
        <v>248</v>
      </c>
    </row>
    <row r="60" spans="1:7">
      <c r="A60" t="s">
        <v>238</v>
      </c>
      <c r="B60" s="1">
        <v>45786.970833333333</v>
      </c>
      <c r="C60" t="s">
        <v>26</v>
      </c>
      <c r="D60">
        <v>-8393</v>
      </c>
      <c r="E60">
        <v>5538495</v>
      </c>
      <c r="F60" t="s">
        <v>240</v>
      </c>
      <c r="G60" t="s">
        <v>248</v>
      </c>
    </row>
    <row r="61" spans="1:7">
      <c r="A61" t="s">
        <v>238</v>
      </c>
      <c r="B61" s="1">
        <v>45788.546527777777</v>
      </c>
      <c r="C61" t="s">
        <v>123</v>
      </c>
      <c r="D61">
        <v>-16300</v>
      </c>
      <c r="E61">
        <v>5368108</v>
      </c>
      <c r="F61" t="s">
        <v>240</v>
      </c>
      <c r="G61" t="s">
        <v>248</v>
      </c>
    </row>
    <row r="62" spans="1:7">
      <c r="A62" t="s">
        <v>238</v>
      </c>
      <c r="B62" s="1">
        <v>45788.670138888891</v>
      </c>
      <c r="C62" t="s">
        <v>122</v>
      </c>
      <c r="D62">
        <v>-52140</v>
      </c>
      <c r="E62">
        <v>3472670</v>
      </c>
      <c r="F62" t="s">
        <v>240</v>
      </c>
      <c r="G62" t="s">
        <v>248</v>
      </c>
    </row>
    <row r="63" spans="1:7">
      <c r="A63" t="s">
        <v>238</v>
      </c>
      <c r="B63" s="1">
        <v>45791.542361111111</v>
      </c>
      <c r="C63" t="s">
        <v>26</v>
      </c>
      <c r="D63">
        <v>-27670</v>
      </c>
      <c r="E63">
        <v>4895406</v>
      </c>
      <c r="F63" t="s">
        <v>240</v>
      </c>
      <c r="G63" t="s">
        <v>248</v>
      </c>
    </row>
    <row r="64" spans="1:7">
      <c r="A64" t="s">
        <v>238</v>
      </c>
      <c r="B64" s="1">
        <v>45793.933333333334</v>
      </c>
      <c r="C64" t="s">
        <v>100</v>
      </c>
      <c r="D64">
        <v>-51370</v>
      </c>
      <c r="E64">
        <v>3383478</v>
      </c>
      <c r="F64" t="s">
        <v>240</v>
      </c>
      <c r="G64" t="s">
        <v>248</v>
      </c>
    </row>
    <row r="65" spans="1:7">
      <c r="A65" t="s">
        <v>238</v>
      </c>
      <c r="B65" s="1">
        <v>45808.051388888889</v>
      </c>
      <c r="C65" t="s">
        <v>78</v>
      </c>
      <c r="D65">
        <v>-59730</v>
      </c>
      <c r="E65">
        <v>3772809</v>
      </c>
      <c r="F65" t="s">
        <v>240</v>
      </c>
      <c r="G65" t="s">
        <v>248</v>
      </c>
    </row>
    <row r="66" spans="1:7">
      <c r="A66" t="s">
        <v>238</v>
      </c>
      <c r="B66" s="1">
        <v>45793.495138888888</v>
      </c>
      <c r="C66" t="s">
        <v>26</v>
      </c>
      <c r="D66">
        <v>-5500</v>
      </c>
      <c r="E66">
        <v>4685757</v>
      </c>
      <c r="F66" t="s">
        <v>240</v>
      </c>
      <c r="G66" t="s">
        <v>248</v>
      </c>
    </row>
    <row r="67" spans="1:7">
      <c r="A67" t="s">
        <v>238</v>
      </c>
      <c r="B67" s="1">
        <v>45800.875694444447</v>
      </c>
      <c r="C67" t="s">
        <v>16</v>
      </c>
      <c r="D67">
        <v>-17400</v>
      </c>
      <c r="E67">
        <v>3846334</v>
      </c>
      <c r="F67" t="s">
        <v>240</v>
      </c>
      <c r="G67" t="s">
        <v>248</v>
      </c>
    </row>
    <row r="68" spans="1:7">
      <c r="A68" t="s">
        <v>238</v>
      </c>
      <c r="B68" s="1">
        <v>45800.539583333331</v>
      </c>
      <c r="C68" t="s">
        <v>88</v>
      </c>
      <c r="D68">
        <v>-5400</v>
      </c>
      <c r="E68">
        <v>3933638</v>
      </c>
      <c r="F68" t="s">
        <v>240</v>
      </c>
      <c r="G68" t="s">
        <v>248</v>
      </c>
    </row>
    <row r="69" spans="1:7">
      <c r="A69" t="s">
        <v>238</v>
      </c>
      <c r="B69" s="1">
        <v>45793.806944444441</v>
      </c>
      <c r="C69" t="s">
        <v>103</v>
      </c>
      <c r="D69">
        <v>-16194</v>
      </c>
      <c r="E69">
        <v>5404302</v>
      </c>
      <c r="F69" t="s">
        <v>240</v>
      </c>
      <c r="G69" t="s">
        <v>243</v>
      </c>
    </row>
    <row r="70" spans="1:7">
      <c r="A70" t="s">
        <v>238</v>
      </c>
      <c r="B70" s="1">
        <v>45791.479861111111</v>
      </c>
      <c r="C70" t="s">
        <v>110</v>
      </c>
      <c r="D70">
        <v>-69990</v>
      </c>
      <c r="E70">
        <v>3316783</v>
      </c>
      <c r="F70" t="s">
        <v>240</v>
      </c>
      <c r="G70" t="s">
        <v>243</v>
      </c>
    </row>
    <row r="71" spans="1:7">
      <c r="A71" t="s">
        <v>238</v>
      </c>
      <c r="B71" s="1">
        <v>45795.623611111114</v>
      </c>
      <c r="C71" t="s">
        <v>97</v>
      </c>
      <c r="D71">
        <v>-41971</v>
      </c>
      <c r="E71">
        <v>4396724</v>
      </c>
      <c r="F71" t="s">
        <v>240</v>
      </c>
      <c r="G71" t="s">
        <v>243</v>
      </c>
    </row>
    <row r="72" spans="1:7">
      <c r="A72" t="s">
        <v>238</v>
      </c>
      <c r="B72" s="1">
        <v>45791.491666666669</v>
      </c>
      <c r="C72" t="s">
        <v>109</v>
      </c>
      <c r="D72">
        <v>-44148</v>
      </c>
      <c r="E72">
        <v>3688160</v>
      </c>
      <c r="F72" t="s">
        <v>240</v>
      </c>
      <c r="G72" t="s">
        <v>243</v>
      </c>
    </row>
    <row r="73" spans="1:7">
      <c r="A73" t="s">
        <v>238</v>
      </c>
      <c r="B73" s="1">
        <v>45779.785416666666</v>
      </c>
      <c r="C73" t="s">
        <v>24</v>
      </c>
      <c r="D73">
        <v>-3663</v>
      </c>
      <c r="E73">
        <v>4821609</v>
      </c>
      <c r="F73" t="s">
        <v>240</v>
      </c>
      <c r="G73" t="s">
        <v>245</v>
      </c>
    </row>
    <row r="74" spans="1:7">
      <c r="A74" t="s">
        <v>238</v>
      </c>
      <c r="B74" s="1">
        <v>45779.872916666667</v>
      </c>
      <c r="C74" t="s">
        <v>132</v>
      </c>
      <c r="D74">
        <v>-8370</v>
      </c>
      <c r="E74">
        <v>4813822</v>
      </c>
      <c r="F74" t="s">
        <v>240</v>
      </c>
      <c r="G74" t="s">
        <v>245</v>
      </c>
    </row>
    <row r="75" spans="1:7">
      <c r="A75" t="s">
        <v>238</v>
      </c>
      <c r="B75" s="1">
        <v>45784.488888888889</v>
      </c>
      <c r="C75" t="s">
        <v>6</v>
      </c>
      <c r="D75">
        <v>-11630</v>
      </c>
      <c r="E75">
        <v>5037900</v>
      </c>
      <c r="F75" t="s">
        <v>240</v>
      </c>
      <c r="G75" t="s">
        <v>245</v>
      </c>
    </row>
    <row r="76" spans="1:7">
      <c r="A76" t="s">
        <v>238</v>
      </c>
      <c r="B76" s="1">
        <v>45784.79583333333</v>
      </c>
      <c r="C76" t="s">
        <v>132</v>
      </c>
      <c r="D76">
        <v>-4384</v>
      </c>
      <c r="E76">
        <v>5000102</v>
      </c>
      <c r="F76" t="s">
        <v>240</v>
      </c>
      <c r="G76" t="s">
        <v>245</v>
      </c>
    </row>
    <row r="77" spans="1:7">
      <c r="A77" t="s">
        <v>238</v>
      </c>
      <c r="B77" s="1">
        <v>45785.550694444442</v>
      </c>
      <c r="C77" t="s">
        <v>132</v>
      </c>
      <c r="D77">
        <v>-5915</v>
      </c>
      <c r="E77">
        <v>4941953</v>
      </c>
      <c r="F77" t="s">
        <v>240</v>
      </c>
      <c r="G77" t="s">
        <v>245</v>
      </c>
    </row>
    <row r="78" spans="1:7">
      <c r="A78" t="s">
        <v>238</v>
      </c>
      <c r="B78" s="1">
        <v>45785.811805555553</v>
      </c>
      <c r="C78" t="s">
        <v>28</v>
      </c>
      <c r="D78">
        <v>-10230</v>
      </c>
      <c r="E78">
        <v>4938334</v>
      </c>
      <c r="F78" t="s">
        <v>240</v>
      </c>
      <c r="G78" t="s">
        <v>245</v>
      </c>
    </row>
    <row r="79" spans="1:7">
      <c r="A79" t="s">
        <v>238</v>
      </c>
      <c r="B79" s="1">
        <v>45789.463888888888</v>
      </c>
      <c r="C79" t="s">
        <v>115</v>
      </c>
      <c r="D79">
        <v>-17350</v>
      </c>
      <c r="E79">
        <v>5297941</v>
      </c>
      <c r="F79" t="s">
        <v>240</v>
      </c>
      <c r="G79" t="s">
        <v>245</v>
      </c>
    </row>
    <row r="80" spans="1:7">
      <c r="A80" t="s">
        <v>238</v>
      </c>
      <c r="B80" s="1">
        <v>45789.85</v>
      </c>
      <c r="C80" t="s">
        <v>115</v>
      </c>
      <c r="D80">
        <v>-113580</v>
      </c>
      <c r="E80">
        <v>5246510</v>
      </c>
      <c r="F80" t="s">
        <v>240</v>
      </c>
      <c r="G80" t="s">
        <v>245</v>
      </c>
    </row>
    <row r="81" spans="1:7">
      <c r="A81" t="s">
        <v>238</v>
      </c>
      <c r="B81" s="1">
        <v>45791.775694444441</v>
      </c>
      <c r="C81" t="s">
        <v>12</v>
      </c>
      <c r="D81">
        <v>-18889</v>
      </c>
      <c r="E81">
        <v>4842736</v>
      </c>
      <c r="F81" t="s">
        <v>240</v>
      </c>
      <c r="G81" t="s">
        <v>245</v>
      </c>
    </row>
    <row r="82" spans="1:7">
      <c r="A82" t="s">
        <v>238</v>
      </c>
      <c r="B82" s="1">
        <v>45808.847222222219</v>
      </c>
      <c r="C82" t="s">
        <v>6</v>
      </c>
      <c r="D82">
        <v>-62468</v>
      </c>
      <c r="E82">
        <v>3652160</v>
      </c>
      <c r="F82" t="s">
        <v>240</v>
      </c>
      <c r="G82" t="s">
        <v>245</v>
      </c>
    </row>
    <row r="83" spans="1:7">
      <c r="A83" t="s">
        <v>238</v>
      </c>
      <c r="B83" s="1">
        <v>45805.850694444445</v>
      </c>
      <c r="C83" t="s">
        <v>28</v>
      </c>
      <c r="D83">
        <v>-37420</v>
      </c>
      <c r="E83">
        <v>3673461</v>
      </c>
      <c r="F83" t="s">
        <v>240</v>
      </c>
      <c r="G83" t="s">
        <v>245</v>
      </c>
    </row>
    <row r="84" spans="1:7">
      <c r="A84" t="s">
        <v>238</v>
      </c>
      <c r="B84" s="1">
        <v>45803.81527777778</v>
      </c>
      <c r="C84" t="s">
        <v>28</v>
      </c>
      <c r="D84">
        <v>-34800</v>
      </c>
      <c r="E84">
        <v>3765950</v>
      </c>
      <c r="F84" t="s">
        <v>240</v>
      </c>
      <c r="G84" t="s">
        <v>245</v>
      </c>
    </row>
    <row r="85" spans="1:7">
      <c r="A85" t="s">
        <v>238</v>
      </c>
      <c r="B85" s="1">
        <v>45795.818055555559</v>
      </c>
      <c r="C85" t="s">
        <v>12</v>
      </c>
      <c r="D85">
        <v>-44963</v>
      </c>
      <c r="E85">
        <v>4322003</v>
      </c>
      <c r="F85" t="s">
        <v>240</v>
      </c>
      <c r="G85" t="s">
        <v>245</v>
      </c>
    </row>
    <row r="86" spans="1:7">
      <c r="A86" t="s">
        <v>238</v>
      </c>
      <c r="B86" s="1">
        <v>45802.820138888892</v>
      </c>
      <c r="C86" t="s">
        <v>12</v>
      </c>
      <c r="D86">
        <v>-38350</v>
      </c>
      <c r="E86">
        <v>3709800</v>
      </c>
      <c r="F86" t="s">
        <v>240</v>
      </c>
      <c r="G86" t="s">
        <v>245</v>
      </c>
    </row>
    <row r="87" spans="1:7">
      <c r="A87" t="s">
        <v>238</v>
      </c>
      <c r="B87" s="1">
        <v>45806.921527777777</v>
      </c>
      <c r="C87" t="s">
        <v>79</v>
      </c>
      <c r="D87">
        <v>-50</v>
      </c>
      <c r="E87">
        <v>1666630</v>
      </c>
      <c r="F87" t="s">
        <v>240</v>
      </c>
    </row>
    <row r="88" spans="1:7">
      <c r="A88" t="s">
        <v>238</v>
      </c>
      <c r="B88" s="1">
        <v>45781.794444444444</v>
      </c>
      <c r="C88" t="s">
        <v>140</v>
      </c>
      <c r="D88">
        <v>-800</v>
      </c>
      <c r="E88">
        <v>1583359</v>
      </c>
      <c r="F88" t="s">
        <v>240</v>
      </c>
    </row>
    <row r="89" spans="1:7">
      <c r="A89" t="s">
        <v>238</v>
      </c>
      <c r="B89" s="1">
        <v>45793.560416666667</v>
      </c>
      <c r="C89" t="s">
        <v>104</v>
      </c>
      <c r="D89">
        <v>-950</v>
      </c>
      <c r="E89">
        <v>1304113</v>
      </c>
      <c r="F89" t="s">
        <v>240</v>
      </c>
    </row>
    <row r="90" spans="1:7">
      <c r="A90" t="s">
        <v>238</v>
      </c>
      <c r="B90" s="1">
        <v>45807.490972222222</v>
      </c>
      <c r="C90" t="s">
        <v>63</v>
      </c>
      <c r="D90">
        <v>-1000</v>
      </c>
      <c r="E90">
        <v>1358365</v>
      </c>
      <c r="F90" t="s">
        <v>240</v>
      </c>
    </row>
    <row r="91" spans="1:7">
      <c r="A91" t="s">
        <v>238</v>
      </c>
      <c r="B91" s="1">
        <v>45798.793055555558</v>
      </c>
      <c r="C91" t="s">
        <v>91</v>
      </c>
      <c r="D91">
        <v>-1200</v>
      </c>
      <c r="E91">
        <v>337438</v>
      </c>
      <c r="F91" t="s">
        <v>240</v>
      </c>
    </row>
    <row r="92" spans="1:7">
      <c r="A92" t="s">
        <v>238</v>
      </c>
      <c r="B92" s="1">
        <v>45790.447916666664</v>
      </c>
      <c r="C92" t="s">
        <v>62</v>
      </c>
      <c r="D92">
        <v>-1600</v>
      </c>
      <c r="E92">
        <v>313688</v>
      </c>
      <c r="F92" t="s">
        <v>240</v>
      </c>
    </row>
    <row r="93" spans="1:7">
      <c r="A93" t="s">
        <v>238</v>
      </c>
      <c r="B93" s="1">
        <v>45798.482638888891</v>
      </c>
      <c r="C93" t="s">
        <v>62</v>
      </c>
      <c r="D93">
        <v>-1600</v>
      </c>
      <c r="E93">
        <v>312088</v>
      </c>
      <c r="F93" t="s">
        <v>240</v>
      </c>
    </row>
    <row r="94" spans="1:7">
      <c r="A94" t="s">
        <v>238</v>
      </c>
      <c r="B94" s="1">
        <v>45806.507638888892</v>
      </c>
      <c r="C94" t="s">
        <v>62</v>
      </c>
      <c r="D94">
        <v>-1600</v>
      </c>
      <c r="E94">
        <v>324322</v>
      </c>
      <c r="F94" t="s">
        <v>240</v>
      </c>
    </row>
    <row r="95" spans="1:7">
      <c r="A95" t="s">
        <v>238</v>
      </c>
      <c r="B95" s="1">
        <v>45807.552083333336</v>
      </c>
      <c r="C95" t="s">
        <v>62</v>
      </c>
      <c r="D95">
        <v>-1600</v>
      </c>
      <c r="E95">
        <v>322722</v>
      </c>
      <c r="F95" t="s">
        <v>240</v>
      </c>
    </row>
    <row r="96" spans="1:7">
      <c r="A96" t="s">
        <v>238</v>
      </c>
      <c r="B96" s="1">
        <v>45808.849305555559</v>
      </c>
      <c r="C96" t="s">
        <v>75</v>
      </c>
      <c r="D96">
        <v>-1730</v>
      </c>
      <c r="E96">
        <v>307141</v>
      </c>
      <c r="F96" t="s">
        <v>240</v>
      </c>
    </row>
    <row r="97" spans="1:6">
      <c r="A97" t="s">
        <v>238</v>
      </c>
      <c r="B97" s="1">
        <v>45790.688888888886</v>
      </c>
      <c r="C97" t="s">
        <v>113</v>
      </c>
      <c r="D97">
        <v>-1890</v>
      </c>
      <c r="E97">
        <v>150755</v>
      </c>
      <c r="F97" t="s">
        <v>240</v>
      </c>
    </row>
    <row r="98" spans="1:6">
      <c r="A98" t="s">
        <v>238</v>
      </c>
      <c r="B98" s="1">
        <v>45783.387499999997</v>
      </c>
      <c r="C98" t="s">
        <v>139</v>
      </c>
      <c r="D98">
        <v>-1900</v>
      </c>
      <c r="E98">
        <v>216568</v>
      </c>
      <c r="F98" t="s">
        <v>240</v>
      </c>
    </row>
    <row r="99" spans="1:6">
      <c r="A99" t="s">
        <v>238</v>
      </c>
      <c r="B99" s="1">
        <v>45791.469444444447</v>
      </c>
      <c r="C99" t="s">
        <v>111</v>
      </c>
      <c r="D99">
        <v>-2000</v>
      </c>
      <c r="E99">
        <v>199678</v>
      </c>
      <c r="F99" t="s">
        <v>240</v>
      </c>
    </row>
    <row r="100" spans="1:6">
      <c r="A100" t="s">
        <v>238</v>
      </c>
      <c r="B100" s="1">
        <v>45793.870833333334</v>
      </c>
      <c r="C100" t="s">
        <v>101</v>
      </c>
      <c r="D100">
        <v>-2000</v>
      </c>
      <c r="E100">
        <v>168806</v>
      </c>
      <c r="F100" t="s">
        <v>240</v>
      </c>
    </row>
    <row r="101" spans="1:6">
      <c r="A101" t="s">
        <v>238</v>
      </c>
      <c r="B101" s="1">
        <v>45792.468055555553</v>
      </c>
      <c r="C101" t="s">
        <v>65</v>
      </c>
      <c r="D101">
        <v>-2140</v>
      </c>
      <c r="E101">
        <v>148827</v>
      </c>
      <c r="F101" t="s">
        <v>240</v>
      </c>
    </row>
    <row r="102" spans="1:6">
      <c r="A102" t="s">
        <v>238</v>
      </c>
      <c r="B102" s="1">
        <v>45781.80972222222</v>
      </c>
      <c r="C102" t="s">
        <v>104</v>
      </c>
      <c r="D102">
        <v>-2300</v>
      </c>
      <c r="E102">
        <v>135534</v>
      </c>
      <c r="F102" t="s">
        <v>240</v>
      </c>
    </row>
    <row r="103" spans="1:6">
      <c r="A103" t="s">
        <v>238</v>
      </c>
      <c r="B103" s="1">
        <v>45778.151388888888</v>
      </c>
      <c r="C103" t="s">
        <v>151</v>
      </c>
      <c r="D103">
        <v>-2625</v>
      </c>
      <c r="E103">
        <v>577075</v>
      </c>
      <c r="F103" t="s">
        <v>240</v>
      </c>
    </row>
    <row r="104" spans="1:6">
      <c r="A104" t="s">
        <v>238</v>
      </c>
      <c r="B104" s="1">
        <v>45789.555555555555</v>
      </c>
      <c r="C104" t="s">
        <v>120</v>
      </c>
      <c r="D104">
        <v>-2860</v>
      </c>
      <c r="E104">
        <v>478994</v>
      </c>
      <c r="F104" t="s">
        <v>240</v>
      </c>
    </row>
    <row r="105" spans="1:6">
      <c r="A105" t="s">
        <v>238</v>
      </c>
      <c r="B105" s="1">
        <v>45792.628472222219</v>
      </c>
      <c r="C105" t="s">
        <v>107</v>
      </c>
      <c r="D105">
        <v>-2900</v>
      </c>
      <c r="E105">
        <v>457294</v>
      </c>
      <c r="F105" t="s">
        <v>240</v>
      </c>
    </row>
    <row r="106" spans="1:6">
      <c r="A106" t="s">
        <v>238</v>
      </c>
      <c r="B106" s="1">
        <v>45790.693055555559</v>
      </c>
      <c r="C106" t="s">
        <v>112</v>
      </c>
      <c r="D106">
        <v>-3100</v>
      </c>
      <c r="E106">
        <v>379323</v>
      </c>
      <c r="F106" t="s">
        <v>240</v>
      </c>
    </row>
    <row r="107" spans="1:6">
      <c r="A107" t="s">
        <v>238</v>
      </c>
      <c r="B107" s="1">
        <v>45782.631944444445</v>
      </c>
      <c r="C107" t="s">
        <v>67</v>
      </c>
      <c r="D107">
        <v>-3180</v>
      </c>
      <c r="E107">
        <v>439726</v>
      </c>
      <c r="F107" t="s">
        <v>240</v>
      </c>
    </row>
    <row r="108" spans="1:6">
      <c r="A108" t="s">
        <v>238</v>
      </c>
      <c r="B108" s="1">
        <v>45790.945138888892</v>
      </c>
      <c r="C108" t="s">
        <v>104</v>
      </c>
      <c r="D108">
        <v>-3600</v>
      </c>
      <c r="E108">
        <v>6233734</v>
      </c>
      <c r="F108" t="s">
        <v>240</v>
      </c>
    </row>
    <row r="109" spans="1:6">
      <c r="A109" t="s">
        <v>238</v>
      </c>
      <c r="B109" s="1">
        <v>45792.388888888891</v>
      </c>
      <c r="C109" t="s">
        <v>75</v>
      </c>
      <c r="D109">
        <v>-3852</v>
      </c>
      <c r="E109">
        <v>4685058</v>
      </c>
      <c r="F109" t="s">
        <v>240</v>
      </c>
    </row>
    <row r="110" spans="1:6">
      <c r="A110" t="s">
        <v>238</v>
      </c>
      <c r="B110" s="1">
        <v>45781.793055555558</v>
      </c>
      <c r="C110" t="s">
        <v>141</v>
      </c>
      <c r="D110">
        <v>-3990</v>
      </c>
      <c r="E110">
        <v>3944839</v>
      </c>
      <c r="F110" t="s">
        <v>240</v>
      </c>
    </row>
    <row r="111" spans="1:6">
      <c r="A111" t="s">
        <v>238</v>
      </c>
      <c r="B111" s="1">
        <v>45793.344444444447</v>
      </c>
      <c r="C111" t="s">
        <v>106</v>
      </c>
      <c r="D111">
        <v>-4000</v>
      </c>
      <c r="E111">
        <v>3932868</v>
      </c>
      <c r="F111" t="s">
        <v>240</v>
      </c>
    </row>
    <row r="112" spans="1:6">
      <c r="A112" t="s">
        <v>238</v>
      </c>
      <c r="B112" s="1">
        <v>45800.559027777781</v>
      </c>
      <c r="C112" t="s">
        <v>75</v>
      </c>
      <c r="D112">
        <v>-4060</v>
      </c>
      <c r="E112">
        <v>3872868</v>
      </c>
      <c r="F112" t="s">
        <v>240</v>
      </c>
    </row>
    <row r="113" spans="1:6">
      <c r="A113" t="s">
        <v>238</v>
      </c>
      <c r="B113" s="1">
        <v>45781.7</v>
      </c>
      <c r="C113" t="s">
        <v>143</v>
      </c>
      <c r="D113">
        <v>-4860</v>
      </c>
      <c r="E113">
        <v>3395727</v>
      </c>
      <c r="F113" t="s">
        <v>240</v>
      </c>
    </row>
    <row r="114" spans="1:6">
      <c r="A114" t="s">
        <v>238</v>
      </c>
      <c r="B114" s="1">
        <v>45794.557638888888</v>
      </c>
      <c r="C114" t="s">
        <v>65</v>
      </c>
      <c r="D114">
        <v>-5180</v>
      </c>
      <c r="E114">
        <v>3373349</v>
      </c>
      <c r="F114" t="s">
        <v>240</v>
      </c>
    </row>
    <row r="115" spans="1:6">
      <c r="A115" t="s">
        <v>238</v>
      </c>
      <c r="B115" s="1">
        <v>45793.820138888892</v>
      </c>
      <c r="C115" t="s">
        <v>102</v>
      </c>
      <c r="D115">
        <v>-5500</v>
      </c>
      <c r="E115">
        <v>3323262</v>
      </c>
      <c r="F115" t="s">
        <v>240</v>
      </c>
    </row>
    <row r="116" spans="1:6">
      <c r="A116" t="s">
        <v>238</v>
      </c>
      <c r="B116" s="1">
        <v>45798.731944444444</v>
      </c>
      <c r="C116" t="s">
        <v>92</v>
      </c>
      <c r="D116">
        <v>-5500</v>
      </c>
      <c r="E116">
        <v>3317762</v>
      </c>
      <c r="F116" t="s">
        <v>240</v>
      </c>
    </row>
    <row r="117" spans="1:6">
      <c r="A117" t="s">
        <v>238</v>
      </c>
      <c r="B117" s="1">
        <v>45786.63958333333</v>
      </c>
      <c r="C117" t="s">
        <v>65</v>
      </c>
      <c r="D117">
        <v>-5870</v>
      </c>
      <c r="E117">
        <v>3459058</v>
      </c>
      <c r="F117" t="s">
        <v>240</v>
      </c>
    </row>
    <row r="118" spans="1:6">
      <c r="A118" t="s">
        <v>238</v>
      </c>
      <c r="B118" s="1">
        <v>45787.576388888891</v>
      </c>
      <c r="C118" t="s">
        <v>128</v>
      </c>
      <c r="D118">
        <v>-5970</v>
      </c>
      <c r="E118">
        <v>3453188</v>
      </c>
      <c r="F118" t="s">
        <v>240</v>
      </c>
    </row>
    <row r="119" spans="1:6">
      <c r="A119" t="s">
        <v>238</v>
      </c>
      <c r="B119" s="1">
        <v>45778.779166666667</v>
      </c>
      <c r="C119" t="s">
        <v>149</v>
      </c>
      <c r="D119">
        <v>-6000</v>
      </c>
      <c r="E119">
        <v>3395788</v>
      </c>
      <c r="F119" t="s">
        <v>240</v>
      </c>
    </row>
    <row r="120" spans="1:6">
      <c r="A120" t="s">
        <v>238</v>
      </c>
      <c r="B120" s="1">
        <v>45791.504166666666</v>
      </c>
      <c r="C120" t="s">
        <v>108</v>
      </c>
      <c r="D120">
        <v>-6150</v>
      </c>
      <c r="E120">
        <v>3389788</v>
      </c>
      <c r="F120" t="s">
        <v>240</v>
      </c>
    </row>
    <row r="121" spans="1:6">
      <c r="A121" t="s">
        <v>238</v>
      </c>
      <c r="B121" s="1">
        <v>45789.870138888888</v>
      </c>
      <c r="C121" t="s">
        <v>95</v>
      </c>
      <c r="D121">
        <v>-6440</v>
      </c>
      <c r="E121">
        <v>3375928</v>
      </c>
      <c r="F121" t="s">
        <v>240</v>
      </c>
    </row>
    <row r="122" spans="1:6">
      <c r="A122" t="s">
        <v>238</v>
      </c>
      <c r="B122" s="1">
        <v>45782.036805555559</v>
      </c>
      <c r="C122" t="s">
        <v>22</v>
      </c>
      <c r="D122">
        <v>-266000</v>
      </c>
      <c r="E122">
        <v>3103047</v>
      </c>
      <c r="F122" t="s">
        <v>240</v>
      </c>
    </row>
    <row r="123" spans="1:6">
      <c r="A123" t="s">
        <v>238</v>
      </c>
      <c r="B123" s="1">
        <v>45797.569444444445</v>
      </c>
      <c r="C123" t="s">
        <v>65</v>
      </c>
      <c r="D123">
        <v>-6460</v>
      </c>
      <c r="E123">
        <v>3372250</v>
      </c>
      <c r="F123" t="s">
        <v>240</v>
      </c>
    </row>
    <row r="124" spans="1:6">
      <c r="A124" t="s">
        <v>238</v>
      </c>
      <c r="B124" s="1">
        <v>45787.745833333334</v>
      </c>
      <c r="C124" t="s">
        <v>124</v>
      </c>
      <c r="D124">
        <v>-6650</v>
      </c>
      <c r="E124">
        <v>3358951</v>
      </c>
      <c r="F124" t="s">
        <v>240</v>
      </c>
    </row>
    <row r="125" spans="1:6">
      <c r="A125" t="s">
        <v>238</v>
      </c>
      <c r="B125" s="1">
        <v>45804.484027777777</v>
      </c>
      <c r="C125" t="s">
        <v>81</v>
      </c>
      <c r="D125">
        <v>-7365</v>
      </c>
      <c r="E125">
        <v>3350682</v>
      </c>
      <c r="F125" t="s">
        <v>240</v>
      </c>
    </row>
    <row r="126" spans="1:6">
      <c r="A126" t="s">
        <v>238</v>
      </c>
      <c r="B126" s="1">
        <v>45789.577777777777</v>
      </c>
      <c r="C126" t="s">
        <v>119</v>
      </c>
      <c r="D126">
        <v>-7480</v>
      </c>
      <c r="E126">
        <v>3335917</v>
      </c>
      <c r="F126" t="s">
        <v>240</v>
      </c>
    </row>
    <row r="127" spans="1:6">
      <c r="A127" t="s">
        <v>238</v>
      </c>
      <c r="B127" s="1">
        <v>45787.571527777778</v>
      </c>
      <c r="C127" t="s">
        <v>129</v>
      </c>
      <c r="D127">
        <v>-8000</v>
      </c>
      <c r="E127">
        <v>3312923</v>
      </c>
      <c r="F127" t="s">
        <v>240</v>
      </c>
    </row>
    <row r="128" spans="1:6">
      <c r="A128" t="s">
        <v>238</v>
      </c>
      <c r="B128" s="1">
        <v>45799.580555555556</v>
      </c>
      <c r="C128" t="s">
        <v>90</v>
      </c>
      <c r="D128">
        <v>-8792</v>
      </c>
      <c r="E128">
        <v>3108874</v>
      </c>
      <c r="F128" t="s">
        <v>240</v>
      </c>
    </row>
    <row r="129" spans="1:6">
      <c r="A129" t="s">
        <v>238</v>
      </c>
      <c r="B129" s="1">
        <v>45785.446527777778</v>
      </c>
      <c r="C129" t="s">
        <v>133</v>
      </c>
      <c r="D129">
        <v>-9490</v>
      </c>
      <c r="E129">
        <v>3081422</v>
      </c>
      <c r="F129" t="s">
        <v>240</v>
      </c>
    </row>
    <row r="130" spans="1:6">
      <c r="A130" t="s">
        <v>238</v>
      </c>
      <c r="B130" s="1">
        <v>45783.808333333334</v>
      </c>
      <c r="C130" t="s">
        <v>95</v>
      </c>
      <c r="D130">
        <v>-9740</v>
      </c>
      <c r="E130">
        <v>3052832</v>
      </c>
      <c r="F130" t="s">
        <v>240</v>
      </c>
    </row>
    <row r="131" spans="1:6">
      <c r="A131" t="s">
        <v>238</v>
      </c>
      <c r="B131" s="1">
        <v>45780.583333333336</v>
      </c>
      <c r="C131" t="s">
        <v>146</v>
      </c>
      <c r="D131">
        <v>-9750</v>
      </c>
      <c r="E131">
        <v>3043092</v>
      </c>
      <c r="F131" t="s">
        <v>240</v>
      </c>
    </row>
    <row r="132" spans="1:6">
      <c r="A132" t="s">
        <v>238</v>
      </c>
      <c r="B132" s="1">
        <v>45801.793749999997</v>
      </c>
      <c r="C132" t="s">
        <v>85</v>
      </c>
      <c r="D132">
        <v>-9991</v>
      </c>
      <c r="E132">
        <v>3023352</v>
      </c>
      <c r="F132" t="s">
        <v>240</v>
      </c>
    </row>
    <row r="133" spans="1:6">
      <c r="A133" t="s">
        <v>238</v>
      </c>
      <c r="B133" s="1">
        <v>45779.76666666667</v>
      </c>
      <c r="C133" t="s">
        <v>134</v>
      </c>
      <c r="D133">
        <v>-10000</v>
      </c>
      <c r="E133">
        <v>4902058</v>
      </c>
      <c r="F133" t="s">
        <v>240</v>
      </c>
    </row>
    <row r="134" spans="1:6">
      <c r="A134" t="s">
        <v>238</v>
      </c>
      <c r="B134" s="1">
        <v>45795.546527777777</v>
      </c>
      <c r="C134" t="s">
        <v>98</v>
      </c>
      <c r="D134">
        <v>-10009</v>
      </c>
      <c r="E134">
        <v>4852918</v>
      </c>
      <c r="F134" t="s">
        <v>240</v>
      </c>
    </row>
    <row r="135" spans="1:6">
      <c r="A135" t="s">
        <v>238</v>
      </c>
      <c r="B135" s="1">
        <v>45784.791666666664</v>
      </c>
      <c r="C135" t="s">
        <v>135</v>
      </c>
      <c r="D135">
        <v>-10500</v>
      </c>
      <c r="E135">
        <v>4842909</v>
      </c>
      <c r="F135" t="s">
        <v>240</v>
      </c>
    </row>
    <row r="136" spans="1:6">
      <c r="A136" t="s">
        <v>238</v>
      </c>
      <c r="B136" s="1">
        <v>45778.661805555559</v>
      </c>
      <c r="C136" t="s">
        <v>150</v>
      </c>
      <c r="D136">
        <v>-11000</v>
      </c>
      <c r="E136">
        <v>4784452</v>
      </c>
      <c r="F136" t="s">
        <v>240</v>
      </c>
    </row>
    <row r="137" spans="1:6">
      <c r="A137" t="s">
        <v>238</v>
      </c>
      <c r="B137" s="1">
        <v>45782.673611111109</v>
      </c>
      <c r="C137" t="s">
        <v>22</v>
      </c>
      <c r="D137">
        <v>-11000</v>
      </c>
      <c r="E137">
        <v>4763452</v>
      </c>
      <c r="F137" t="s">
        <v>240</v>
      </c>
    </row>
    <row r="138" spans="1:6">
      <c r="A138" t="s">
        <v>238</v>
      </c>
      <c r="B138" s="1">
        <v>45795.64166666667</v>
      </c>
      <c r="C138" t="s">
        <v>95</v>
      </c>
      <c r="D138">
        <v>-11350</v>
      </c>
      <c r="E138">
        <v>4751902</v>
      </c>
      <c r="F138" t="s">
        <v>240</v>
      </c>
    </row>
    <row r="139" spans="1:6">
      <c r="A139" t="s">
        <v>238</v>
      </c>
      <c r="B139" s="1">
        <v>45786.480555555558</v>
      </c>
      <c r="C139" t="s">
        <v>130</v>
      </c>
      <c r="D139">
        <v>-11400</v>
      </c>
      <c r="E139">
        <v>4740552</v>
      </c>
      <c r="F139" t="s">
        <v>240</v>
      </c>
    </row>
    <row r="140" spans="1:6">
      <c r="A140" t="s">
        <v>238</v>
      </c>
      <c r="B140" s="1">
        <v>45794.667361111111</v>
      </c>
      <c r="C140" t="s">
        <v>99</v>
      </c>
      <c r="D140">
        <v>-11800</v>
      </c>
      <c r="E140">
        <v>4717652</v>
      </c>
      <c r="F140" t="s">
        <v>240</v>
      </c>
    </row>
    <row r="141" spans="1:6">
      <c r="A141" t="s">
        <v>238</v>
      </c>
      <c r="B141" s="1">
        <v>45780.620138888888</v>
      </c>
      <c r="C141" t="s">
        <v>141</v>
      </c>
      <c r="D141">
        <v>-11895</v>
      </c>
      <c r="E141">
        <v>4705852</v>
      </c>
      <c r="F141" t="s">
        <v>240</v>
      </c>
    </row>
    <row r="142" spans="1:6">
      <c r="A142" t="s">
        <v>238</v>
      </c>
      <c r="B142" s="1">
        <v>45788.711111111108</v>
      </c>
      <c r="C142" t="s">
        <v>121</v>
      </c>
      <c r="D142">
        <v>-12000</v>
      </c>
      <c r="E142">
        <v>4540087</v>
      </c>
      <c r="F142" t="s">
        <v>240</v>
      </c>
    </row>
    <row r="143" spans="1:6">
      <c r="A143" t="s">
        <v>238</v>
      </c>
      <c r="B143" s="1">
        <v>45784.624305555553</v>
      </c>
      <c r="C143" t="s">
        <v>136</v>
      </c>
      <c r="D143">
        <v>-100000</v>
      </c>
      <c r="E143">
        <v>2974374</v>
      </c>
      <c r="F143" t="s">
        <v>240</v>
      </c>
    </row>
    <row r="144" spans="1:6">
      <c r="A144" t="s">
        <v>238</v>
      </c>
      <c r="B144" s="1">
        <v>45781.788888888892</v>
      </c>
      <c r="C144" t="s">
        <v>142</v>
      </c>
      <c r="D144">
        <v>-12990</v>
      </c>
      <c r="E144">
        <v>5026270</v>
      </c>
      <c r="F144" t="s">
        <v>240</v>
      </c>
    </row>
    <row r="145" spans="1:6">
      <c r="A145" t="s">
        <v>238</v>
      </c>
      <c r="B145" s="1">
        <v>45800.592361111114</v>
      </c>
      <c r="C145" t="s">
        <v>87</v>
      </c>
      <c r="D145">
        <v>-13178</v>
      </c>
      <c r="E145">
        <v>5013280</v>
      </c>
      <c r="F145" t="s">
        <v>240</v>
      </c>
    </row>
    <row r="146" spans="1:6">
      <c r="A146" t="s">
        <v>238</v>
      </c>
      <c r="B146" s="1">
        <v>45783.453472222223</v>
      </c>
      <c r="C146" t="s">
        <v>138</v>
      </c>
      <c r="D146">
        <v>-15000</v>
      </c>
      <c r="E146">
        <v>5480102</v>
      </c>
      <c r="F146" t="s">
        <v>240</v>
      </c>
    </row>
    <row r="147" spans="1:6">
      <c r="A147" t="s">
        <v>238</v>
      </c>
      <c r="B147" s="1">
        <v>45787.740277777775</v>
      </c>
      <c r="C147" t="s">
        <v>125</v>
      </c>
      <c r="D147">
        <v>-17200</v>
      </c>
      <c r="E147">
        <v>5280591</v>
      </c>
      <c r="F147" t="s">
        <v>240</v>
      </c>
    </row>
    <row r="148" spans="1:6">
      <c r="A148" t="s">
        <v>238</v>
      </c>
      <c r="B148" s="1">
        <v>45782.038888888892</v>
      </c>
      <c r="C148" t="s">
        <v>69</v>
      </c>
      <c r="D148">
        <v>-60984</v>
      </c>
      <c r="E148">
        <v>3381247</v>
      </c>
      <c r="F148" t="s">
        <v>240</v>
      </c>
    </row>
    <row r="149" spans="1:6">
      <c r="A149" t="s">
        <v>238</v>
      </c>
      <c r="B149" s="1">
        <v>45787.697916666664</v>
      </c>
      <c r="C149" t="s">
        <v>127</v>
      </c>
      <c r="D149">
        <v>-23990</v>
      </c>
      <c r="E149">
        <v>4973976</v>
      </c>
      <c r="F149" t="s">
        <v>240</v>
      </c>
    </row>
    <row r="150" spans="1:6">
      <c r="A150" t="s">
        <v>238</v>
      </c>
      <c r="B150" s="1">
        <v>45799.590277777781</v>
      </c>
      <c r="C150" t="s">
        <v>89</v>
      </c>
      <c r="D150">
        <v>-23990</v>
      </c>
      <c r="E150">
        <v>4949986</v>
      </c>
      <c r="F150" t="s">
        <v>240</v>
      </c>
    </row>
    <row r="151" spans="1:6">
      <c r="A151" t="s">
        <v>238</v>
      </c>
      <c r="B151" s="1">
        <v>45784.875</v>
      </c>
      <c r="C151" t="s">
        <v>134</v>
      </c>
      <c r="D151">
        <v>-25000</v>
      </c>
      <c r="E151">
        <v>4773847</v>
      </c>
      <c r="F151" t="s">
        <v>240</v>
      </c>
    </row>
    <row r="152" spans="1:6">
      <c r="A152" t="s">
        <v>238</v>
      </c>
      <c r="B152" s="1">
        <v>45804.427777777775</v>
      </c>
      <c r="C152" t="s">
        <v>82</v>
      </c>
      <c r="D152">
        <v>-25000</v>
      </c>
      <c r="E152">
        <v>4740727</v>
      </c>
      <c r="F152" t="s">
        <v>240</v>
      </c>
    </row>
    <row r="153" spans="1:6">
      <c r="A153" t="s">
        <v>238</v>
      </c>
      <c r="B153" s="1">
        <v>45791.758333333331</v>
      </c>
      <c r="C153" t="s">
        <v>93</v>
      </c>
      <c r="D153">
        <v>-30000</v>
      </c>
      <c r="E153">
        <v>4456724</v>
      </c>
      <c r="F153" t="s">
        <v>240</v>
      </c>
    </row>
    <row r="154" spans="1:6">
      <c r="A154" t="s">
        <v>238</v>
      </c>
      <c r="B154" s="1">
        <v>45787.709027777775</v>
      </c>
      <c r="C154" t="s">
        <v>126</v>
      </c>
      <c r="D154">
        <v>-39990</v>
      </c>
      <c r="E154">
        <v>4169020</v>
      </c>
      <c r="F154" t="s">
        <v>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O2443"/>
  <sheetViews>
    <sheetView zoomScale="110" zoomScaleNormal="110" workbookViewId="0">
      <pane xSplit="1" ySplit="10" topLeftCell="B131" activePane="bottomRight" state="frozen"/>
      <selection pane="topRight" activeCell="B1" sqref="B1"/>
      <selection pane="bottomLeft" activeCell="A8" sqref="A8"/>
      <selection pane="bottomRight" activeCell="D21" sqref="D21"/>
    </sheetView>
  </sheetViews>
  <sheetFormatPr baseColWidth="10" defaultColWidth="11.5703125" defaultRowHeight="12"/>
  <cols>
    <col min="1" max="1" width="3" style="98" customWidth="1"/>
    <col min="2" max="2" width="16.85546875" style="99" bestFit="1" customWidth="1"/>
    <col min="3" max="3" width="16.140625" style="98" bestFit="1" customWidth="1"/>
    <col min="4" max="4" width="41.28515625" style="98" customWidth="1"/>
    <col min="5" max="5" width="14.28515625" style="98" customWidth="1"/>
    <col min="6" max="6" width="12" style="98" customWidth="1"/>
    <col min="7" max="8" width="15.5703125" style="98" customWidth="1"/>
    <col min="9" max="9" width="22" style="98" bestFit="1" customWidth="1"/>
    <col min="10" max="10" width="2.7109375" style="98" customWidth="1"/>
    <col min="11" max="11" width="19" style="98" bestFit="1" customWidth="1"/>
    <col min="12" max="12" width="11.7109375" style="98" bestFit="1" customWidth="1"/>
    <col min="13" max="16384" width="11.5703125" style="98"/>
  </cols>
  <sheetData>
    <row r="1" spans="2:14" s="98" customFormat="1">
      <c r="B1" s="99"/>
      <c r="K1" s="100"/>
      <c r="L1" s="101"/>
      <c r="M1" s="100"/>
      <c r="N1" s="100"/>
    </row>
    <row r="2" spans="2:14" s="98" customFormat="1" hidden="1">
      <c r="B2" s="99"/>
      <c r="D2" s="102" t="s">
        <v>470</v>
      </c>
      <c r="E2" s="103">
        <v>85650</v>
      </c>
      <c r="K2" s="100"/>
      <c r="L2" s="101"/>
      <c r="M2" s="101"/>
      <c r="N2" s="100"/>
    </row>
    <row r="3" spans="2:14" s="98" customFormat="1" hidden="1">
      <c r="B3" s="99"/>
      <c r="D3" s="104" t="s">
        <v>371</v>
      </c>
      <c r="E3" s="103">
        <v>107041</v>
      </c>
      <c r="G3" s="103"/>
      <c r="K3" s="100"/>
      <c r="L3" s="101"/>
      <c r="M3" s="101"/>
      <c r="N3" s="100"/>
    </row>
    <row r="4" spans="2:14" s="98" customFormat="1" hidden="1">
      <c r="B4" s="99"/>
      <c r="D4" s="104" t="s">
        <v>372</v>
      </c>
      <c r="E4" s="103">
        <v>3701</v>
      </c>
      <c r="K4" s="100"/>
      <c r="L4" s="101"/>
      <c r="M4" s="101"/>
      <c r="N4" s="100"/>
    </row>
    <row r="5" spans="2:14" s="98" customFormat="1" hidden="1">
      <c r="B5" s="99"/>
      <c r="D5" s="104" t="s">
        <v>539</v>
      </c>
      <c r="E5" s="103">
        <v>9357</v>
      </c>
      <c r="K5" s="100"/>
      <c r="L5" s="101"/>
      <c r="M5" s="101"/>
      <c r="N5" s="100"/>
    </row>
    <row r="6" spans="2:14" s="98" customFormat="1" hidden="1">
      <c r="B6" s="99"/>
      <c r="D6" s="104" t="s">
        <v>667</v>
      </c>
      <c r="E6" s="103">
        <v>500000</v>
      </c>
      <c r="K6" s="100"/>
      <c r="L6" s="101"/>
      <c r="M6" s="101"/>
      <c r="N6" s="100"/>
    </row>
    <row r="7" spans="2:14" s="98" customFormat="1" hidden="1">
      <c r="B7" s="99"/>
      <c r="D7" s="104" t="s">
        <v>666</v>
      </c>
      <c r="E7" s="103">
        <v>450000</v>
      </c>
      <c r="K7" s="100"/>
      <c r="L7" s="101"/>
      <c r="M7" s="101"/>
      <c r="N7" s="100"/>
    </row>
    <row r="8" spans="2:14" s="98" customFormat="1" hidden="1">
      <c r="B8" s="99"/>
      <c r="D8" s="104" t="s">
        <v>591</v>
      </c>
      <c r="E8" s="103">
        <v>10000</v>
      </c>
      <c r="K8" s="100"/>
      <c r="L8" s="101"/>
      <c r="M8" s="101"/>
      <c r="N8" s="100"/>
    </row>
    <row r="9" spans="2:14" s="98" customFormat="1" hidden="1">
      <c r="B9" s="99"/>
      <c r="D9" s="105" t="s">
        <v>376</v>
      </c>
      <c r="E9" s="106">
        <f>SUM(E2:E8)</f>
        <v>1165749</v>
      </c>
      <c r="F9" s="107">
        <f>+E9+E2</f>
        <v>1251399</v>
      </c>
      <c r="K9" s="100"/>
      <c r="L9" s="101"/>
      <c r="M9" s="101"/>
      <c r="N9" s="100"/>
    </row>
    <row r="10" spans="2:14" s="98" customFormat="1">
      <c r="B10" s="99" t="s">
        <v>256</v>
      </c>
      <c r="C10" s="98" t="s">
        <v>257</v>
      </c>
      <c r="D10" s="98" t="s">
        <v>258</v>
      </c>
      <c r="E10" s="98" t="s">
        <v>259</v>
      </c>
      <c r="F10" s="98" t="s">
        <v>261</v>
      </c>
      <c r="G10" s="98" t="s">
        <v>517</v>
      </c>
      <c r="H10" s="98" t="s">
        <v>518</v>
      </c>
      <c r="I10" s="98" t="s">
        <v>262</v>
      </c>
      <c r="K10" s="100">
        <v>106105</v>
      </c>
      <c r="L10" s="108"/>
      <c r="M10" s="100"/>
      <c r="N10" s="100"/>
    </row>
    <row r="11" spans="2:14" s="98" customFormat="1">
      <c r="B11" s="99" t="s">
        <v>982</v>
      </c>
      <c r="C11" s="109">
        <v>46316</v>
      </c>
      <c r="D11" s="98" t="s">
        <v>740</v>
      </c>
      <c r="E11" s="103">
        <v>-38</v>
      </c>
      <c r="F11" s="98" t="s">
        <v>239</v>
      </c>
      <c r="I11" s="98" t="s">
        <v>737</v>
      </c>
      <c r="K11" s="100"/>
      <c r="L11" s="108"/>
      <c r="M11" s="100"/>
      <c r="N11" s="100"/>
    </row>
    <row r="12" spans="2:14" s="98" customFormat="1">
      <c r="B12" s="99" t="s">
        <v>982</v>
      </c>
      <c r="C12" s="109">
        <v>46316</v>
      </c>
      <c r="D12" s="98" t="s">
        <v>947</v>
      </c>
      <c r="E12" s="103">
        <v>7630</v>
      </c>
      <c r="F12" s="98" t="s">
        <v>240</v>
      </c>
      <c r="G12" s="98" t="s">
        <v>374</v>
      </c>
      <c r="H12" s="98" t="s">
        <v>516</v>
      </c>
      <c r="I12" s="98" t="s">
        <v>251</v>
      </c>
      <c r="K12" s="100"/>
      <c r="L12" s="108"/>
      <c r="M12" s="100"/>
      <c r="N12" s="100"/>
    </row>
    <row r="13" spans="2:14" s="98" customFormat="1">
      <c r="B13" s="99" t="s">
        <v>982</v>
      </c>
      <c r="C13" s="109">
        <v>46316</v>
      </c>
      <c r="D13" s="98" t="s">
        <v>740</v>
      </c>
      <c r="E13" s="103">
        <v>-4</v>
      </c>
      <c r="F13" s="98" t="s">
        <v>239</v>
      </c>
      <c r="I13" s="98" t="s">
        <v>737</v>
      </c>
      <c r="K13" s="100"/>
      <c r="L13" s="108"/>
      <c r="M13" s="100"/>
      <c r="N13" s="100"/>
    </row>
    <row r="14" spans="2:14" s="98" customFormat="1">
      <c r="B14" s="99" t="s">
        <v>982</v>
      </c>
      <c r="C14" s="109">
        <v>46316</v>
      </c>
      <c r="D14" s="98" t="s">
        <v>702</v>
      </c>
      <c r="E14" s="103">
        <v>700</v>
      </c>
      <c r="F14" s="98" t="s">
        <v>240</v>
      </c>
      <c r="G14" s="98" t="s">
        <v>374</v>
      </c>
      <c r="H14" s="98" t="s">
        <v>516</v>
      </c>
      <c r="I14" s="98" t="s">
        <v>247</v>
      </c>
      <c r="K14" s="100"/>
      <c r="L14" s="108"/>
      <c r="M14" s="100"/>
      <c r="N14" s="100"/>
    </row>
    <row r="15" spans="2:14" s="98" customFormat="1">
      <c r="B15" s="99" t="s">
        <v>982</v>
      </c>
      <c r="C15" s="109">
        <v>46316</v>
      </c>
      <c r="D15" s="98" t="s">
        <v>740</v>
      </c>
      <c r="E15" s="103">
        <v>-22</v>
      </c>
      <c r="F15" s="98" t="s">
        <v>239</v>
      </c>
      <c r="I15" s="98" t="s">
        <v>737</v>
      </c>
      <c r="K15" s="100"/>
      <c r="L15" s="108"/>
      <c r="M15" s="100"/>
      <c r="N15" s="100"/>
    </row>
    <row r="16" spans="2:14" s="98" customFormat="1">
      <c r="B16" s="99" t="s">
        <v>982</v>
      </c>
      <c r="C16" s="109">
        <v>46316</v>
      </c>
      <c r="D16" s="98" t="s">
        <v>931</v>
      </c>
      <c r="E16" s="103">
        <v>4459</v>
      </c>
      <c r="F16" s="98" t="s">
        <v>240</v>
      </c>
      <c r="G16" s="98" t="s">
        <v>374</v>
      </c>
      <c r="H16" s="98" t="s">
        <v>513</v>
      </c>
      <c r="I16" s="98" t="s">
        <v>242</v>
      </c>
      <c r="K16" s="100"/>
      <c r="L16" s="108"/>
      <c r="M16" s="100"/>
      <c r="N16" s="100"/>
    </row>
    <row r="17" spans="2:14" s="98" customFormat="1">
      <c r="B17" s="99" t="s">
        <v>982</v>
      </c>
      <c r="C17" s="109">
        <v>46316</v>
      </c>
      <c r="D17" s="98" t="s">
        <v>1014</v>
      </c>
      <c r="E17" s="103">
        <v>2990</v>
      </c>
      <c r="F17" s="98" t="s">
        <v>240</v>
      </c>
      <c r="G17" s="98" t="s">
        <v>374</v>
      </c>
      <c r="H17" s="98" t="s">
        <v>513</v>
      </c>
      <c r="I17" s="98" t="s">
        <v>544</v>
      </c>
      <c r="K17" s="100"/>
      <c r="L17" s="108"/>
      <c r="M17" s="100"/>
      <c r="N17" s="100"/>
    </row>
    <row r="18" spans="2:14" s="98" customFormat="1">
      <c r="B18" s="99" t="s">
        <v>982</v>
      </c>
      <c r="C18" s="109">
        <v>46316</v>
      </c>
      <c r="D18" s="98" t="s">
        <v>740</v>
      </c>
      <c r="E18" s="103">
        <v>-9</v>
      </c>
      <c r="F18" s="98" t="s">
        <v>239</v>
      </c>
      <c r="I18" s="98" t="s">
        <v>737</v>
      </c>
      <c r="K18" s="100"/>
      <c r="L18" s="108"/>
      <c r="M18" s="100"/>
      <c r="N18" s="100"/>
    </row>
    <row r="19" spans="2:14" s="98" customFormat="1">
      <c r="B19" s="99" t="s">
        <v>982</v>
      </c>
      <c r="C19" s="109">
        <v>46316</v>
      </c>
      <c r="D19" s="98" t="s">
        <v>931</v>
      </c>
      <c r="E19" s="103">
        <v>1700</v>
      </c>
      <c r="F19" s="98" t="s">
        <v>240</v>
      </c>
      <c r="G19" s="98" t="s">
        <v>374</v>
      </c>
      <c r="H19" s="98" t="s">
        <v>516</v>
      </c>
      <c r="I19" s="98" t="s">
        <v>247</v>
      </c>
      <c r="K19" s="100"/>
      <c r="L19" s="108"/>
      <c r="M19" s="100"/>
      <c r="N19" s="100"/>
    </row>
    <row r="20" spans="2:14" s="98" customFormat="1">
      <c r="B20" s="99" t="s">
        <v>982</v>
      </c>
      <c r="C20" s="109">
        <v>46315</v>
      </c>
      <c r="D20" s="98" t="s">
        <v>690</v>
      </c>
      <c r="E20" s="103">
        <v>-93410</v>
      </c>
      <c r="F20" s="98" t="s">
        <v>239</v>
      </c>
      <c r="I20" s="98" t="s">
        <v>738</v>
      </c>
      <c r="K20" s="100"/>
      <c r="L20" s="108"/>
      <c r="M20" s="100"/>
      <c r="N20" s="100"/>
    </row>
    <row r="21" spans="2:14" s="98" customFormat="1">
      <c r="B21" s="99" t="s">
        <v>982</v>
      </c>
      <c r="C21" s="109">
        <v>46315</v>
      </c>
      <c r="D21" s="98" t="s">
        <v>744</v>
      </c>
      <c r="E21" s="103">
        <v>-3</v>
      </c>
      <c r="F21" s="98" t="s">
        <v>239</v>
      </c>
      <c r="I21" s="98" t="s">
        <v>737</v>
      </c>
      <c r="K21" s="100"/>
      <c r="L21" s="108"/>
      <c r="M21" s="100"/>
      <c r="N21" s="100"/>
    </row>
    <row r="22" spans="2:14" s="98" customFormat="1">
      <c r="B22" s="99" t="s">
        <v>982</v>
      </c>
      <c r="C22" s="109">
        <v>46315</v>
      </c>
      <c r="D22" s="98" t="s">
        <v>740</v>
      </c>
      <c r="E22" s="103">
        <v>-20</v>
      </c>
      <c r="F22" s="98" t="s">
        <v>239</v>
      </c>
      <c r="I22" s="98" t="s">
        <v>737</v>
      </c>
      <c r="K22" s="100"/>
      <c r="L22" s="108"/>
      <c r="M22" s="100"/>
      <c r="N22" s="100"/>
    </row>
    <row r="23" spans="2:14" s="98" customFormat="1">
      <c r="B23" s="99" t="s">
        <v>982</v>
      </c>
      <c r="C23" s="109">
        <v>46315</v>
      </c>
      <c r="D23" s="98" t="s">
        <v>1015</v>
      </c>
      <c r="E23" s="103">
        <v>3960</v>
      </c>
      <c r="F23" s="98" t="s">
        <v>240</v>
      </c>
      <c r="G23" s="98" t="s">
        <v>374</v>
      </c>
      <c r="H23" s="98" t="s">
        <v>516</v>
      </c>
      <c r="I23" s="98" t="s">
        <v>247</v>
      </c>
      <c r="K23" s="100"/>
      <c r="L23" s="108"/>
      <c r="M23" s="100"/>
      <c r="N23" s="100"/>
    </row>
    <row r="24" spans="2:14" s="98" customFormat="1">
      <c r="B24" s="99" t="s">
        <v>982</v>
      </c>
      <c r="C24" s="109">
        <v>46315</v>
      </c>
      <c r="D24" s="98" t="s">
        <v>740</v>
      </c>
      <c r="E24" s="103">
        <v>-26</v>
      </c>
      <c r="F24" s="98" t="s">
        <v>239</v>
      </c>
      <c r="I24" s="98" t="s">
        <v>737</v>
      </c>
      <c r="K24" s="100"/>
      <c r="L24" s="108"/>
      <c r="M24" s="100"/>
      <c r="N24" s="100"/>
    </row>
    <row r="25" spans="2:14" s="98" customFormat="1">
      <c r="B25" s="99" t="s">
        <v>982</v>
      </c>
      <c r="C25" s="109">
        <v>46315</v>
      </c>
      <c r="D25" s="98" t="s">
        <v>1016</v>
      </c>
      <c r="E25" s="103">
        <v>5190</v>
      </c>
      <c r="F25" s="98" t="s">
        <v>240</v>
      </c>
      <c r="G25" s="98" t="s">
        <v>374</v>
      </c>
      <c r="H25" s="98" t="s">
        <v>516</v>
      </c>
      <c r="I25" s="98" t="s">
        <v>247</v>
      </c>
      <c r="K25" s="100"/>
      <c r="L25" s="108"/>
      <c r="M25" s="100"/>
      <c r="N25" s="100"/>
    </row>
    <row r="26" spans="2:14" s="98" customFormat="1">
      <c r="B26" s="99" t="s">
        <v>982</v>
      </c>
      <c r="C26" s="109">
        <v>46315</v>
      </c>
      <c r="D26" s="98" t="s">
        <v>740</v>
      </c>
      <c r="E26" s="103">
        <v>-177</v>
      </c>
      <c r="F26" s="98" t="s">
        <v>239</v>
      </c>
      <c r="I26" s="98" t="s">
        <v>737</v>
      </c>
      <c r="K26" s="100"/>
      <c r="L26" s="108"/>
      <c r="M26" s="100"/>
      <c r="N26" s="100"/>
    </row>
    <row r="27" spans="2:14" s="98" customFormat="1">
      <c r="B27" s="99" t="s">
        <v>982</v>
      </c>
      <c r="C27" s="109">
        <v>46315</v>
      </c>
      <c r="D27" s="98" t="s">
        <v>785</v>
      </c>
      <c r="E27" s="103">
        <v>35392</v>
      </c>
      <c r="F27" s="98" t="s">
        <v>240</v>
      </c>
      <c r="G27" s="98" t="s">
        <v>374</v>
      </c>
      <c r="H27" s="98" t="s">
        <v>516</v>
      </c>
      <c r="I27" s="98" t="s">
        <v>245</v>
      </c>
      <c r="K27" s="100"/>
      <c r="L27" s="108"/>
      <c r="M27" s="100"/>
      <c r="N27" s="100"/>
    </row>
    <row r="28" spans="2:14" s="98" customFormat="1">
      <c r="B28" s="99" t="s">
        <v>982</v>
      </c>
      <c r="C28" s="109">
        <v>46315</v>
      </c>
      <c r="D28" s="98" t="s">
        <v>740</v>
      </c>
      <c r="E28" s="103">
        <v>-159</v>
      </c>
      <c r="F28" s="98" t="s">
        <v>239</v>
      </c>
      <c r="I28" s="98" t="s">
        <v>737</v>
      </c>
      <c r="K28" s="100"/>
      <c r="L28" s="108"/>
      <c r="M28" s="100"/>
      <c r="N28" s="100"/>
    </row>
    <row r="29" spans="2:14" s="98" customFormat="1">
      <c r="B29" s="99" t="s">
        <v>982</v>
      </c>
      <c r="C29" s="109">
        <v>46315</v>
      </c>
      <c r="D29" s="98" t="s">
        <v>840</v>
      </c>
      <c r="E29" s="103">
        <v>31890</v>
      </c>
      <c r="F29" s="98" t="s">
        <v>240</v>
      </c>
      <c r="G29" s="98" t="s">
        <v>374</v>
      </c>
      <c r="H29" s="98" t="s">
        <v>516</v>
      </c>
      <c r="I29" s="98" t="s">
        <v>245</v>
      </c>
      <c r="K29" s="100"/>
      <c r="L29" s="108"/>
      <c r="M29" s="100"/>
      <c r="N29" s="100"/>
    </row>
    <row r="30" spans="2:14" s="98" customFormat="1">
      <c r="B30" s="99" t="s">
        <v>982</v>
      </c>
      <c r="C30" s="109">
        <v>46315</v>
      </c>
      <c r="D30" s="98" t="s">
        <v>740</v>
      </c>
      <c r="E30" s="103">
        <v>-50</v>
      </c>
      <c r="F30" s="98" t="s">
        <v>239</v>
      </c>
      <c r="I30" s="98" t="s">
        <v>737</v>
      </c>
      <c r="K30" s="100"/>
      <c r="L30" s="108"/>
      <c r="M30" s="100"/>
      <c r="N30" s="100"/>
    </row>
    <row r="31" spans="2:14" s="98" customFormat="1">
      <c r="B31" s="99" t="s">
        <v>982</v>
      </c>
      <c r="C31" s="109">
        <v>46315</v>
      </c>
      <c r="D31" s="98" t="s">
        <v>1008</v>
      </c>
      <c r="E31" s="103">
        <v>10000</v>
      </c>
      <c r="F31" s="98" t="s">
        <v>240</v>
      </c>
      <c r="G31" s="98" t="s">
        <v>374</v>
      </c>
      <c r="H31" s="98" t="s">
        <v>516</v>
      </c>
      <c r="I31" s="98" t="s">
        <v>270</v>
      </c>
      <c r="K31" s="100"/>
      <c r="L31" s="108"/>
      <c r="M31" s="100"/>
      <c r="N31" s="100"/>
    </row>
    <row r="32" spans="2:14" s="98" customFormat="1">
      <c r="B32" s="99" t="s">
        <v>982</v>
      </c>
      <c r="C32" s="109">
        <v>46315</v>
      </c>
      <c r="D32" s="98" t="s">
        <v>740</v>
      </c>
      <c r="E32" s="103">
        <v>-9</v>
      </c>
      <c r="F32" s="98" t="s">
        <v>239</v>
      </c>
      <c r="I32" s="98" t="s">
        <v>737</v>
      </c>
      <c r="K32" s="100"/>
      <c r="L32" s="108"/>
      <c r="M32" s="100"/>
      <c r="N32" s="100"/>
    </row>
    <row r="33" spans="2:14" s="98" customFormat="1">
      <c r="B33" s="99" t="s">
        <v>982</v>
      </c>
      <c r="C33" s="109">
        <v>46315</v>
      </c>
      <c r="D33" s="98" t="s">
        <v>931</v>
      </c>
      <c r="E33" s="103">
        <v>1700</v>
      </c>
      <c r="F33" s="98" t="s">
        <v>240</v>
      </c>
      <c r="G33" s="98" t="s">
        <v>374</v>
      </c>
      <c r="H33" s="98" t="s">
        <v>516</v>
      </c>
      <c r="I33" s="98" t="s">
        <v>247</v>
      </c>
      <c r="K33" s="100"/>
      <c r="L33" s="108"/>
      <c r="M33" s="100"/>
      <c r="N33" s="100"/>
    </row>
    <row r="34" spans="2:14" s="98" customFormat="1">
      <c r="B34" s="99" t="s">
        <v>982</v>
      </c>
      <c r="C34" s="109">
        <v>46314</v>
      </c>
      <c r="D34" s="98" t="s">
        <v>1017</v>
      </c>
      <c r="E34" s="103">
        <v>1790</v>
      </c>
      <c r="F34" s="98" t="s">
        <v>240</v>
      </c>
      <c r="G34" s="98" t="s">
        <v>374</v>
      </c>
      <c r="H34" s="98" t="s">
        <v>513</v>
      </c>
      <c r="I34" s="98" t="s">
        <v>544</v>
      </c>
      <c r="K34" s="100"/>
      <c r="L34" s="108"/>
      <c r="M34" s="100"/>
      <c r="N34" s="100"/>
    </row>
    <row r="35" spans="2:14" s="98" customFormat="1">
      <c r="B35" s="99" t="s">
        <v>982</v>
      </c>
      <c r="C35" s="109">
        <v>46314</v>
      </c>
      <c r="D35" s="98" t="s">
        <v>744</v>
      </c>
      <c r="E35" s="103">
        <v>-4</v>
      </c>
      <c r="F35" s="98" t="s">
        <v>239</v>
      </c>
      <c r="I35" s="98" t="s">
        <v>737</v>
      </c>
      <c r="K35" s="100"/>
      <c r="L35" s="108"/>
      <c r="M35" s="100"/>
      <c r="N35" s="100"/>
    </row>
    <row r="36" spans="2:14" s="98" customFormat="1">
      <c r="B36" s="99" t="s">
        <v>982</v>
      </c>
      <c r="C36" s="109">
        <v>46314</v>
      </c>
      <c r="D36" s="98" t="s">
        <v>740</v>
      </c>
      <c r="E36" s="103">
        <v>-22</v>
      </c>
      <c r="F36" s="98" t="s">
        <v>239</v>
      </c>
      <c r="I36" s="98" t="s">
        <v>737</v>
      </c>
      <c r="K36" s="100"/>
      <c r="L36" s="108"/>
      <c r="M36" s="100"/>
      <c r="N36" s="100"/>
    </row>
    <row r="37" spans="2:14" s="98" customFormat="1">
      <c r="B37" s="99" t="s">
        <v>982</v>
      </c>
      <c r="C37" s="109">
        <v>46314</v>
      </c>
      <c r="D37" s="98" t="s">
        <v>931</v>
      </c>
      <c r="E37" s="103">
        <v>4459</v>
      </c>
      <c r="F37" s="98" t="s">
        <v>240</v>
      </c>
      <c r="G37" s="98" t="s">
        <v>374</v>
      </c>
      <c r="H37" s="98" t="s">
        <v>513</v>
      </c>
      <c r="I37" s="98" t="s">
        <v>242</v>
      </c>
      <c r="K37" s="100"/>
      <c r="L37" s="108"/>
      <c r="M37" s="100"/>
      <c r="N37" s="100"/>
    </row>
    <row r="38" spans="2:14" s="98" customFormat="1">
      <c r="B38" s="99" t="s">
        <v>982</v>
      </c>
      <c r="C38" s="109">
        <v>46314</v>
      </c>
      <c r="D38" s="98" t="s">
        <v>727</v>
      </c>
      <c r="E38" s="103">
        <v>14000</v>
      </c>
      <c r="F38" s="98" t="s">
        <v>240</v>
      </c>
      <c r="G38" s="98" t="s">
        <v>374</v>
      </c>
      <c r="H38" s="98" t="s">
        <v>516</v>
      </c>
      <c r="I38" s="98" t="s">
        <v>273</v>
      </c>
      <c r="K38" s="100"/>
      <c r="L38" s="108"/>
      <c r="M38" s="100"/>
      <c r="N38" s="100"/>
    </row>
    <row r="39" spans="2:14" s="98" customFormat="1">
      <c r="B39" s="99" t="s">
        <v>982</v>
      </c>
      <c r="C39" s="109">
        <v>46314</v>
      </c>
      <c r="D39" s="98" t="s">
        <v>770</v>
      </c>
      <c r="E39" s="103">
        <v>-106105</v>
      </c>
      <c r="F39" s="98" t="s">
        <v>239</v>
      </c>
      <c r="I39" s="98" t="s">
        <v>546</v>
      </c>
      <c r="K39" s="100"/>
      <c r="L39" s="108"/>
      <c r="M39" s="100"/>
      <c r="N39" s="100"/>
    </row>
    <row r="40" spans="2:14" s="98" customFormat="1">
      <c r="B40" s="99" t="s">
        <v>982</v>
      </c>
      <c r="C40" s="109">
        <v>46314</v>
      </c>
      <c r="D40" s="98" t="s">
        <v>740</v>
      </c>
      <c r="E40" s="103">
        <v>-8</v>
      </c>
      <c r="F40" s="98" t="s">
        <v>239</v>
      </c>
      <c r="I40" s="98" t="s">
        <v>737</v>
      </c>
      <c r="K40" s="100"/>
      <c r="L40" s="108"/>
      <c r="M40" s="100"/>
      <c r="N40" s="100"/>
    </row>
    <row r="41" spans="2:14" s="98" customFormat="1">
      <c r="B41" s="99" t="s">
        <v>982</v>
      </c>
      <c r="C41" s="109">
        <v>46314</v>
      </c>
      <c r="D41" s="98" t="s">
        <v>931</v>
      </c>
      <c r="E41" s="103">
        <v>1500</v>
      </c>
      <c r="F41" s="98" t="s">
        <v>240</v>
      </c>
      <c r="G41" s="98" t="s">
        <v>374</v>
      </c>
      <c r="H41" s="98" t="s">
        <v>516</v>
      </c>
      <c r="I41" s="98" t="s">
        <v>247</v>
      </c>
      <c r="K41" s="100"/>
      <c r="L41" s="108"/>
      <c r="M41" s="100"/>
      <c r="N41" s="100"/>
    </row>
    <row r="42" spans="2:14" s="98" customFormat="1">
      <c r="B42" s="99" t="s">
        <v>982</v>
      </c>
      <c r="C42" s="109">
        <v>46313</v>
      </c>
      <c r="D42" s="98" t="s">
        <v>740</v>
      </c>
      <c r="E42" s="103">
        <v>-13</v>
      </c>
      <c r="F42" s="98" t="s">
        <v>239</v>
      </c>
      <c r="I42" s="98" t="s">
        <v>737</v>
      </c>
      <c r="K42" s="100"/>
      <c r="L42" s="108"/>
      <c r="M42" s="100"/>
      <c r="N42" s="100"/>
    </row>
    <row r="43" spans="2:14" s="98" customFormat="1">
      <c r="B43" s="99" t="s">
        <v>982</v>
      </c>
      <c r="C43" s="109">
        <v>46313</v>
      </c>
      <c r="D43" s="98" t="s">
        <v>743</v>
      </c>
      <c r="E43" s="103">
        <v>2530</v>
      </c>
      <c r="F43" s="98" t="s">
        <v>240</v>
      </c>
      <c r="G43" s="98" t="s">
        <v>374</v>
      </c>
      <c r="H43" s="98" t="s">
        <v>516</v>
      </c>
      <c r="I43" s="98" t="s">
        <v>245</v>
      </c>
      <c r="K43" s="100"/>
      <c r="L43" s="108"/>
      <c r="M43" s="100"/>
      <c r="N43" s="100"/>
    </row>
    <row r="44" spans="2:14" s="98" customFormat="1">
      <c r="B44" s="99" t="s">
        <v>982</v>
      </c>
      <c r="C44" s="109">
        <v>46313</v>
      </c>
      <c r="D44" s="98" t="s">
        <v>740</v>
      </c>
      <c r="E44" s="103">
        <v>-31</v>
      </c>
      <c r="F44" s="98" t="s">
        <v>239</v>
      </c>
      <c r="I44" s="98" t="s">
        <v>737</v>
      </c>
      <c r="K44" s="100"/>
      <c r="L44" s="108"/>
      <c r="M44" s="100"/>
      <c r="N44" s="100"/>
    </row>
    <row r="45" spans="2:14" s="98" customFormat="1">
      <c r="B45" s="99" t="s">
        <v>982</v>
      </c>
      <c r="C45" s="109">
        <v>46313</v>
      </c>
      <c r="D45" s="98" t="s">
        <v>625</v>
      </c>
      <c r="E45" s="103">
        <v>6200</v>
      </c>
      <c r="F45" s="98" t="s">
        <v>240</v>
      </c>
      <c r="G45" s="98" t="s">
        <v>374</v>
      </c>
      <c r="H45" s="98" t="s">
        <v>516</v>
      </c>
      <c r="I45" s="98" t="s">
        <v>251</v>
      </c>
      <c r="K45" s="100"/>
      <c r="L45" s="108"/>
      <c r="M45" s="100"/>
      <c r="N45" s="100"/>
    </row>
    <row r="46" spans="2:14" s="98" customFormat="1">
      <c r="B46" s="99" t="s">
        <v>982</v>
      </c>
      <c r="C46" s="109">
        <v>46313</v>
      </c>
      <c r="D46" s="98" t="s">
        <v>758</v>
      </c>
      <c r="E46" s="103">
        <v>-1065</v>
      </c>
      <c r="F46" s="98" t="s">
        <v>239</v>
      </c>
      <c r="I46" s="98" t="s">
        <v>737</v>
      </c>
      <c r="K46" s="100"/>
      <c r="L46" s="108"/>
      <c r="M46" s="100"/>
      <c r="N46" s="100"/>
    </row>
    <row r="47" spans="2:14" s="98" customFormat="1">
      <c r="B47" s="99" t="s">
        <v>982</v>
      </c>
      <c r="C47" s="109">
        <v>46313</v>
      </c>
      <c r="D47" s="98" t="s">
        <v>740</v>
      </c>
      <c r="E47" s="103">
        <v>-110</v>
      </c>
      <c r="F47" s="98" t="s">
        <v>239</v>
      </c>
      <c r="I47" s="98" t="s">
        <v>737</v>
      </c>
      <c r="K47" s="100"/>
      <c r="L47" s="108"/>
      <c r="M47" s="100"/>
      <c r="N47" s="100"/>
    </row>
    <row r="48" spans="2:14" s="98" customFormat="1">
      <c r="B48" s="99" t="s">
        <v>982</v>
      </c>
      <c r="C48" s="109">
        <v>46313</v>
      </c>
      <c r="D48" s="98" t="s">
        <v>840</v>
      </c>
      <c r="E48" s="103">
        <v>21970</v>
      </c>
      <c r="F48" s="98" t="s">
        <v>240</v>
      </c>
      <c r="G48" s="98" t="s">
        <v>374</v>
      </c>
      <c r="H48" s="98" t="s">
        <v>516</v>
      </c>
      <c r="I48" s="98" t="s">
        <v>245</v>
      </c>
      <c r="K48" s="100"/>
      <c r="L48" s="108"/>
      <c r="M48" s="100"/>
      <c r="N48" s="100"/>
    </row>
    <row r="49" spans="2:14" s="98" customFormat="1">
      <c r="B49" s="99" t="s">
        <v>982</v>
      </c>
      <c r="C49" s="109">
        <v>46313</v>
      </c>
      <c r="D49" s="98" t="s">
        <v>770</v>
      </c>
      <c r="E49" s="103">
        <v>-2400</v>
      </c>
      <c r="F49" s="98" t="s">
        <v>239</v>
      </c>
      <c r="I49" s="98" t="s">
        <v>738</v>
      </c>
      <c r="K49" s="100"/>
      <c r="L49" s="108"/>
      <c r="M49" s="100"/>
      <c r="N49" s="100"/>
    </row>
    <row r="50" spans="2:14" s="98" customFormat="1">
      <c r="B50" s="99" t="s">
        <v>982</v>
      </c>
      <c r="C50" s="109">
        <v>46312</v>
      </c>
      <c r="D50" s="98" t="s">
        <v>854</v>
      </c>
      <c r="E50" s="103">
        <v>3590</v>
      </c>
      <c r="F50" s="98" t="s">
        <v>240</v>
      </c>
      <c r="G50" s="98" t="s">
        <v>374</v>
      </c>
      <c r="H50" s="98" t="s">
        <v>516</v>
      </c>
      <c r="I50" s="98" t="s">
        <v>247</v>
      </c>
      <c r="K50" s="100"/>
      <c r="L50" s="108"/>
      <c r="M50" s="100"/>
      <c r="N50" s="100"/>
    </row>
    <row r="51" spans="2:14" s="98" customFormat="1">
      <c r="B51" s="99" t="s">
        <v>982</v>
      </c>
      <c r="C51" s="109">
        <v>46312</v>
      </c>
      <c r="D51" s="98" t="s">
        <v>740</v>
      </c>
      <c r="E51" s="103">
        <v>-50</v>
      </c>
      <c r="F51" s="98" t="s">
        <v>239</v>
      </c>
      <c r="I51" s="98" t="s">
        <v>737</v>
      </c>
      <c r="K51" s="100"/>
      <c r="L51" s="108"/>
      <c r="M51" s="100"/>
      <c r="N51" s="100"/>
    </row>
    <row r="52" spans="2:14" s="98" customFormat="1">
      <c r="B52" s="99" t="s">
        <v>982</v>
      </c>
      <c r="C52" s="109">
        <v>46312</v>
      </c>
      <c r="D52" s="98" t="s">
        <v>811</v>
      </c>
      <c r="E52" s="103">
        <v>10004</v>
      </c>
      <c r="F52" s="98" t="s">
        <v>240</v>
      </c>
      <c r="G52" s="98" t="s">
        <v>374</v>
      </c>
      <c r="H52" s="98" t="s">
        <v>516</v>
      </c>
      <c r="I52" s="98" t="s">
        <v>270</v>
      </c>
      <c r="K52" s="100"/>
      <c r="L52" s="108"/>
      <c r="M52" s="100"/>
      <c r="N52" s="100"/>
    </row>
    <row r="53" spans="2:14" s="98" customFormat="1">
      <c r="B53" s="99" t="s">
        <v>982</v>
      </c>
      <c r="C53" s="109">
        <v>46312</v>
      </c>
      <c r="D53" s="98" t="s">
        <v>709</v>
      </c>
      <c r="E53" s="103">
        <v>2000</v>
      </c>
      <c r="F53" s="98" t="s">
        <v>240</v>
      </c>
      <c r="G53" s="98" t="s">
        <v>374</v>
      </c>
      <c r="H53" s="98" t="s">
        <v>516</v>
      </c>
      <c r="I53" s="98" t="s">
        <v>247</v>
      </c>
      <c r="K53" s="100"/>
      <c r="L53" s="108"/>
      <c r="M53" s="100"/>
      <c r="N53" s="100"/>
    </row>
    <row r="54" spans="2:14" s="98" customFormat="1">
      <c r="B54" s="99" t="s">
        <v>982</v>
      </c>
      <c r="C54" s="109">
        <v>46312</v>
      </c>
      <c r="D54" s="98" t="s">
        <v>770</v>
      </c>
      <c r="E54" s="103">
        <v>-7800</v>
      </c>
      <c r="F54" s="98" t="s">
        <v>239</v>
      </c>
      <c r="I54" s="98" t="s">
        <v>738</v>
      </c>
      <c r="K54" s="100"/>
      <c r="L54" s="108"/>
      <c r="M54" s="100"/>
      <c r="N54" s="100"/>
    </row>
    <row r="55" spans="2:14" s="98" customFormat="1">
      <c r="B55" s="99" t="s">
        <v>982</v>
      </c>
      <c r="C55" s="109">
        <v>46312</v>
      </c>
      <c r="D55" s="98" t="s">
        <v>802</v>
      </c>
      <c r="E55" s="103">
        <v>3280</v>
      </c>
      <c r="F55" s="98" t="s">
        <v>240</v>
      </c>
      <c r="G55" s="98" t="s">
        <v>374</v>
      </c>
      <c r="H55" s="98" t="s">
        <v>516</v>
      </c>
      <c r="I55" s="98" t="s">
        <v>247</v>
      </c>
      <c r="K55" s="100"/>
      <c r="L55" s="108"/>
      <c r="M55" s="100"/>
      <c r="N55" s="100"/>
    </row>
    <row r="56" spans="2:14" s="98" customFormat="1">
      <c r="B56" s="99" t="s">
        <v>982</v>
      </c>
      <c r="C56" s="109">
        <v>46312</v>
      </c>
      <c r="D56" s="98" t="s">
        <v>740</v>
      </c>
      <c r="E56" s="103">
        <v>-4</v>
      </c>
      <c r="F56" s="98" t="s">
        <v>239</v>
      </c>
      <c r="I56" s="98" t="s">
        <v>737</v>
      </c>
      <c r="K56" s="100"/>
      <c r="L56" s="108"/>
      <c r="M56" s="100"/>
      <c r="N56" s="100"/>
    </row>
    <row r="57" spans="2:14" s="98" customFormat="1">
      <c r="B57" s="99" t="s">
        <v>982</v>
      </c>
      <c r="C57" s="109">
        <v>46312</v>
      </c>
      <c r="D57" s="98" t="s">
        <v>702</v>
      </c>
      <c r="E57" s="103">
        <v>700</v>
      </c>
      <c r="F57" s="98" t="s">
        <v>240</v>
      </c>
      <c r="G57" s="98" t="s">
        <v>374</v>
      </c>
      <c r="H57" s="98" t="s">
        <v>516</v>
      </c>
      <c r="I57" s="98" t="s">
        <v>247</v>
      </c>
      <c r="K57" s="100"/>
      <c r="L57" s="108"/>
      <c r="M57" s="100"/>
      <c r="N57" s="100"/>
    </row>
    <row r="58" spans="2:14" s="98" customFormat="1">
      <c r="B58" s="99" t="s">
        <v>982</v>
      </c>
      <c r="C58" s="109">
        <v>46312</v>
      </c>
      <c r="D58" s="98" t="s">
        <v>770</v>
      </c>
      <c r="E58" s="103">
        <v>-5200</v>
      </c>
      <c r="F58" s="98" t="s">
        <v>239</v>
      </c>
      <c r="I58" s="98" t="s">
        <v>738</v>
      </c>
      <c r="K58" s="100"/>
      <c r="L58" s="108"/>
      <c r="M58" s="100"/>
      <c r="N58" s="100"/>
    </row>
    <row r="59" spans="2:14" s="98" customFormat="1">
      <c r="B59" s="99" t="s">
        <v>982</v>
      </c>
      <c r="C59" s="109">
        <v>46312</v>
      </c>
      <c r="D59" s="98" t="s">
        <v>740</v>
      </c>
      <c r="E59" s="103">
        <v>-75</v>
      </c>
      <c r="F59" s="98" t="s">
        <v>239</v>
      </c>
      <c r="I59" s="98" t="s">
        <v>737</v>
      </c>
      <c r="K59" s="100"/>
      <c r="L59" s="108"/>
      <c r="M59" s="100"/>
      <c r="N59" s="100"/>
    </row>
    <row r="60" spans="2:14" s="98" customFormat="1">
      <c r="B60" s="99" t="s">
        <v>982</v>
      </c>
      <c r="C60" s="109">
        <v>46312</v>
      </c>
      <c r="D60" s="98" t="s">
        <v>300</v>
      </c>
      <c r="E60" s="103">
        <v>15000</v>
      </c>
      <c r="F60" s="98" t="s">
        <v>240</v>
      </c>
      <c r="G60" s="98" t="s">
        <v>374</v>
      </c>
      <c r="H60" s="98" t="s">
        <v>516</v>
      </c>
      <c r="I60" s="98" t="s">
        <v>270</v>
      </c>
      <c r="K60" s="100"/>
      <c r="L60" s="108"/>
      <c r="M60" s="100"/>
      <c r="N60" s="100"/>
    </row>
    <row r="61" spans="2:14" s="98" customFormat="1">
      <c r="B61" s="99" t="s">
        <v>982</v>
      </c>
      <c r="C61" s="109">
        <v>46312</v>
      </c>
      <c r="D61" s="98" t="s">
        <v>740</v>
      </c>
      <c r="E61" s="103">
        <v>-1</v>
      </c>
      <c r="F61" s="98" t="s">
        <v>239</v>
      </c>
      <c r="I61" s="98" t="s">
        <v>737</v>
      </c>
      <c r="K61" s="100"/>
      <c r="L61" s="108"/>
      <c r="M61" s="100"/>
      <c r="N61" s="100"/>
    </row>
    <row r="62" spans="2:14" s="98" customFormat="1">
      <c r="B62" s="99" t="s">
        <v>982</v>
      </c>
      <c r="C62" s="109">
        <v>46312</v>
      </c>
      <c r="D62" s="98" t="s">
        <v>964</v>
      </c>
      <c r="E62" s="103">
        <v>250</v>
      </c>
      <c r="F62" s="98" t="s">
        <v>240</v>
      </c>
      <c r="G62" s="98" t="s">
        <v>374</v>
      </c>
      <c r="H62" s="98" t="s">
        <v>516</v>
      </c>
      <c r="I62" s="98" t="s">
        <v>247</v>
      </c>
      <c r="K62" s="100"/>
      <c r="L62" s="108"/>
      <c r="M62" s="100"/>
      <c r="N62" s="100"/>
    </row>
    <row r="63" spans="2:14" s="98" customFormat="1">
      <c r="B63" s="99" t="s">
        <v>982</v>
      </c>
      <c r="C63" s="109">
        <v>46312</v>
      </c>
      <c r="D63" s="98" t="s">
        <v>740</v>
      </c>
      <c r="E63" s="103">
        <v>-132</v>
      </c>
      <c r="F63" s="98" t="s">
        <v>239</v>
      </c>
      <c r="I63" s="98" t="s">
        <v>737</v>
      </c>
      <c r="K63" s="100"/>
      <c r="L63" s="108"/>
      <c r="M63" s="100"/>
      <c r="N63" s="100"/>
    </row>
    <row r="64" spans="2:14" s="98" customFormat="1">
      <c r="B64" s="99" t="s">
        <v>982</v>
      </c>
      <c r="C64" s="109">
        <v>46312</v>
      </c>
      <c r="D64" s="98" t="s">
        <v>784</v>
      </c>
      <c r="E64" s="103">
        <v>26320</v>
      </c>
      <c r="F64" s="98" t="s">
        <v>240</v>
      </c>
      <c r="G64" s="98" t="s">
        <v>374</v>
      </c>
      <c r="H64" s="98" t="s">
        <v>516</v>
      </c>
      <c r="I64" s="98" t="s">
        <v>245</v>
      </c>
      <c r="K64" s="100"/>
      <c r="L64" s="108"/>
      <c r="M64" s="100"/>
      <c r="N64" s="100"/>
    </row>
    <row r="65" spans="2:14" s="98" customFormat="1">
      <c r="B65" s="99" t="s">
        <v>982</v>
      </c>
      <c r="C65" s="109">
        <v>46311</v>
      </c>
      <c r="D65" s="98" t="s">
        <v>690</v>
      </c>
      <c r="E65" s="103">
        <v>-32007</v>
      </c>
      <c r="F65" s="98" t="s">
        <v>239</v>
      </c>
      <c r="I65" s="98" t="s">
        <v>738</v>
      </c>
      <c r="K65" s="100"/>
      <c r="L65" s="108"/>
      <c r="M65" s="100"/>
      <c r="N65" s="100"/>
    </row>
    <row r="66" spans="2:14" s="98" customFormat="1">
      <c r="B66" s="99" t="s">
        <v>982</v>
      </c>
      <c r="C66" s="109">
        <v>46311</v>
      </c>
      <c r="D66" s="98" t="s">
        <v>1011</v>
      </c>
      <c r="E66" s="103">
        <v>12990</v>
      </c>
      <c r="F66" s="98" t="s">
        <v>240</v>
      </c>
      <c r="G66" s="98" t="s">
        <v>374</v>
      </c>
      <c r="H66" s="98" t="s">
        <v>516</v>
      </c>
      <c r="I66" s="98" t="s">
        <v>245</v>
      </c>
      <c r="K66" s="100"/>
      <c r="L66" s="108"/>
      <c r="M66" s="100"/>
      <c r="N66" s="100"/>
    </row>
    <row r="67" spans="2:14" s="98" customFormat="1">
      <c r="B67" s="99" t="s">
        <v>982</v>
      </c>
      <c r="C67" s="109">
        <v>46311</v>
      </c>
      <c r="D67" s="98" t="s">
        <v>744</v>
      </c>
      <c r="E67" s="103">
        <v>-12</v>
      </c>
      <c r="F67" s="98" t="s">
        <v>239</v>
      </c>
      <c r="I67" s="98" t="s">
        <v>737</v>
      </c>
      <c r="K67" s="100"/>
      <c r="L67" s="108"/>
      <c r="M67" s="100"/>
      <c r="N67" s="100"/>
    </row>
    <row r="68" spans="2:14" s="98" customFormat="1">
      <c r="B68" s="99" t="s">
        <v>982</v>
      </c>
      <c r="C68" s="109">
        <v>46311</v>
      </c>
      <c r="D68" s="98" t="s">
        <v>740</v>
      </c>
      <c r="E68" s="103">
        <v>-23</v>
      </c>
      <c r="F68" s="98" t="s">
        <v>239</v>
      </c>
      <c r="I68" s="98" t="s">
        <v>737</v>
      </c>
      <c r="K68" s="100"/>
      <c r="L68" s="108"/>
      <c r="M68" s="100"/>
      <c r="N68" s="100"/>
    </row>
    <row r="69" spans="2:14" s="98" customFormat="1">
      <c r="B69" s="99" t="s">
        <v>982</v>
      </c>
      <c r="C69" s="109">
        <v>46311</v>
      </c>
      <c r="D69" s="98" t="s">
        <v>799</v>
      </c>
      <c r="E69" s="103">
        <v>4500</v>
      </c>
      <c r="F69" s="98" t="s">
        <v>240</v>
      </c>
      <c r="G69" s="98" t="s">
        <v>374</v>
      </c>
      <c r="H69" s="98" t="s">
        <v>516</v>
      </c>
      <c r="I69" s="98" t="s">
        <v>248</v>
      </c>
      <c r="K69" s="100"/>
      <c r="L69" s="108"/>
      <c r="M69" s="100"/>
      <c r="N69" s="100"/>
    </row>
    <row r="70" spans="2:14" s="98" customFormat="1">
      <c r="B70" s="99" t="s">
        <v>982</v>
      </c>
      <c r="C70" s="109">
        <v>46311</v>
      </c>
      <c r="D70" s="98" t="s">
        <v>740</v>
      </c>
      <c r="E70" s="103">
        <v>-103</v>
      </c>
      <c r="F70" s="98" t="s">
        <v>239</v>
      </c>
      <c r="I70" s="98" t="s">
        <v>737</v>
      </c>
      <c r="K70" s="100"/>
      <c r="L70" s="108"/>
      <c r="M70" s="100"/>
      <c r="N70" s="100"/>
    </row>
    <row r="71" spans="2:14" s="98" customFormat="1">
      <c r="B71" s="99" t="s">
        <v>982</v>
      </c>
      <c r="C71" s="109">
        <v>46311</v>
      </c>
      <c r="D71" s="98" t="s">
        <v>799</v>
      </c>
      <c r="E71" s="103">
        <v>20500</v>
      </c>
      <c r="F71" s="98" t="s">
        <v>240</v>
      </c>
      <c r="G71" s="98" t="s">
        <v>374</v>
      </c>
      <c r="H71" s="98" t="s">
        <v>516</v>
      </c>
      <c r="I71" s="98" t="s">
        <v>248</v>
      </c>
      <c r="K71" s="100"/>
      <c r="L71" s="108"/>
      <c r="M71" s="100"/>
      <c r="N71" s="100"/>
    </row>
    <row r="72" spans="2:14" s="98" customFormat="1">
      <c r="B72" s="99" t="s">
        <v>982</v>
      </c>
      <c r="C72" s="109">
        <v>46311</v>
      </c>
      <c r="D72" s="98" t="s">
        <v>740</v>
      </c>
      <c r="E72" s="103">
        <v>-11</v>
      </c>
      <c r="F72" s="98" t="s">
        <v>239</v>
      </c>
      <c r="I72" s="98" t="s">
        <v>737</v>
      </c>
      <c r="K72" s="100"/>
      <c r="L72" s="108"/>
      <c r="M72" s="100"/>
      <c r="N72" s="100"/>
    </row>
    <row r="73" spans="2:14" s="98" customFormat="1">
      <c r="B73" s="99" t="s">
        <v>982</v>
      </c>
      <c r="C73" s="109">
        <v>46311</v>
      </c>
      <c r="D73" s="98" t="s">
        <v>955</v>
      </c>
      <c r="E73" s="103">
        <v>2190</v>
      </c>
      <c r="F73" s="98" t="s">
        <v>240</v>
      </c>
      <c r="G73" s="98" t="s">
        <v>374</v>
      </c>
      <c r="H73" s="98" t="s">
        <v>516</v>
      </c>
      <c r="I73" s="98" t="s">
        <v>247</v>
      </c>
      <c r="K73" s="100"/>
      <c r="L73" s="108"/>
      <c r="M73" s="100"/>
      <c r="N73" s="100"/>
    </row>
    <row r="74" spans="2:14" s="98" customFormat="1">
      <c r="B74" s="99" t="s">
        <v>982</v>
      </c>
      <c r="C74" s="109">
        <v>46311</v>
      </c>
      <c r="D74" s="98" t="s">
        <v>740</v>
      </c>
      <c r="E74" s="103">
        <v>-22</v>
      </c>
      <c r="F74" s="98" t="s">
        <v>239</v>
      </c>
      <c r="I74" s="98" t="s">
        <v>737</v>
      </c>
      <c r="K74" s="100"/>
      <c r="L74" s="108"/>
      <c r="M74" s="100"/>
      <c r="N74" s="100"/>
    </row>
    <row r="75" spans="2:14" s="98" customFormat="1">
      <c r="B75" s="99" t="s">
        <v>982</v>
      </c>
      <c r="C75" s="109">
        <v>46311</v>
      </c>
      <c r="D75" s="98" t="s">
        <v>931</v>
      </c>
      <c r="E75" s="103">
        <v>4459</v>
      </c>
      <c r="F75" s="98" t="s">
        <v>240</v>
      </c>
      <c r="G75" s="98" t="s">
        <v>374</v>
      </c>
      <c r="H75" s="98" t="s">
        <v>513</v>
      </c>
      <c r="I75" s="98" t="s">
        <v>242</v>
      </c>
      <c r="K75" s="100"/>
      <c r="L75" s="108"/>
      <c r="M75" s="100"/>
      <c r="N75" s="100"/>
    </row>
    <row r="76" spans="2:14" s="98" customFormat="1">
      <c r="B76" s="99" t="s">
        <v>982</v>
      </c>
      <c r="C76" s="109">
        <v>46311</v>
      </c>
      <c r="D76" s="98" t="s">
        <v>1012</v>
      </c>
      <c r="E76" s="103">
        <v>108</v>
      </c>
      <c r="F76" s="98" t="s">
        <v>240</v>
      </c>
      <c r="G76" s="98" t="s">
        <v>374</v>
      </c>
      <c r="H76" s="98" t="s">
        <v>516</v>
      </c>
      <c r="I76" s="98" t="s">
        <v>247</v>
      </c>
      <c r="K76" s="100"/>
      <c r="L76" s="108"/>
      <c r="M76" s="100"/>
      <c r="N76" s="100"/>
    </row>
    <row r="77" spans="2:14" s="98" customFormat="1">
      <c r="B77" s="99" t="s">
        <v>982</v>
      </c>
      <c r="C77" s="109">
        <v>46311</v>
      </c>
      <c r="D77" s="98" t="s">
        <v>1012</v>
      </c>
      <c r="E77" s="103">
        <v>6096</v>
      </c>
      <c r="F77" s="98" t="s">
        <v>240</v>
      </c>
      <c r="G77" s="98" t="s">
        <v>374</v>
      </c>
      <c r="H77" s="98" t="s">
        <v>516</v>
      </c>
      <c r="I77" s="98" t="s">
        <v>247</v>
      </c>
      <c r="K77" s="100"/>
      <c r="L77" s="108"/>
      <c r="M77" s="100"/>
      <c r="N77" s="100"/>
    </row>
    <row r="78" spans="2:14" s="98" customFormat="1">
      <c r="B78" s="99" t="s">
        <v>982</v>
      </c>
      <c r="C78" s="109">
        <v>46311</v>
      </c>
      <c r="D78" s="98" t="s">
        <v>1011</v>
      </c>
      <c r="E78" s="103">
        <v>14622</v>
      </c>
      <c r="F78" s="98" t="s">
        <v>240</v>
      </c>
      <c r="G78" s="98" t="s">
        <v>374</v>
      </c>
      <c r="H78" s="98" t="s">
        <v>516</v>
      </c>
      <c r="I78" s="98" t="s">
        <v>245</v>
      </c>
      <c r="K78" s="100"/>
      <c r="L78" s="108"/>
      <c r="M78" s="100"/>
      <c r="N78" s="100"/>
    </row>
    <row r="79" spans="2:14" s="98" customFormat="1">
      <c r="B79" s="99" t="s">
        <v>982</v>
      </c>
      <c r="C79" s="109">
        <v>46311</v>
      </c>
      <c r="D79" s="98" t="s">
        <v>740</v>
      </c>
      <c r="E79" s="103">
        <v>-5</v>
      </c>
      <c r="F79" s="98" t="s">
        <v>239</v>
      </c>
      <c r="I79" s="98" t="s">
        <v>737</v>
      </c>
      <c r="K79" s="100"/>
      <c r="L79" s="108"/>
      <c r="M79" s="100"/>
      <c r="N79" s="100"/>
    </row>
    <row r="80" spans="2:14" s="98" customFormat="1">
      <c r="B80" s="99" t="s">
        <v>982</v>
      </c>
      <c r="C80" s="109">
        <v>46311</v>
      </c>
      <c r="D80" s="98" t="s">
        <v>748</v>
      </c>
      <c r="E80" s="103">
        <v>1000</v>
      </c>
      <c r="F80" s="98" t="s">
        <v>240</v>
      </c>
      <c r="G80" s="98" t="s">
        <v>374</v>
      </c>
      <c r="H80" s="98" t="s">
        <v>516</v>
      </c>
      <c r="I80" s="98" t="s">
        <v>247</v>
      </c>
      <c r="K80" s="100"/>
      <c r="L80" s="108"/>
      <c r="M80" s="100"/>
      <c r="N80" s="100"/>
    </row>
    <row r="81" spans="2:14" s="98" customFormat="1">
      <c r="B81" s="99" t="s">
        <v>982</v>
      </c>
      <c r="C81" s="109">
        <v>46311</v>
      </c>
      <c r="D81" s="98" t="s">
        <v>740</v>
      </c>
      <c r="E81" s="103">
        <v>-9</v>
      </c>
      <c r="F81" s="98" t="s">
        <v>239</v>
      </c>
      <c r="I81" s="98" t="s">
        <v>737</v>
      </c>
      <c r="K81" s="100"/>
      <c r="L81" s="108"/>
      <c r="M81" s="100"/>
      <c r="N81" s="100"/>
    </row>
    <row r="82" spans="2:14" s="98" customFormat="1">
      <c r="B82" s="99" t="s">
        <v>982</v>
      </c>
      <c r="C82" s="109">
        <v>46311</v>
      </c>
      <c r="D82" s="98" t="s">
        <v>931</v>
      </c>
      <c r="E82" s="103">
        <v>1700</v>
      </c>
      <c r="F82" s="98" t="s">
        <v>240</v>
      </c>
      <c r="G82" s="98" t="s">
        <v>374</v>
      </c>
      <c r="H82" s="98" t="s">
        <v>516</v>
      </c>
      <c r="I82" s="98" t="s">
        <v>247</v>
      </c>
      <c r="K82" s="100"/>
      <c r="L82" s="108"/>
      <c r="M82" s="100"/>
      <c r="N82" s="100"/>
    </row>
    <row r="83" spans="2:14" s="98" customFormat="1">
      <c r="B83" s="99" t="s">
        <v>982</v>
      </c>
      <c r="C83" s="109">
        <v>46311</v>
      </c>
      <c r="D83" s="98" t="s">
        <v>711</v>
      </c>
      <c r="E83" s="103">
        <v>9866</v>
      </c>
      <c r="F83" s="98" t="s">
        <v>240</v>
      </c>
      <c r="G83" s="98" t="s">
        <v>374</v>
      </c>
      <c r="H83" s="98" t="s">
        <v>516</v>
      </c>
      <c r="I83" s="98" t="s">
        <v>270</v>
      </c>
      <c r="K83" s="100"/>
      <c r="L83" s="108"/>
      <c r="M83" s="100"/>
      <c r="N83" s="100"/>
    </row>
    <row r="84" spans="2:14" s="98" customFormat="1">
      <c r="B84" s="99" t="s">
        <v>982</v>
      </c>
      <c r="C84" s="109">
        <v>46310</v>
      </c>
      <c r="D84" s="98" t="s">
        <v>744</v>
      </c>
      <c r="E84" s="103">
        <v>-4</v>
      </c>
      <c r="F84" s="98" t="s">
        <v>239</v>
      </c>
      <c r="I84" s="98" t="s">
        <v>737</v>
      </c>
      <c r="K84" s="100"/>
      <c r="L84" s="108"/>
      <c r="M84" s="100"/>
      <c r="N84" s="100"/>
    </row>
    <row r="85" spans="2:14" s="98" customFormat="1">
      <c r="B85" s="99" t="s">
        <v>982</v>
      </c>
      <c r="C85" s="109">
        <v>46310</v>
      </c>
      <c r="D85" s="98" t="s">
        <v>740</v>
      </c>
      <c r="E85" s="103">
        <v>-25</v>
      </c>
      <c r="F85" s="98" t="s">
        <v>239</v>
      </c>
      <c r="I85" s="98" t="s">
        <v>737</v>
      </c>
      <c r="K85" s="100"/>
      <c r="L85" s="108"/>
      <c r="M85" s="100"/>
      <c r="N85" s="100"/>
    </row>
    <row r="86" spans="2:14" s="98" customFormat="1">
      <c r="B86" s="99" t="s">
        <v>982</v>
      </c>
      <c r="C86" s="109">
        <v>46310</v>
      </c>
      <c r="D86" s="98" t="s">
        <v>936</v>
      </c>
      <c r="E86" s="103">
        <v>4990</v>
      </c>
      <c r="F86" s="98" t="s">
        <v>240</v>
      </c>
      <c r="G86" s="98" t="s">
        <v>374</v>
      </c>
      <c r="H86" s="98" t="s">
        <v>516</v>
      </c>
      <c r="I86" s="98" t="s">
        <v>247</v>
      </c>
      <c r="K86" s="100"/>
      <c r="L86" s="108"/>
      <c r="M86" s="100"/>
      <c r="N86" s="100"/>
    </row>
    <row r="87" spans="2:14" s="98" customFormat="1">
      <c r="B87" s="99" t="s">
        <v>982</v>
      </c>
      <c r="C87" s="109">
        <v>46310</v>
      </c>
      <c r="D87" s="98" t="s">
        <v>740</v>
      </c>
      <c r="E87" s="103">
        <v>-21</v>
      </c>
      <c r="F87" s="98" t="s">
        <v>239</v>
      </c>
      <c r="I87" s="98" t="s">
        <v>737</v>
      </c>
      <c r="K87" s="100"/>
      <c r="L87" s="108"/>
      <c r="M87" s="100"/>
      <c r="N87" s="100"/>
    </row>
    <row r="88" spans="2:14" s="98" customFormat="1">
      <c r="B88" s="99" t="s">
        <v>982</v>
      </c>
      <c r="C88" s="109">
        <v>46310</v>
      </c>
      <c r="D88" s="98" t="s">
        <v>783</v>
      </c>
      <c r="E88" s="103">
        <v>4150</v>
      </c>
      <c r="F88" s="98" t="s">
        <v>240</v>
      </c>
      <c r="G88" s="98" t="s">
        <v>374</v>
      </c>
      <c r="H88" s="98" t="s">
        <v>516</v>
      </c>
      <c r="I88" s="98" t="s">
        <v>247</v>
      </c>
      <c r="K88" s="100"/>
      <c r="L88" s="108"/>
      <c r="M88" s="100"/>
      <c r="N88" s="100"/>
    </row>
    <row r="89" spans="2:14" s="98" customFormat="1">
      <c r="B89" s="99" t="s">
        <v>982</v>
      </c>
      <c r="C89" s="109">
        <v>46310</v>
      </c>
      <c r="D89" s="98" t="s">
        <v>740</v>
      </c>
      <c r="E89" s="103">
        <v>-22</v>
      </c>
      <c r="F89" s="98" t="s">
        <v>239</v>
      </c>
      <c r="I89" s="98" t="s">
        <v>737</v>
      </c>
      <c r="K89" s="100"/>
      <c r="L89" s="108"/>
      <c r="M89" s="100"/>
      <c r="N89" s="100"/>
    </row>
    <row r="90" spans="2:14" s="98" customFormat="1">
      <c r="B90" s="99" t="s">
        <v>982</v>
      </c>
      <c r="C90" s="109">
        <v>46310</v>
      </c>
      <c r="D90" s="98" t="s">
        <v>1013</v>
      </c>
      <c r="E90" s="103">
        <v>4459</v>
      </c>
      <c r="F90" s="98" t="s">
        <v>240</v>
      </c>
      <c r="G90" s="98" t="s">
        <v>374</v>
      </c>
      <c r="H90" s="98" t="s">
        <v>513</v>
      </c>
      <c r="I90" s="98" t="s">
        <v>242</v>
      </c>
      <c r="K90" s="100"/>
      <c r="L90" s="108"/>
      <c r="M90" s="100"/>
      <c r="N90" s="100"/>
    </row>
    <row r="91" spans="2:14" s="98" customFormat="1">
      <c r="B91" s="99" t="s">
        <v>982</v>
      </c>
      <c r="C91" s="109">
        <v>46310</v>
      </c>
      <c r="D91" s="98" t="s">
        <v>740</v>
      </c>
      <c r="E91" s="103">
        <v>-3</v>
      </c>
      <c r="F91" s="98" t="s">
        <v>239</v>
      </c>
      <c r="I91" s="98" t="s">
        <v>737</v>
      </c>
      <c r="K91" s="100"/>
      <c r="L91" s="108"/>
      <c r="M91" s="100"/>
      <c r="N91" s="100"/>
    </row>
    <row r="92" spans="2:14" s="98" customFormat="1">
      <c r="B92" s="99" t="s">
        <v>982</v>
      </c>
      <c r="C92" s="109">
        <v>46310</v>
      </c>
      <c r="D92" s="98" t="s">
        <v>748</v>
      </c>
      <c r="E92" s="103">
        <v>650</v>
      </c>
      <c r="F92" s="98" t="s">
        <v>240</v>
      </c>
      <c r="G92" s="98" t="s">
        <v>374</v>
      </c>
      <c r="H92" s="98" t="s">
        <v>516</v>
      </c>
      <c r="I92" s="98" t="s">
        <v>247</v>
      </c>
      <c r="K92" s="100"/>
      <c r="L92" s="108"/>
      <c r="M92" s="100"/>
      <c r="N92" s="100"/>
    </row>
    <row r="93" spans="2:14" s="98" customFormat="1">
      <c r="B93" s="99" t="s">
        <v>982</v>
      </c>
      <c r="C93" s="109">
        <v>46309</v>
      </c>
      <c r="D93" s="98" t="s">
        <v>740</v>
      </c>
      <c r="E93" s="103">
        <v>-450</v>
      </c>
      <c r="F93" s="98" t="s">
        <v>239</v>
      </c>
      <c r="I93" s="98" t="s">
        <v>737</v>
      </c>
      <c r="K93" s="100"/>
      <c r="L93" s="108"/>
      <c r="M93" s="100"/>
      <c r="N93" s="100"/>
    </row>
    <row r="94" spans="2:14" s="98" customFormat="1">
      <c r="B94" s="99" t="s">
        <v>982</v>
      </c>
      <c r="C94" s="109">
        <v>46309</v>
      </c>
      <c r="D94" s="98" t="s">
        <v>742</v>
      </c>
      <c r="E94" s="103">
        <v>14990</v>
      </c>
      <c r="F94" s="98" t="s">
        <v>240</v>
      </c>
      <c r="G94" s="98" t="s">
        <v>374</v>
      </c>
      <c r="H94" s="98" t="s">
        <v>513</v>
      </c>
      <c r="I94" s="98" t="s">
        <v>269</v>
      </c>
      <c r="K94" s="100"/>
      <c r="L94" s="108"/>
      <c r="M94" s="100"/>
      <c r="N94" s="100"/>
    </row>
    <row r="95" spans="2:14" s="98" customFormat="1">
      <c r="B95" s="99" t="s">
        <v>982</v>
      </c>
      <c r="C95" s="109">
        <v>46309</v>
      </c>
      <c r="D95" s="98" t="s">
        <v>854</v>
      </c>
      <c r="E95" s="103">
        <v>14849</v>
      </c>
      <c r="F95" s="98" t="s">
        <v>240</v>
      </c>
      <c r="G95" s="98" t="s">
        <v>374</v>
      </c>
      <c r="H95" s="98" t="s">
        <v>516</v>
      </c>
      <c r="I95" s="98" t="s">
        <v>270</v>
      </c>
      <c r="K95" s="100"/>
      <c r="L95" s="108"/>
      <c r="M95" s="100"/>
      <c r="N95" s="100"/>
    </row>
    <row r="96" spans="2:14" s="98" customFormat="1">
      <c r="B96" s="99" t="s">
        <v>982</v>
      </c>
      <c r="C96" s="109">
        <v>46309</v>
      </c>
      <c r="D96" s="98" t="s">
        <v>690</v>
      </c>
      <c r="E96" s="103">
        <v>-86206</v>
      </c>
      <c r="F96" s="98" t="s">
        <v>239</v>
      </c>
      <c r="I96" s="98" t="s">
        <v>738</v>
      </c>
      <c r="K96" s="100"/>
      <c r="L96" s="108"/>
      <c r="M96" s="100"/>
      <c r="N96" s="100"/>
    </row>
    <row r="97" spans="2:14" s="98" customFormat="1">
      <c r="B97" s="99" t="s">
        <v>982</v>
      </c>
      <c r="C97" s="109">
        <v>46309</v>
      </c>
      <c r="D97" s="98" t="s">
        <v>744</v>
      </c>
      <c r="E97" s="103">
        <v>-4</v>
      </c>
      <c r="F97" s="98" t="s">
        <v>239</v>
      </c>
      <c r="I97" s="98" t="s">
        <v>737</v>
      </c>
      <c r="K97" s="100"/>
      <c r="L97" s="108"/>
      <c r="M97" s="100"/>
      <c r="N97" s="100"/>
    </row>
    <row r="98" spans="2:14" s="98" customFormat="1">
      <c r="B98" s="99" t="s">
        <v>982</v>
      </c>
      <c r="C98" s="109">
        <v>46309</v>
      </c>
      <c r="D98" s="98" t="s">
        <v>740</v>
      </c>
      <c r="E98" s="103">
        <v>-12</v>
      </c>
      <c r="F98" s="98" t="s">
        <v>239</v>
      </c>
      <c r="I98" s="98" t="s">
        <v>737</v>
      </c>
      <c r="K98" s="100"/>
      <c r="L98" s="108"/>
      <c r="M98" s="100"/>
      <c r="N98" s="100"/>
    </row>
    <row r="99" spans="2:14" s="98" customFormat="1">
      <c r="B99" s="99" t="s">
        <v>982</v>
      </c>
      <c r="C99" s="109">
        <v>46309</v>
      </c>
      <c r="D99" s="98" t="s">
        <v>936</v>
      </c>
      <c r="E99" s="103">
        <v>2490</v>
      </c>
      <c r="F99" s="98" t="s">
        <v>240</v>
      </c>
      <c r="G99" s="98" t="s">
        <v>374</v>
      </c>
      <c r="H99" s="98" t="s">
        <v>516</v>
      </c>
      <c r="I99" s="98" t="s">
        <v>247</v>
      </c>
      <c r="K99" s="100"/>
      <c r="L99" s="108"/>
      <c r="M99" s="100"/>
      <c r="N99" s="100"/>
    </row>
    <row r="100" spans="2:14" s="98" customFormat="1">
      <c r="B100" s="99" t="s">
        <v>982</v>
      </c>
      <c r="C100" s="109">
        <v>46309</v>
      </c>
      <c r="D100" s="98" t="s">
        <v>740</v>
      </c>
      <c r="E100" s="103">
        <v>-15</v>
      </c>
      <c r="F100" s="98" t="s">
        <v>239</v>
      </c>
      <c r="I100" s="98" t="s">
        <v>737</v>
      </c>
      <c r="K100" s="100"/>
      <c r="L100" s="108"/>
      <c r="M100" s="100"/>
      <c r="N100" s="100"/>
    </row>
    <row r="101" spans="2:14" s="98" customFormat="1">
      <c r="B101" s="99" t="s">
        <v>982</v>
      </c>
      <c r="C101" s="109">
        <v>46309</v>
      </c>
      <c r="D101" s="98" t="s">
        <v>771</v>
      </c>
      <c r="E101" s="103">
        <v>2990</v>
      </c>
      <c r="F101" s="98" t="s">
        <v>240</v>
      </c>
      <c r="G101" s="98" t="s">
        <v>374</v>
      </c>
      <c r="H101" s="98" t="s">
        <v>516</v>
      </c>
      <c r="I101" s="98" t="s">
        <v>243</v>
      </c>
      <c r="K101" s="100"/>
      <c r="L101" s="108"/>
      <c r="M101" s="100"/>
      <c r="N101" s="100"/>
    </row>
    <row r="102" spans="2:14" s="98" customFormat="1">
      <c r="B102" s="99" t="s">
        <v>982</v>
      </c>
      <c r="C102" s="109">
        <v>46309</v>
      </c>
      <c r="D102" s="98" t="s">
        <v>740</v>
      </c>
      <c r="E102" s="103">
        <v>-4</v>
      </c>
      <c r="F102" s="98" t="s">
        <v>239</v>
      </c>
      <c r="I102" s="98" t="s">
        <v>737</v>
      </c>
      <c r="K102" s="100"/>
      <c r="L102" s="108"/>
      <c r="M102" s="100"/>
      <c r="N102" s="100"/>
    </row>
    <row r="103" spans="2:14" s="98" customFormat="1">
      <c r="B103" s="99" t="s">
        <v>982</v>
      </c>
      <c r="C103" s="109">
        <v>46309</v>
      </c>
      <c r="D103" s="98" t="s">
        <v>702</v>
      </c>
      <c r="E103" s="103">
        <v>700</v>
      </c>
      <c r="F103" s="98" t="s">
        <v>240</v>
      </c>
      <c r="G103" s="98" t="s">
        <v>374</v>
      </c>
      <c r="H103" s="98" t="s">
        <v>516</v>
      </c>
      <c r="I103" s="98" t="s">
        <v>247</v>
      </c>
      <c r="K103" s="100"/>
      <c r="L103" s="108"/>
      <c r="M103" s="100"/>
      <c r="N103" s="100"/>
    </row>
    <row r="104" spans="2:14" s="98" customFormat="1">
      <c r="B104" s="99" t="s">
        <v>982</v>
      </c>
      <c r="C104" s="109">
        <v>46309</v>
      </c>
      <c r="D104" s="98" t="s">
        <v>740</v>
      </c>
      <c r="E104" s="103">
        <v>-13</v>
      </c>
      <c r="F104" s="98" t="s">
        <v>239</v>
      </c>
      <c r="I104" s="98" t="s">
        <v>737</v>
      </c>
      <c r="K104" s="100"/>
      <c r="L104" s="108"/>
      <c r="M104" s="100"/>
      <c r="N104" s="100"/>
    </row>
    <row r="105" spans="2:14" s="98" customFormat="1">
      <c r="B105" s="99" t="s">
        <v>982</v>
      </c>
      <c r="C105" s="109">
        <v>46309</v>
      </c>
      <c r="D105" s="98" t="s">
        <v>784</v>
      </c>
      <c r="E105" s="103">
        <v>2590</v>
      </c>
      <c r="F105" s="98" t="s">
        <v>240</v>
      </c>
      <c r="G105" s="98" t="s">
        <v>374</v>
      </c>
      <c r="H105" s="98" t="s">
        <v>516</v>
      </c>
      <c r="I105" s="98" t="s">
        <v>247</v>
      </c>
      <c r="K105" s="100"/>
      <c r="L105" s="108"/>
      <c r="M105" s="100"/>
      <c r="N105" s="100"/>
    </row>
    <row r="106" spans="2:14" s="98" customFormat="1">
      <c r="B106" s="99" t="s">
        <v>982</v>
      </c>
      <c r="C106" s="109">
        <v>46309</v>
      </c>
      <c r="D106" s="98" t="s">
        <v>854</v>
      </c>
      <c r="E106" s="103">
        <v>9900</v>
      </c>
      <c r="F106" s="98" t="s">
        <v>240</v>
      </c>
      <c r="G106" s="98" t="s">
        <v>374</v>
      </c>
      <c r="H106" s="98" t="s">
        <v>516</v>
      </c>
      <c r="I106" s="98" t="s">
        <v>270</v>
      </c>
      <c r="K106" s="100"/>
      <c r="L106" s="108"/>
      <c r="M106" s="100"/>
      <c r="N106" s="100"/>
    </row>
    <row r="107" spans="2:14" s="98" customFormat="1">
      <c r="B107" s="99" t="s">
        <v>982</v>
      </c>
      <c r="C107" s="109">
        <v>46309</v>
      </c>
      <c r="D107" s="98" t="s">
        <v>770</v>
      </c>
      <c r="E107" s="103">
        <v>-10470</v>
      </c>
      <c r="F107" s="98" t="s">
        <v>239</v>
      </c>
      <c r="I107" s="98" t="s">
        <v>738</v>
      </c>
      <c r="K107" s="100"/>
      <c r="L107" s="108"/>
      <c r="M107" s="100"/>
      <c r="N107" s="100"/>
    </row>
    <row r="108" spans="2:14" s="98" customFormat="1">
      <c r="B108" s="99" t="s">
        <v>982</v>
      </c>
      <c r="C108" s="109">
        <v>46309</v>
      </c>
      <c r="D108" s="98" t="s">
        <v>740</v>
      </c>
      <c r="E108" s="103">
        <v>-175</v>
      </c>
      <c r="F108" s="98" t="s">
        <v>239</v>
      </c>
      <c r="I108" s="98" t="s">
        <v>737</v>
      </c>
      <c r="K108" s="100"/>
      <c r="L108" s="108"/>
      <c r="M108" s="100"/>
      <c r="N108" s="100"/>
    </row>
    <row r="109" spans="2:14" s="98" customFormat="1">
      <c r="B109" s="99" t="s">
        <v>982</v>
      </c>
      <c r="C109" s="109">
        <v>46309</v>
      </c>
      <c r="D109" s="98" t="s">
        <v>785</v>
      </c>
      <c r="E109" s="103">
        <v>35073</v>
      </c>
      <c r="F109" s="98" t="s">
        <v>240</v>
      </c>
      <c r="G109" s="98" t="s">
        <v>374</v>
      </c>
      <c r="H109" s="98" t="s">
        <v>516</v>
      </c>
      <c r="I109" s="98" t="s">
        <v>245</v>
      </c>
      <c r="K109" s="100"/>
      <c r="L109" s="108"/>
      <c r="M109" s="100"/>
      <c r="N109" s="100"/>
    </row>
    <row r="110" spans="2:14" s="98" customFormat="1">
      <c r="B110" s="99" t="s">
        <v>982</v>
      </c>
      <c r="C110" s="109">
        <v>46309</v>
      </c>
      <c r="D110" s="98" t="s">
        <v>854</v>
      </c>
      <c r="E110" s="103">
        <v>2590</v>
      </c>
      <c r="F110" s="98" t="s">
        <v>240</v>
      </c>
      <c r="G110" s="98" t="s">
        <v>374</v>
      </c>
      <c r="H110" s="98" t="s">
        <v>516</v>
      </c>
      <c r="I110" s="98" t="s">
        <v>247</v>
      </c>
      <c r="K110" s="100"/>
      <c r="L110" s="108"/>
      <c r="M110" s="100"/>
      <c r="N110" s="100"/>
    </row>
    <row r="111" spans="2:14" s="98" customFormat="1">
      <c r="B111" s="99" t="s">
        <v>982</v>
      </c>
      <c r="C111" s="109">
        <v>46308</v>
      </c>
      <c r="D111" s="98" t="s">
        <v>690</v>
      </c>
      <c r="E111" s="103">
        <v>-21186</v>
      </c>
      <c r="F111" s="98" t="s">
        <v>239</v>
      </c>
      <c r="I111" s="98" t="s">
        <v>738</v>
      </c>
      <c r="K111" s="100"/>
      <c r="L111" s="108"/>
      <c r="M111" s="100"/>
      <c r="N111" s="100"/>
    </row>
    <row r="112" spans="2:14" s="98" customFormat="1">
      <c r="B112" s="99" t="s">
        <v>982</v>
      </c>
      <c r="C112" s="109">
        <v>46308</v>
      </c>
      <c r="D112" s="98" t="s">
        <v>744</v>
      </c>
      <c r="E112" s="103">
        <v>-12</v>
      </c>
      <c r="F112" s="98" t="s">
        <v>239</v>
      </c>
      <c r="I112" s="98" t="s">
        <v>737</v>
      </c>
      <c r="K112" s="100"/>
      <c r="L112" s="108"/>
      <c r="M112" s="100"/>
      <c r="N112" s="100"/>
    </row>
    <row r="113" spans="2:14" s="98" customFormat="1">
      <c r="B113" s="99" t="s">
        <v>982</v>
      </c>
      <c r="C113" s="109">
        <v>46308</v>
      </c>
      <c r="D113" s="98" t="s">
        <v>711</v>
      </c>
      <c r="E113" s="103">
        <v>14803</v>
      </c>
      <c r="F113" s="98" t="s">
        <v>240</v>
      </c>
      <c r="G113" s="98" t="s">
        <v>374</v>
      </c>
      <c r="H113" s="98" t="s">
        <v>516</v>
      </c>
      <c r="I113" s="98" t="s">
        <v>270</v>
      </c>
      <c r="K113" s="100"/>
      <c r="L113" s="108"/>
      <c r="M113" s="100"/>
      <c r="N113" s="100"/>
    </row>
    <row r="114" spans="2:14" s="98" customFormat="1">
      <c r="B114" s="99" t="s">
        <v>982</v>
      </c>
      <c r="C114" s="109">
        <v>46308</v>
      </c>
      <c r="D114" s="98" t="s">
        <v>740</v>
      </c>
      <c r="E114" s="103">
        <v>-22</v>
      </c>
      <c r="F114" s="98" t="s">
        <v>239</v>
      </c>
      <c r="I114" s="98" t="s">
        <v>737</v>
      </c>
      <c r="K114" s="100"/>
      <c r="L114" s="108"/>
      <c r="M114" s="100"/>
      <c r="N114" s="100"/>
    </row>
    <row r="115" spans="2:14" s="98" customFormat="1">
      <c r="B115" s="99" t="s">
        <v>982</v>
      </c>
      <c r="C115" s="109">
        <v>46308</v>
      </c>
      <c r="D115" s="98" t="s">
        <v>931</v>
      </c>
      <c r="E115" s="103">
        <v>4459</v>
      </c>
      <c r="F115" s="98" t="s">
        <v>240</v>
      </c>
      <c r="G115" s="98" t="s">
        <v>374</v>
      </c>
      <c r="H115" s="98" t="s">
        <v>513</v>
      </c>
      <c r="I115" s="98" t="s">
        <v>242</v>
      </c>
      <c r="K115" s="100"/>
      <c r="L115" s="108"/>
      <c r="M115" s="100"/>
      <c r="N115" s="100"/>
    </row>
    <row r="116" spans="2:14" s="98" customFormat="1">
      <c r="B116" s="99" t="s">
        <v>982</v>
      </c>
      <c r="C116" s="109">
        <v>46308</v>
      </c>
      <c r="D116" s="98" t="s">
        <v>740</v>
      </c>
      <c r="E116" s="103">
        <v>-3</v>
      </c>
      <c r="F116" s="98" t="s">
        <v>239</v>
      </c>
      <c r="I116" s="98" t="s">
        <v>737</v>
      </c>
      <c r="K116" s="100"/>
      <c r="L116" s="108"/>
      <c r="M116" s="100"/>
      <c r="N116" s="100"/>
    </row>
    <row r="117" spans="2:14" s="98" customFormat="1">
      <c r="B117" s="99" t="s">
        <v>982</v>
      </c>
      <c r="C117" s="109">
        <v>46308</v>
      </c>
      <c r="D117" s="98" t="s">
        <v>748</v>
      </c>
      <c r="E117" s="103">
        <v>650</v>
      </c>
      <c r="F117" s="98" t="s">
        <v>240</v>
      </c>
      <c r="G117" s="98" t="s">
        <v>374</v>
      </c>
      <c r="H117" s="98" t="s">
        <v>516</v>
      </c>
      <c r="I117" s="98" t="s">
        <v>247</v>
      </c>
      <c r="K117" s="100"/>
      <c r="L117" s="108"/>
      <c r="M117" s="100"/>
      <c r="N117" s="100"/>
    </row>
    <row r="118" spans="2:14" s="98" customFormat="1">
      <c r="B118" s="99" t="s">
        <v>982</v>
      </c>
      <c r="C118" s="109">
        <v>46307</v>
      </c>
      <c r="D118" s="98" t="s">
        <v>770</v>
      </c>
      <c r="E118" s="103">
        <v>-5100</v>
      </c>
      <c r="F118" s="98" t="s">
        <v>239</v>
      </c>
      <c r="I118" s="98" t="s">
        <v>738</v>
      </c>
      <c r="K118" s="100"/>
      <c r="L118" s="108"/>
      <c r="M118" s="100"/>
      <c r="N118" s="100"/>
    </row>
    <row r="119" spans="2:14" s="98" customFormat="1">
      <c r="B119" s="99" t="s">
        <v>982</v>
      </c>
      <c r="C119" s="109">
        <v>46307</v>
      </c>
      <c r="D119" s="98" t="s">
        <v>740</v>
      </c>
      <c r="E119" s="103">
        <v>-235</v>
      </c>
      <c r="F119" s="98" t="s">
        <v>239</v>
      </c>
      <c r="I119" s="98" t="s">
        <v>737</v>
      </c>
      <c r="K119" s="100"/>
      <c r="L119" s="108"/>
      <c r="M119" s="100"/>
      <c r="N119" s="100"/>
    </row>
    <row r="120" spans="2:14" s="98" customFormat="1">
      <c r="B120" s="99" t="s">
        <v>982</v>
      </c>
      <c r="C120" s="109">
        <v>46307</v>
      </c>
      <c r="D120" s="98" t="s">
        <v>740</v>
      </c>
      <c r="E120" s="103">
        <v>-13</v>
      </c>
      <c r="F120" s="98" t="s">
        <v>239</v>
      </c>
      <c r="I120" s="98" t="s">
        <v>737</v>
      </c>
      <c r="K120" s="100"/>
      <c r="L120" s="108"/>
      <c r="M120" s="100"/>
      <c r="N120" s="100"/>
    </row>
    <row r="121" spans="2:14" s="98" customFormat="1">
      <c r="B121" s="99" t="s">
        <v>982</v>
      </c>
      <c r="C121" s="109">
        <v>46307</v>
      </c>
      <c r="D121" s="98" t="s">
        <v>1000</v>
      </c>
      <c r="E121" s="103">
        <v>2514</v>
      </c>
      <c r="F121" s="98" t="s">
        <v>240</v>
      </c>
      <c r="G121" s="98" t="s">
        <v>374</v>
      </c>
      <c r="H121" s="98" t="s">
        <v>516</v>
      </c>
      <c r="I121" s="98" t="s">
        <v>247</v>
      </c>
      <c r="K121" s="100"/>
      <c r="L121" s="108"/>
      <c r="M121" s="100"/>
      <c r="N121" s="100"/>
    </row>
    <row r="122" spans="2:14" s="98" customFormat="1">
      <c r="B122" s="99" t="s">
        <v>982</v>
      </c>
      <c r="C122" s="109">
        <v>46307</v>
      </c>
      <c r="D122" s="98" t="s">
        <v>802</v>
      </c>
      <c r="E122" s="103">
        <v>3280</v>
      </c>
      <c r="F122" s="98" t="s">
        <v>240</v>
      </c>
      <c r="G122" s="98" t="s">
        <v>374</v>
      </c>
      <c r="H122" s="98" t="s">
        <v>516</v>
      </c>
      <c r="I122" s="98" t="s">
        <v>247</v>
      </c>
      <c r="K122" s="100"/>
      <c r="L122" s="108"/>
      <c r="M122" s="100"/>
      <c r="N122" s="100"/>
    </row>
    <row r="123" spans="2:14" s="98" customFormat="1">
      <c r="B123" s="99" t="s">
        <v>982</v>
      </c>
      <c r="C123" s="109">
        <v>46307</v>
      </c>
      <c r="D123" s="98" t="s">
        <v>709</v>
      </c>
      <c r="E123" s="103">
        <v>29200</v>
      </c>
      <c r="F123" s="98" t="s">
        <v>240</v>
      </c>
      <c r="G123" s="98" t="s">
        <v>374</v>
      </c>
      <c r="H123" s="98" t="s">
        <v>516</v>
      </c>
      <c r="I123" s="98" t="s">
        <v>609</v>
      </c>
      <c r="K123" s="100"/>
      <c r="L123" s="108"/>
      <c r="M123" s="100"/>
      <c r="N123" s="100"/>
    </row>
    <row r="124" spans="2:14" s="98" customFormat="1">
      <c r="B124" s="99" t="s">
        <v>982</v>
      </c>
      <c r="C124" s="109">
        <v>46307</v>
      </c>
      <c r="D124" s="98" t="s">
        <v>840</v>
      </c>
      <c r="E124" s="103">
        <v>46950</v>
      </c>
      <c r="F124" s="98" t="s">
        <v>240</v>
      </c>
      <c r="G124" s="98" t="s">
        <v>374</v>
      </c>
      <c r="H124" s="98" t="s">
        <v>516</v>
      </c>
      <c r="I124" s="98" t="s">
        <v>245</v>
      </c>
      <c r="K124" s="100"/>
      <c r="L124" s="108"/>
      <c r="M124" s="100"/>
      <c r="N124" s="100"/>
    </row>
    <row r="125" spans="2:14" s="98" customFormat="1">
      <c r="B125" s="99" t="s">
        <v>982</v>
      </c>
      <c r="C125" s="109">
        <v>46306</v>
      </c>
      <c r="D125" s="98" t="s">
        <v>740</v>
      </c>
      <c r="E125" s="103">
        <v>-464</v>
      </c>
      <c r="F125" s="98" t="s">
        <v>239</v>
      </c>
      <c r="I125" s="98" t="s">
        <v>737</v>
      </c>
      <c r="K125" s="100"/>
      <c r="L125" s="108"/>
      <c r="M125" s="100"/>
      <c r="N125" s="100"/>
    </row>
    <row r="126" spans="2:14" s="98" customFormat="1">
      <c r="B126" s="99" t="s">
        <v>982</v>
      </c>
      <c r="C126" s="109">
        <v>46306</v>
      </c>
      <c r="D126" s="98" t="s">
        <v>740</v>
      </c>
      <c r="E126" s="103">
        <v>-70</v>
      </c>
      <c r="F126" s="98" t="s">
        <v>239</v>
      </c>
      <c r="I126" s="98" t="s">
        <v>737</v>
      </c>
      <c r="K126" s="100"/>
      <c r="L126" s="108"/>
      <c r="M126" s="100"/>
      <c r="N126" s="100"/>
    </row>
    <row r="127" spans="2:14" s="98" customFormat="1">
      <c r="B127" s="99" t="s">
        <v>982</v>
      </c>
      <c r="C127" s="109">
        <v>46306</v>
      </c>
      <c r="D127" s="98" t="s">
        <v>740</v>
      </c>
      <c r="E127" s="103">
        <v>-25</v>
      </c>
      <c r="F127" s="98" t="s">
        <v>239</v>
      </c>
      <c r="I127" s="98" t="s">
        <v>737</v>
      </c>
      <c r="K127" s="100"/>
      <c r="L127" s="108"/>
      <c r="M127" s="100"/>
      <c r="N127" s="100"/>
    </row>
    <row r="128" spans="2:14" s="98" customFormat="1">
      <c r="B128" s="99" t="s">
        <v>982</v>
      </c>
      <c r="C128" s="109">
        <v>46306</v>
      </c>
      <c r="D128" s="98" t="s">
        <v>740</v>
      </c>
      <c r="E128" s="103">
        <v>-10</v>
      </c>
      <c r="F128" s="98" t="s">
        <v>239</v>
      </c>
      <c r="I128" s="98" t="s">
        <v>737</v>
      </c>
      <c r="K128" s="100"/>
      <c r="L128" s="108"/>
      <c r="M128" s="100"/>
      <c r="N128" s="100"/>
    </row>
    <row r="129" spans="2:14" s="98" customFormat="1">
      <c r="B129" s="99" t="s">
        <v>982</v>
      </c>
      <c r="C129" s="109">
        <v>46306</v>
      </c>
      <c r="D129" s="98" t="s">
        <v>740</v>
      </c>
      <c r="E129" s="103">
        <v>-8</v>
      </c>
      <c r="F129" s="98" t="s">
        <v>239</v>
      </c>
      <c r="I129" s="98" t="s">
        <v>737</v>
      </c>
      <c r="K129" s="100"/>
      <c r="L129" s="108"/>
      <c r="M129" s="100"/>
      <c r="N129" s="100"/>
    </row>
    <row r="130" spans="2:14" s="98" customFormat="1">
      <c r="B130" s="99" t="s">
        <v>982</v>
      </c>
      <c r="C130" s="109">
        <v>46306</v>
      </c>
      <c r="D130" s="98" t="s">
        <v>936</v>
      </c>
      <c r="E130" s="103">
        <v>1690</v>
      </c>
      <c r="F130" s="98" t="s">
        <v>240</v>
      </c>
      <c r="G130" s="98" t="s">
        <v>374</v>
      </c>
      <c r="H130" s="98" t="s">
        <v>516</v>
      </c>
      <c r="I130" s="98" t="s">
        <v>247</v>
      </c>
      <c r="K130" s="100"/>
      <c r="L130" s="108"/>
      <c r="M130" s="100"/>
      <c r="N130" s="100"/>
    </row>
    <row r="131" spans="2:14" s="98" customFormat="1">
      <c r="B131" s="99" t="s">
        <v>982</v>
      </c>
      <c r="C131" s="109">
        <v>46306</v>
      </c>
      <c r="D131" s="98" t="s">
        <v>1001</v>
      </c>
      <c r="E131" s="103">
        <v>1990</v>
      </c>
      <c r="F131" s="98" t="s">
        <v>240</v>
      </c>
      <c r="G131" s="98" t="s">
        <v>374</v>
      </c>
      <c r="H131" s="98" t="s">
        <v>516</v>
      </c>
      <c r="I131" s="98" t="s">
        <v>247</v>
      </c>
      <c r="K131" s="100"/>
      <c r="L131" s="108"/>
      <c r="M131" s="100"/>
      <c r="N131" s="100"/>
    </row>
    <row r="132" spans="2:14" s="98" customFormat="1">
      <c r="B132" s="99" t="s">
        <v>982</v>
      </c>
      <c r="C132" s="109">
        <v>46306</v>
      </c>
      <c r="D132" s="98" t="s">
        <v>1002</v>
      </c>
      <c r="E132" s="103">
        <v>2980</v>
      </c>
      <c r="F132" s="98" t="s">
        <v>240</v>
      </c>
      <c r="G132" s="98" t="s">
        <v>374</v>
      </c>
      <c r="H132" s="98" t="s">
        <v>516</v>
      </c>
      <c r="I132" s="98" t="s">
        <v>247</v>
      </c>
      <c r="K132" s="100"/>
      <c r="L132" s="108"/>
      <c r="M132" s="100"/>
      <c r="N132" s="100"/>
    </row>
    <row r="133" spans="2:14" s="98" customFormat="1">
      <c r="B133" s="99" t="s">
        <v>982</v>
      </c>
      <c r="C133" s="109">
        <v>46306</v>
      </c>
      <c r="D133" s="98" t="s">
        <v>835</v>
      </c>
      <c r="E133" s="103">
        <v>4990</v>
      </c>
      <c r="F133" s="98" t="s">
        <v>240</v>
      </c>
      <c r="G133" s="98" t="s">
        <v>374</v>
      </c>
      <c r="H133" s="98" t="s">
        <v>516</v>
      </c>
      <c r="I133" s="98" t="s">
        <v>273</v>
      </c>
      <c r="K133" s="100"/>
      <c r="L133" s="108"/>
      <c r="M133" s="100"/>
      <c r="N133" s="100"/>
    </row>
    <row r="134" spans="2:14" s="98" customFormat="1">
      <c r="B134" s="99" t="s">
        <v>982</v>
      </c>
      <c r="C134" s="109">
        <v>46306</v>
      </c>
      <c r="D134" s="98" t="s">
        <v>597</v>
      </c>
      <c r="E134" s="103">
        <v>13991</v>
      </c>
      <c r="F134" s="98" t="s">
        <v>240</v>
      </c>
      <c r="G134" s="98" t="s">
        <v>374</v>
      </c>
      <c r="H134" s="98" t="s">
        <v>516</v>
      </c>
      <c r="I134" s="98" t="s">
        <v>243</v>
      </c>
      <c r="K134" s="100"/>
      <c r="L134" s="108"/>
      <c r="M134" s="100"/>
      <c r="N134" s="100"/>
    </row>
    <row r="135" spans="2:14" s="98" customFormat="1">
      <c r="B135" s="99" t="s">
        <v>982</v>
      </c>
      <c r="C135" s="109">
        <v>46306</v>
      </c>
      <c r="D135" s="98" t="s">
        <v>956</v>
      </c>
      <c r="E135" s="103">
        <v>14698</v>
      </c>
      <c r="F135" s="98" t="s">
        <v>240</v>
      </c>
      <c r="G135" s="98" t="s">
        <v>374</v>
      </c>
      <c r="H135" s="98" t="s">
        <v>516</v>
      </c>
      <c r="I135" s="98" t="s">
        <v>270</v>
      </c>
      <c r="K135" s="100"/>
      <c r="L135" s="108"/>
      <c r="M135" s="100"/>
      <c r="N135" s="100"/>
    </row>
    <row r="136" spans="2:14" s="98" customFormat="1">
      <c r="B136" s="99" t="s">
        <v>982</v>
      </c>
      <c r="C136" s="109">
        <v>46306</v>
      </c>
      <c r="D136" s="98" t="s">
        <v>1003</v>
      </c>
      <c r="E136" s="103">
        <v>92800</v>
      </c>
      <c r="F136" s="98" t="s">
        <v>240</v>
      </c>
      <c r="G136" s="98" t="s">
        <v>374</v>
      </c>
      <c r="H136" s="98" t="s">
        <v>516</v>
      </c>
      <c r="I136" s="98" t="s">
        <v>272</v>
      </c>
      <c r="K136" s="100"/>
      <c r="L136" s="108"/>
      <c r="M136" s="100"/>
      <c r="N136" s="100"/>
    </row>
    <row r="137" spans="2:14" s="98" customFormat="1">
      <c r="B137" s="99" t="s">
        <v>982</v>
      </c>
      <c r="C137" s="109">
        <v>46305</v>
      </c>
      <c r="D137" s="98" t="s">
        <v>740</v>
      </c>
      <c r="E137" s="103">
        <v>-171</v>
      </c>
      <c r="F137" s="98" t="s">
        <v>239</v>
      </c>
      <c r="I137" s="98" t="s">
        <v>737</v>
      </c>
      <c r="K137" s="100"/>
      <c r="L137" s="108"/>
      <c r="M137" s="100"/>
      <c r="N137" s="100"/>
    </row>
    <row r="138" spans="2:14" s="98" customFormat="1">
      <c r="B138" s="99" t="s">
        <v>982</v>
      </c>
      <c r="C138" s="109">
        <v>46305</v>
      </c>
      <c r="D138" s="98" t="s">
        <v>740</v>
      </c>
      <c r="E138" s="103">
        <v>-65</v>
      </c>
      <c r="F138" s="98" t="s">
        <v>239</v>
      </c>
      <c r="I138" s="98" t="s">
        <v>737</v>
      </c>
      <c r="K138" s="100"/>
      <c r="L138" s="108"/>
      <c r="M138" s="100"/>
      <c r="N138" s="100"/>
    </row>
    <row r="139" spans="2:14" s="98" customFormat="1">
      <c r="B139" s="99" t="s">
        <v>982</v>
      </c>
      <c r="C139" s="109">
        <v>46305</v>
      </c>
      <c r="D139" s="98" t="s">
        <v>740</v>
      </c>
      <c r="E139" s="103">
        <v>-25</v>
      </c>
      <c r="F139" s="98" t="s">
        <v>239</v>
      </c>
      <c r="I139" s="98" t="s">
        <v>737</v>
      </c>
      <c r="K139" s="100"/>
      <c r="L139" s="108"/>
      <c r="M139" s="100"/>
      <c r="N139" s="100"/>
    </row>
    <row r="140" spans="2:14" s="98" customFormat="1">
      <c r="B140" s="99" t="s">
        <v>982</v>
      </c>
      <c r="C140" s="109">
        <v>46305</v>
      </c>
      <c r="D140" s="98" t="s">
        <v>740</v>
      </c>
      <c r="E140" s="103">
        <v>-10</v>
      </c>
      <c r="F140" s="98" t="s">
        <v>239</v>
      </c>
      <c r="I140" s="98" t="s">
        <v>737</v>
      </c>
      <c r="K140" s="100"/>
      <c r="L140" s="108"/>
      <c r="M140" s="100"/>
      <c r="N140" s="100"/>
    </row>
    <row r="141" spans="2:14" s="98" customFormat="1">
      <c r="B141" s="99" t="s">
        <v>982</v>
      </c>
      <c r="C141" s="109">
        <v>46305</v>
      </c>
      <c r="D141" s="98" t="s">
        <v>1007</v>
      </c>
      <c r="E141" s="103">
        <v>1990</v>
      </c>
      <c r="F141" s="98" t="s">
        <v>240</v>
      </c>
      <c r="G141" s="98" t="s">
        <v>374</v>
      </c>
      <c r="H141" s="98" t="s">
        <v>516</v>
      </c>
      <c r="I141" s="98" t="s">
        <v>248</v>
      </c>
      <c r="K141" s="100"/>
      <c r="L141" s="108"/>
      <c r="M141" s="100"/>
      <c r="N141" s="100"/>
    </row>
    <row r="142" spans="2:14" s="98" customFormat="1">
      <c r="B142" s="99" t="s">
        <v>982</v>
      </c>
      <c r="C142" s="109">
        <v>46305</v>
      </c>
      <c r="D142" s="98" t="s">
        <v>1006</v>
      </c>
      <c r="E142" s="103">
        <v>3300</v>
      </c>
      <c r="F142" s="98" t="s">
        <v>240</v>
      </c>
      <c r="G142" s="98" t="s">
        <v>374</v>
      </c>
      <c r="H142" s="98" t="s">
        <v>516</v>
      </c>
      <c r="I142" s="98" t="s">
        <v>247</v>
      </c>
      <c r="K142" s="100"/>
      <c r="L142" s="108"/>
      <c r="M142" s="100"/>
      <c r="N142" s="100"/>
    </row>
    <row r="143" spans="2:14" s="98" customFormat="1">
      <c r="B143" s="99" t="s">
        <v>982</v>
      </c>
      <c r="C143" s="109">
        <v>46305</v>
      </c>
      <c r="D143" s="98" t="s">
        <v>1005</v>
      </c>
      <c r="E143" s="103">
        <v>5080</v>
      </c>
      <c r="F143" s="98" t="s">
        <v>240</v>
      </c>
      <c r="G143" s="98" t="s">
        <v>374</v>
      </c>
      <c r="H143" s="98" t="s">
        <v>516</v>
      </c>
      <c r="I143" s="98" t="s">
        <v>247</v>
      </c>
      <c r="K143" s="100"/>
      <c r="L143" s="108"/>
      <c r="M143" s="100"/>
      <c r="N143" s="100"/>
    </row>
    <row r="144" spans="2:14" s="98" customFormat="1">
      <c r="B144" s="99" t="s">
        <v>982</v>
      </c>
      <c r="C144" s="109">
        <v>46305</v>
      </c>
      <c r="D144" s="98" t="s">
        <v>854</v>
      </c>
      <c r="E144" s="103">
        <v>6840</v>
      </c>
      <c r="F144" s="98" t="s">
        <v>240</v>
      </c>
      <c r="G144" s="98" t="s">
        <v>374</v>
      </c>
      <c r="H144" s="98" t="s">
        <v>516</v>
      </c>
      <c r="I144" s="98" t="s">
        <v>247</v>
      </c>
      <c r="K144" s="100"/>
      <c r="L144" s="108"/>
      <c r="M144" s="100"/>
      <c r="N144" s="100"/>
    </row>
    <row r="145" spans="2:14" s="98" customFormat="1">
      <c r="B145" s="99" t="s">
        <v>982</v>
      </c>
      <c r="C145" s="109">
        <v>46305</v>
      </c>
      <c r="D145" s="98" t="s">
        <v>953</v>
      </c>
      <c r="E145" s="103">
        <v>10180</v>
      </c>
      <c r="F145" s="98" t="s">
        <v>240</v>
      </c>
      <c r="G145" s="98" t="s">
        <v>374</v>
      </c>
      <c r="H145" s="98" t="s">
        <v>516</v>
      </c>
      <c r="I145" s="98" t="s">
        <v>247</v>
      </c>
      <c r="K145" s="100"/>
      <c r="L145" s="108"/>
      <c r="M145" s="100"/>
      <c r="N145" s="100"/>
    </row>
    <row r="146" spans="2:14" s="98" customFormat="1">
      <c r="B146" s="99" t="s">
        <v>982</v>
      </c>
      <c r="C146" s="109">
        <v>46305</v>
      </c>
      <c r="D146" s="98" t="s">
        <v>1007</v>
      </c>
      <c r="E146" s="103">
        <v>12980</v>
      </c>
      <c r="F146" s="98" t="s">
        <v>240</v>
      </c>
      <c r="G146" s="98" t="s">
        <v>374</v>
      </c>
      <c r="H146" s="98" t="s">
        <v>516</v>
      </c>
      <c r="I146" s="98" t="s">
        <v>248</v>
      </c>
      <c r="K146" s="100"/>
      <c r="L146" s="108"/>
      <c r="M146" s="100"/>
      <c r="N146" s="100"/>
    </row>
    <row r="147" spans="2:14" s="98" customFormat="1">
      <c r="B147" s="99" t="s">
        <v>982</v>
      </c>
      <c r="C147" s="109">
        <v>46305</v>
      </c>
      <c r="D147" s="98" t="s">
        <v>953</v>
      </c>
      <c r="E147" s="103">
        <v>29695</v>
      </c>
      <c r="F147" s="98" t="s">
        <v>240</v>
      </c>
      <c r="G147" s="98" t="s">
        <v>374</v>
      </c>
      <c r="H147" s="98" t="s">
        <v>516</v>
      </c>
      <c r="I147" s="98" t="s">
        <v>270</v>
      </c>
      <c r="K147" s="100"/>
      <c r="L147" s="108"/>
      <c r="M147" s="100"/>
      <c r="N147" s="100"/>
    </row>
    <row r="148" spans="2:14" s="98" customFormat="1">
      <c r="B148" s="99" t="s">
        <v>982</v>
      </c>
      <c r="C148" s="109">
        <v>46305</v>
      </c>
      <c r="D148" s="98" t="s">
        <v>709</v>
      </c>
      <c r="E148" s="103">
        <v>30000</v>
      </c>
      <c r="F148" s="98" t="s">
        <v>240</v>
      </c>
      <c r="G148" s="98" t="s">
        <v>374</v>
      </c>
      <c r="H148" s="98" t="s">
        <v>516</v>
      </c>
      <c r="I148" s="98" t="s">
        <v>263</v>
      </c>
      <c r="K148" s="100"/>
      <c r="L148" s="108"/>
      <c r="M148" s="100"/>
      <c r="N148" s="100"/>
    </row>
    <row r="149" spans="2:14" s="98" customFormat="1">
      <c r="B149" s="99" t="s">
        <v>982</v>
      </c>
      <c r="C149" s="109">
        <v>46305</v>
      </c>
      <c r="D149" s="98" t="s">
        <v>1004</v>
      </c>
      <c r="E149" s="103">
        <v>34287</v>
      </c>
      <c r="F149" s="98" t="s">
        <v>240</v>
      </c>
      <c r="G149" s="98" t="s">
        <v>374</v>
      </c>
      <c r="H149" s="98" t="s">
        <v>516</v>
      </c>
      <c r="I149" s="98" t="s">
        <v>248</v>
      </c>
      <c r="K149" s="100"/>
      <c r="L149" s="108"/>
      <c r="M149" s="100"/>
      <c r="N149" s="100"/>
    </row>
    <row r="150" spans="2:14" s="98" customFormat="1">
      <c r="B150" s="99" t="s">
        <v>982</v>
      </c>
      <c r="C150" s="109">
        <v>46304</v>
      </c>
      <c r="D150" s="98" t="s">
        <v>932</v>
      </c>
      <c r="E150" s="103">
        <v>-122023</v>
      </c>
      <c r="F150" s="98" t="s">
        <v>239</v>
      </c>
      <c r="I150" s="98" t="s">
        <v>738</v>
      </c>
      <c r="K150" s="100"/>
      <c r="L150" s="108"/>
      <c r="M150" s="100"/>
      <c r="N150" s="100"/>
    </row>
    <row r="151" spans="2:14" s="98" customFormat="1">
      <c r="B151" s="99" t="s">
        <v>982</v>
      </c>
      <c r="C151" s="109">
        <v>46304</v>
      </c>
      <c r="D151" s="98" t="s">
        <v>744</v>
      </c>
      <c r="E151" s="103">
        <v>-56</v>
      </c>
      <c r="F151" s="98" t="s">
        <v>239</v>
      </c>
      <c r="I151" s="98" t="s">
        <v>737</v>
      </c>
      <c r="K151" s="100"/>
      <c r="L151" s="108"/>
      <c r="M151" s="100"/>
      <c r="N151" s="100"/>
    </row>
    <row r="152" spans="2:14" s="98" customFormat="1">
      <c r="B152" s="99" t="s">
        <v>982</v>
      </c>
      <c r="C152" s="109">
        <v>46304</v>
      </c>
      <c r="D152" s="98" t="s">
        <v>740</v>
      </c>
      <c r="E152" s="103">
        <v>-50</v>
      </c>
      <c r="F152" s="98" t="s">
        <v>239</v>
      </c>
      <c r="I152" s="98" t="s">
        <v>737</v>
      </c>
      <c r="K152" s="100"/>
      <c r="L152" s="108"/>
      <c r="M152" s="100"/>
      <c r="N152" s="100"/>
    </row>
    <row r="153" spans="2:14" s="98" customFormat="1">
      <c r="B153" s="99" t="s">
        <v>982</v>
      </c>
      <c r="C153" s="109">
        <v>46304</v>
      </c>
      <c r="D153" s="98" t="s">
        <v>740</v>
      </c>
      <c r="E153" s="103">
        <v>-22</v>
      </c>
      <c r="F153" s="98" t="s">
        <v>239</v>
      </c>
      <c r="I153" s="98" t="s">
        <v>737</v>
      </c>
      <c r="K153" s="100"/>
      <c r="L153" s="108"/>
      <c r="M153" s="100"/>
      <c r="N153" s="100"/>
    </row>
    <row r="154" spans="2:14" s="98" customFormat="1">
      <c r="B154" s="99" t="s">
        <v>982</v>
      </c>
      <c r="C154" s="109">
        <v>46304</v>
      </c>
      <c r="D154" s="98" t="s">
        <v>740</v>
      </c>
      <c r="E154" s="103">
        <v>-5</v>
      </c>
      <c r="F154" s="98" t="s">
        <v>239</v>
      </c>
      <c r="I154" s="98" t="s">
        <v>737</v>
      </c>
      <c r="K154" s="100"/>
      <c r="L154" s="108"/>
      <c r="M154" s="100"/>
      <c r="N154" s="100"/>
    </row>
    <row r="155" spans="2:14" s="98" customFormat="1">
      <c r="B155" s="99" t="s">
        <v>982</v>
      </c>
      <c r="C155" s="109">
        <v>46304</v>
      </c>
      <c r="D155" s="98" t="s">
        <v>748</v>
      </c>
      <c r="E155" s="103">
        <v>1000</v>
      </c>
      <c r="F155" s="98" t="s">
        <v>240</v>
      </c>
      <c r="G155" s="98" t="s">
        <v>374</v>
      </c>
      <c r="H155" s="98" t="s">
        <v>516</v>
      </c>
      <c r="I155" s="98" t="s">
        <v>247</v>
      </c>
      <c r="K155" s="100"/>
      <c r="L155" s="108"/>
      <c r="M155" s="100"/>
      <c r="N155" s="100"/>
    </row>
    <row r="156" spans="2:14" s="98" customFormat="1">
      <c r="B156" s="99" t="s">
        <v>982</v>
      </c>
      <c r="C156" s="109">
        <v>46304</v>
      </c>
      <c r="D156" s="98" t="s">
        <v>727</v>
      </c>
      <c r="E156" s="103">
        <v>3000</v>
      </c>
      <c r="F156" s="98" t="s">
        <v>240</v>
      </c>
      <c r="G156" s="98" t="s">
        <v>374</v>
      </c>
      <c r="H156" s="98" t="s">
        <v>516</v>
      </c>
      <c r="I156" s="98" t="s">
        <v>273</v>
      </c>
      <c r="K156" s="100"/>
      <c r="L156" s="108"/>
      <c r="M156" s="100"/>
      <c r="N156" s="100"/>
    </row>
    <row r="157" spans="2:14" s="98" customFormat="1">
      <c r="B157" s="99" t="s">
        <v>982</v>
      </c>
      <c r="C157" s="109">
        <v>46304</v>
      </c>
      <c r="D157" s="98" t="s">
        <v>931</v>
      </c>
      <c r="E157" s="103">
        <v>2005</v>
      </c>
      <c r="F157" s="98" t="s">
        <v>240</v>
      </c>
      <c r="G157" s="98" t="s">
        <v>374</v>
      </c>
      <c r="H157" s="98" t="s">
        <v>513</v>
      </c>
      <c r="I157" s="98" t="s">
        <v>242</v>
      </c>
      <c r="K157" s="100"/>
      <c r="L157" s="108"/>
      <c r="M157" s="100"/>
      <c r="N157" s="100"/>
    </row>
    <row r="158" spans="2:14" s="98" customFormat="1">
      <c r="B158" s="99" t="s">
        <v>982</v>
      </c>
      <c r="C158" s="109">
        <v>46304</v>
      </c>
      <c r="D158" s="98" t="s">
        <v>1008</v>
      </c>
      <c r="E158" s="103">
        <v>10000</v>
      </c>
      <c r="F158" s="98" t="s">
        <v>240</v>
      </c>
      <c r="G158" s="98" t="s">
        <v>374</v>
      </c>
      <c r="H158" s="98" t="s">
        <v>516</v>
      </c>
      <c r="I158" s="98" t="s">
        <v>270</v>
      </c>
      <c r="K158" s="100"/>
      <c r="L158" s="108"/>
      <c r="M158" s="100"/>
      <c r="N158" s="100"/>
    </row>
    <row r="159" spans="2:14" s="98" customFormat="1">
      <c r="B159" s="99" t="s">
        <v>982</v>
      </c>
      <c r="C159" s="109">
        <v>46304</v>
      </c>
      <c r="D159" s="98" t="s">
        <v>986</v>
      </c>
      <c r="E159" s="103">
        <v>12000</v>
      </c>
      <c r="F159" s="98" t="s">
        <v>240</v>
      </c>
      <c r="G159" s="98" t="s">
        <v>374</v>
      </c>
      <c r="H159" s="98" t="s">
        <v>546</v>
      </c>
      <c r="I159" s="98" t="s">
        <v>983</v>
      </c>
      <c r="K159" s="100"/>
      <c r="L159" s="108"/>
      <c r="M159" s="100"/>
      <c r="N159" s="100"/>
    </row>
    <row r="160" spans="2:14" s="98" customFormat="1">
      <c r="B160" s="99" t="s">
        <v>982</v>
      </c>
      <c r="C160" s="109">
        <v>46304</v>
      </c>
      <c r="D160" s="98" t="s">
        <v>356</v>
      </c>
      <c r="E160" s="103">
        <v>64371</v>
      </c>
      <c r="F160" s="98" t="s">
        <v>240</v>
      </c>
      <c r="G160" s="98" t="s">
        <v>374</v>
      </c>
      <c r="H160" s="98" t="s">
        <v>516</v>
      </c>
      <c r="I160" s="98" t="s">
        <v>270</v>
      </c>
      <c r="K160" s="100"/>
      <c r="L160" s="108"/>
      <c r="M160" s="100"/>
      <c r="N160" s="100"/>
    </row>
    <row r="161" spans="2:14" s="98" customFormat="1">
      <c r="B161" s="99" t="s">
        <v>982</v>
      </c>
      <c r="C161" s="109">
        <v>46303</v>
      </c>
      <c r="D161" s="98" t="s">
        <v>740</v>
      </c>
      <c r="E161" s="103">
        <v>-164</v>
      </c>
      <c r="F161" s="98" t="s">
        <v>239</v>
      </c>
      <c r="I161" s="98" t="s">
        <v>737</v>
      </c>
      <c r="K161" s="100"/>
      <c r="L161" s="108"/>
      <c r="M161" s="100"/>
      <c r="N161" s="100"/>
    </row>
    <row r="162" spans="2:14" s="98" customFormat="1">
      <c r="B162" s="99" t="s">
        <v>982</v>
      </c>
      <c r="C162" s="109">
        <v>46303</v>
      </c>
      <c r="D162" s="98" t="s">
        <v>785</v>
      </c>
      <c r="E162" s="103">
        <v>32875</v>
      </c>
      <c r="F162" s="98" t="s">
        <v>240</v>
      </c>
      <c r="G162" s="98" t="s">
        <v>374</v>
      </c>
      <c r="H162" s="98" t="s">
        <v>516</v>
      </c>
      <c r="I162" s="98" t="s">
        <v>245</v>
      </c>
      <c r="K162" s="100"/>
      <c r="L162" s="108"/>
      <c r="M162" s="100"/>
      <c r="N162" s="100"/>
    </row>
    <row r="163" spans="2:14" s="98" customFormat="1">
      <c r="B163" s="99" t="s">
        <v>982</v>
      </c>
      <c r="C163" s="109">
        <v>46303</v>
      </c>
      <c r="D163" s="98" t="s">
        <v>744</v>
      </c>
      <c r="E163" s="103">
        <v>-21</v>
      </c>
      <c r="F163" s="98" t="s">
        <v>239</v>
      </c>
      <c r="I163" s="98" t="s">
        <v>737</v>
      </c>
      <c r="K163" s="100"/>
      <c r="L163" s="108"/>
      <c r="M163" s="100"/>
      <c r="N163" s="100"/>
    </row>
    <row r="164" spans="2:14" s="98" customFormat="1">
      <c r="B164" s="99" t="s">
        <v>982</v>
      </c>
      <c r="C164" s="109">
        <v>46303</v>
      </c>
      <c r="D164" s="98" t="s">
        <v>740</v>
      </c>
      <c r="E164" s="103">
        <v>-3</v>
      </c>
      <c r="F164" s="98" t="s">
        <v>239</v>
      </c>
      <c r="I164" s="98" t="s">
        <v>737</v>
      </c>
      <c r="K164" s="100"/>
      <c r="L164" s="108"/>
      <c r="M164" s="100"/>
      <c r="N164" s="100"/>
    </row>
    <row r="165" spans="2:14" s="98" customFormat="1">
      <c r="B165" s="99" t="s">
        <v>982</v>
      </c>
      <c r="C165" s="109">
        <v>46303</v>
      </c>
      <c r="D165" s="98" t="s">
        <v>748</v>
      </c>
      <c r="E165" s="103">
        <v>650</v>
      </c>
      <c r="F165" s="98" t="s">
        <v>240</v>
      </c>
      <c r="G165" s="98" t="s">
        <v>374</v>
      </c>
      <c r="H165" s="98" t="s">
        <v>516</v>
      </c>
      <c r="I165" s="98" t="s">
        <v>247</v>
      </c>
      <c r="K165" s="100"/>
      <c r="L165" s="108"/>
      <c r="M165" s="100"/>
      <c r="N165" s="100"/>
    </row>
    <row r="166" spans="2:14" s="98" customFormat="1">
      <c r="B166" s="99" t="s">
        <v>982</v>
      </c>
      <c r="C166" s="109">
        <v>46303</v>
      </c>
      <c r="D166" s="98" t="s">
        <v>740</v>
      </c>
      <c r="E166" s="103">
        <v>-25</v>
      </c>
      <c r="F166" s="98" t="s">
        <v>239</v>
      </c>
      <c r="I166" s="98" t="s">
        <v>737</v>
      </c>
      <c r="K166" s="100"/>
      <c r="L166" s="108"/>
      <c r="M166" s="100"/>
      <c r="N166" s="100"/>
    </row>
    <row r="167" spans="2:14" s="98" customFormat="1">
      <c r="B167" s="99" t="s">
        <v>982</v>
      </c>
      <c r="C167" s="109">
        <v>46303</v>
      </c>
      <c r="D167" s="98" t="s">
        <v>771</v>
      </c>
      <c r="E167" s="103">
        <v>4990</v>
      </c>
      <c r="F167" s="98" t="s">
        <v>240</v>
      </c>
      <c r="G167" s="98" t="s">
        <v>374</v>
      </c>
      <c r="H167" s="98" t="s">
        <v>516</v>
      </c>
      <c r="I167" s="98" t="s">
        <v>243</v>
      </c>
      <c r="K167" s="100"/>
      <c r="L167" s="108"/>
      <c r="M167" s="100"/>
      <c r="N167" s="100"/>
    </row>
    <row r="168" spans="2:14" s="98" customFormat="1">
      <c r="B168" s="99" t="s">
        <v>982</v>
      </c>
      <c r="C168" s="109">
        <v>46303</v>
      </c>
      <c r="D168" s="98" t="s">
        <v>740</v>
      </c>
      <c r="E168" s="103">
        <v>-23</v>
      </c>
      <c r="F168" s="98" t="s">
        <v>239</v>
      </c>
      <c r="I168" s="98" t="s">
        <v>737</v>
      </c>
      <c r="K168" s="100"/>
      <c r="L168" s="108"/>
      <c r="M168" s="100"/>
      <c r="N168" s="100"/>
    </row>
    <row r="169" spans="2:14" s="98" customFormat="1">
      <c r="B169" s="99" t="s">
        <v>982</v>
      </c>
      <c r="C169" s="109">
        <v>46303</v>
      </c>
      <c r="D169" s="98" t="s">
        <v>931</v>
      </c>
      <c r="E169" s="103">
        <v>4559</v>
      </c>
      <c r="F169" s="98" t="s">
        <v>240</v>
      </c>
      <c r="G169" s="98" t="s">
        <v>374</v>
      </c>
      <c r="H169" s="98" t="s">
        <v>513</v>
      </c>
      <c r="I169" s="98" t="s">
        <v>242</v>
      </c>
      <c r="K169" s="100"/>
      <c r="L169" s="108"/>
      <c r="M169" s="100"/>
      <c r="N169" s="100"/>
    </row>
    <row r="170" spans="2:14" s="98" customFormat="1">
      <c r="B170" s="99" t="s">
        <v>982</v>
      </c>
      <c r="C170" s="109">
        <v>46303</v>
      </c>
      <c r="D170" s="98" t="s">
        <v>740</v>
      </c>
      <c r="E170" s="103">
        <v>-3</v>
      </c>
      <c r="F170" s="98" t="s">
        <v>239</v>
      </c>
      <c r="I170" s="98" t="s">
        <v>737</v>
      </c>
      <c r="K170" s="100"/>
      <c r="L170" s="108"/>
      <c r="M170" s="100"/>
      <c r="N170" s="100"/>
    </row>
    <row r="171" spans="2:14" s="98" customFormat="1">
      <c r="B171" s="99" t="s">
        <v>982</v>
      </c>
      <c r="C171" s="109">
        <v>46303</v>
      </c>
      <c r="D171" s="98" t="s">
        <v>748</v>
      </c>
      <c r="E171" s="103">
        <v>650</v>
      </c>
      <c r="F171" s="98" t="s">
        <v>240</v>
      </c>
      <c r="G171" s="98" t="s">
        <v>374</v>
      </c>
      <c r="H171" s="98" t="s">
        <v>516</v>
      </c>
      <c r="I171" s="98" t="s">
        <v>247</v>
      </c>
      <c r="K171" s="100"/>
      <c r="L171" s="108"/>
      <c r="M171" s="100"/>
      <c r="N171" s="100"/>
    </row>
    <row r="172" spans="2:14" s="98" customFormat="1">
      <c r="B172" s="99" t="s">
        <v>982</v>
      </c>
      <c r="C172" s="109">
        <v>46303</v>
      </c>
      <c r="D172" s="98" t="s">
        <v>727</v>
      </c>
      <c r="E172" s="103">
        <v>10000</v>
      </c>
      <c r="F172" s="98" t="s">
        <v>240</v>
      </c>
      <c r="G172" s="98" t="s">
        <v>374</v>
      </c>
      <c r="H172" s="98" t="s">
        <v>516</v>
      </c>
      <c r="I172" s="98" t="s">
        <v>273</v>
      </c>
      <c r="K172" s="100"/>
      <c r="L172" s="108"/>
      <c r="M172" s="100"/>
      <c r="N172" s="100"/>
    </row>
    <row r="173" spans="2:14" s="98" customFormat="1">
      <c r="B173" s="99" t="s">
        <v>982</v>
      </c>
      <c r="C173" s="109">
        <v>46302</v>
      </c>
      <c r="D173" s="98" t="s">
        <v>998</v>
      </c>
      <c r="E173" s="103">
        <v>76492</v>
      </c>
      <c r="F173" s="98" t="s">
        <v>240</v>
      </c>
      <c r="G173" s="98" t="s">
        <v>374</v>
      </c>
      <c r="H173" s="98" t="s">
        <v>516</v>
      </c>
      <c r="I173" s="98" t="s">
        <v>243</v>
      </c>
      <c r="K173" s="100"/>
      <c r="L173" s="108"/>
      <c r="M173" s="100"/>
      <c r="N173" s="100"/>
    </row>
    <row r="174" spans="2:14" s="98" customFormat="1">
      <c r="B174" s="99" t="s">
        <v>982</v>
      </c>
      <c r="C174" s="109">
        <v>46302</v>
      </c>
      <c r="D174" s="98" t="s">
        <v>744</v>
      </c>
      <c r="E174" s="103">
        <v>-22</v>
      </c>
      <c r="F174" s="98" t="s">
        <v>239</v>
      </c>
      <c r="I174" s="98" t="s">
        <v>737</v>
      </c>
      <c r="K174" s="100"/>
      <c r="L174" s="108"/>
      <c r="M174" s="100"/>
      <c r="N174" s="100"/>
    </row>
    <row r="175" spans="2:14" s="98" customFormat="1">
      <c r="B175" s="99" t="s">
        <v>982</v>
      </c>
      <c r="C175" s="109">
        <v>46302</v>
      </c>
      <c r="D175" s="98" t="s">
        <v>991</v>
      </c>
      <c r="E175" s="103">
        <v>76492</v>
      </c>
      <c r="F175" s="98" t="s">
        <v>240</v>
      </c>
      <c r="G175" s="98" t="s">
        <v>374</v>
      </c>
      <c r="H175" s="98" t="s">
        <v>516</v>
      </c>
      <c r="I175" s="98" t="s">
        <v>243</v>
      </c>
      <c r="K175" s="100"/>
      <c r="L175" s="108"/>
      <c r="M175" s="100"/>
      <c r="N175" s="100"/>
    </row>
    <row r="176" spans="2:14" s="98" customFormat="1">
      <c r="B176" s="99" t="s">
        <v>982</v>
      </c>
      <c r="C176" s="109">
        <v>46302</v>
      </c>
      <c r="D176" s="98" t="s">
        <v>740</v>
      </c>
      <c r="E176" s="103">
        <v>-22</v>
      </c>
      <c r="F176" s="98" t="s">
        <v>239</v>
      </c>
      <c r="I176" s="98" t="s">
        <v>737</v>
      </c>
      <c r="K176" s="100"/>
      <c r="L176" s="108"/>
      <c r="M176" s="100"/>
      <c r="N176" s="100"/>
    </row>
    <row r="177" spans="2:14" s="98" customFormat="1">
      <c r="B177" s="99" t="s">
        <v>982</v>
      </c>
      <c r="C177" s="109">
        <v>46302</v>
      </c>
      <c r="D177" s="98" t="s">
        <v>931</v>
      </c>
      <c r="E177" s="103">
        <v>4459</v>
      </c>
      <c r="F177" s="98" t="s">
        <v>240</v>
      </c>
      <c r="G177" s="98" t="s">
        <v>374</v>
      </c>
      <c r="H177" s="98" t="s">
        <v>513</v>
      </c>
      <c r="I177" s="98" t="s">
        <v>242</v>
      </c>
      <c r="K177" s="100"/>
      <c r="L177" s="108"/>
      <c r="M177" s="100"/>
      <c r="N177" s="100"/>
    </row>
    <row r="178" spans="2:14" s="98" customFormat="1">
      <c r="B178" s="99" t="s">
        <v>982</v>
      </c>
      <c r="C178" s="109">
        <v>46302</v>
      </c>
      <c r="D178" s="98" t="s">
        <v>711</v>
      </c>
      <c r="E178" s="103">
        <v>14803</v>
      </c>
      <c r="F178" s="98" t="s">
        <v>240</v>
      </c>
      <c r="G178" s="98" t="s">
        <v>374</v>
      </c>
      <c r="H178" s="98" t="s">
        <v>516</v>
      </c>
      <c r="I178" s="98" t="s">
        <v>270</v>
      </c>
      <c r="K178" s="100"/>
      <c r="L178" s="108"/>
      <c r="M178" s="100"/>
      <c r="N178" s="100"/>
    </row>
    <row r="179" spans="2:14" s="98" customFormat="1">
      <c r="B179" s="99" t="s">
        <v>982</v>
      </c>
      <c r="C179" s="109">
        <v>46302</v>
      </c>
      <c r="D179" s="98" t="s">
        <v>996</v>
      </c>
      <c r="E179" s="103">
        <v>73125</v>
      </c>
      <c r="F179" s="98" t="s">
        <v>240</v>
      </c>
      <c r="G179" s="98" t="s">
        <v>374</v>
      </c>
      <c r="H179" s="98" t="s">
        <v>516</v>
      </c>
      <c r="I179" s="98" t="s">
        <v>268</v>
      </c>
      <c r="K179" s="100"/>
      <c r="L179" s="108"/>
      <c r="M179" s="100"/>
      <c r="N179" s="100"/>
    </row>
    <row r="180" spans="2:14" s="98" customFormat="1">
      <c r="B180" s="99" t="s">
        <v>982</v>
      </c>
      <c r="C180" s="109">
        <v>46301</v>
      </c>
      <c r="D180" s="98" t="s">
        <v>740</v>
      </c>
      <c r="E180" s="103">
        <v>-600</v>
      </c>
      <c r="F180" s="98" t="s">
        <v>239</v>
      </c>
      <c r="I180" s="98" t="s">
        <v>737</v>
      </c>
      <c r="K180" s="100"/>
      <c r="L180" s="108"/>
      <c r="M180" s="100"/>
      <c r="N180" s="100"/>
    </row>
    <row r="181" spans="2:14" s="98" customFormat="1">
      <c r="B181" s="99" t="s">
        <v>982</v>
      </c>
      <c r="C181" s="109">
        <v>46301</v>
      </c>
      <c r="D181" s="98" t="s">
        <v>742</v>
      </c>
      <c r="E181" s="103">
        <v>19990</v>
      </c>
      <c r="F181" s="98" t="s">
        <v>240</v>
      </c>
      <c r="G181" s="98" t="s">
        <v>374</v>
      </c>
      <c r="H181" s="98" t="s">
        <v>516</v>
      </c>
      <c r="I181" s="98" t="s">
        <v>264</v>
      </c>
      <c r="K181" s="100"/>
      <c r="L181" s="108"/>
      <c r="M181" s="100"/>
      <c r="N181" s="100"/>
    </row>
    <row r="182" spans="2:14" s="98" customFormat="1">
      <c r="B182" s="99" t="s">
        <v>982</v>
      </c>
      <c r="C182" s="109">
        <v>46301</v>
      </c>
      <c r="D182" s="98" t="s">
        <v>992</v>
      </c>
      <c r="E182" s="103">
        <v>7500</v>
      </c>
      <c r="F182" s="98" t="s">
        <v>240</v>
      </c>
      <c r="G182" s="98" t="s">
        <v>374</v>
      </c>
      <c r="H182" s="98" t="s">
        <v>516</v>
      </c>
      <c r="I182" s="98" t="s">
        <v>273</v>
      </c>
      <c r="K182" s="100"/>
      <c r="L182" s="108"/>
      <c r="M182" s="100"/>
      <c r="N182" s="100"/>
    </row>
    <row r="183" spans="2:14" s="98" customFormat="1">
      <c r="B183" s="99" t="s">
        <v>982</v>
      </c>
      <c r="C183" s="109">
        <v>46301</v>
      </c>
      <c r="D183" s="98" t="s">
        <v>932</v>
      </c>
      <c r="E183" s="103">
        <v>-76215</v>
      </c>
      <c r="F183" s="98" t="s">
        <v>239</v>
      </c>
      <c r="I183" s="98" t="s">
        <v>738</v>
      </c>
      <c r="K183" s="100"/>
      <c r="L183" s="108"/>
      <c r="M183" s="100"/>
      <c r="N183" s="100"/>
    </row>
    <row r="184" spans="2:14" s="98" customFormat="1">
      <c r="B184" s="99" t="s">
        <v>982</v>
      </c>
      <c r="C184" s="109">
        <v>46301</v>
      </c>
      <c r="D184" s="98" t="s">
        <v>744</v>
      </c>
      <c r="E184" s="103">
        <v>-22</v>
      </c>
      <c r="F184" s="98" t="s">
        <v>239</v>
      </c>
      <c r="I184" s="98" t="s">
        <v>737</v>
      </c>
      <c r="K184" s="100"/>
      <c r="L184" s="108"/>
      <c r="M184" s="100"/>
      <c r="N184" s="100"/>
    </row>
    <row r="185" spans="2:14" s="98" customFormat="1">
      <c r="B185" s="99" t="s">
        <v>982</v>
      </c>
      <c r="C185" s="109">
        <v>46301</v>
      </c>
      <c r="D185" s="98" t="s">
        <v>740</v>
      </c>
      <c r="E185" s="103">
        <v>-13</v>
      </c>
      <c r="F185" s="98" t="s">
        <v>239</v>
      </c>
      <c r="I185" s="98" t="s">
        <v>737</v>
      </c>
      <c r="K185" s="100"/>
      <c r="L185" s="108"/>
      <c r="M185" s="100"/>
      <c r="N185" s="100"/>
    </row>
    <row r="186" spans="2:14" s="98" customFormat="1">
      <c r="B186" s="99" t="s">
        <v>982</v>
      </c>
      <c r="C186" s="109">
        <v>46301</v>
      </c>
      <c r="D186" s="98" t="s">
        <v>936</v>
      </c>
      <c r="E186" s="103">
        <v>2500</v>
      </c>
      <c r="F186" s="98" t="s">
        <v>240</v>
      </c>
      <c r="G186" s="98" t="s">
        <v>374</v>
      </c>
      <c r="H186" s="98" t="s">
        <v>516</v>
      </c>
      <c r="I186" s="98" t="s">
        <v>247</v>
      </c>
      <c r="K186" s="100"/>
      <c r="L186" s="108"/>
      <c r="M186" s="100"/>
      <c r="N186" s="100"/>
    </row>
    <row r="187" spans="2:14" s="98" customFormat="1">
      <c r="B187" s="99" t="s">
        <v>982</v>
      </c>
      <c r="C187" s="109">
        <v>46301</v>
      </c>
      <c r="D187" s="98" t="s">
        <v>740</v>
      </c>
      <c r="E187" s="103">
        <v>-333</v>
      </c>
      <c r="F187" s="98" t="s">
        <v>239</v>
      </c>
      <c r="I187" s="98" t="s">
        <v>737</v>
      </c>
      <c r="K187" s="100"/>
      <c r="L187" s="108"/>
      <c r="M187" s="100"/>
      <c r="N187" s="100"/>
    </row>
    <row r="188" spans="2:14" s="98" customFormat="1">
      <c r="B188" s="99" t="s">
        <v>982</v>
      </c>
      <c r="C188" s="109">
        <v>46301</v>
      </c>
      <c r="D188" s="98" t="s">
        <v>785</v>
      </c>
      <c r="E188" s="103">
        <v>66516</v>
      </c>
      <c r="F188" s="98" t="s">
        <v>240</v>
      </c>
      <c r="G188" s="98" t="s">
        <v>374</v>
      </c>
      <c r="H188" s="98" t="s">
        <v>516</v>
      </c>
      <c r="I188" s="98" t="s">
        <v>245</v>
      </c>
      <c r="K188" s="100"/>
      <c r="L188" s="108"/>
      <c r="M188" s="100"/>
      <c r="N188" s="100"/>
    </row>
    <row r="189" spans="2:14" s="98" customFormat="1">
      <c r="B189" s="99" t="s">
        <v>982</v>
      </c>
      <c r="C189" s="109">
        <v>46301</v>
      </c>
      <c r="D189" s="98" t="s">
        <v>740</v>
      </c>
      <c r="E189" s="103">
        <v>-12</v>
      </c>
      <c r="F189" s="98" t="s">
        <v>239</v>
      </c>
      <c r="I189" s="98" t="s">
        <v>737</v>
      </c>
      <c r="K189" s="100"/>
      <c r="L189" s="108"/>
      <c r="M189" s="100"/>
      <c r="N189" s="100"/>
    </row>
    <row r="190" spans="2:14" s="98" customFormat="1">
      <c r="B190" s="99" t="s">
        <v>982</v>
      </c>
      <c r="C190" s="109">
        <v>46301</v>
      </c>
      <c r="D190" s="98" t="s">
        <v>993</v>
      </c>
      <c r="E190" s="103">
        <v>2400</v>
      </c>
      <c r="F190" s="98" t="s">
        <v>240</v>
      </c>
      <c r="G190" s="98" t="s">
        <v>374</v>
      </c>
      <c r="H190" s="98" t="s">
        <v>516</v>
      </c>
      <c r="I190" s="98" t="s">
        <v>241</v>
      </c>
      <c r="K190" s="100"/>
      <c r="L190" s="108"/>
      <c r="M190" s="100"/>
      <c r="N190" s="100"/>
    </row>
    <row r="191" spans="2:14" s="98" customFormat="1">
      <c r="B191" s="99" t="s">
        <v>982</v>
      </c>
      <c r="C191" s="109">
        <v>46301</v>
      </c>
      <c r="D191" s="98" t="s">
        <v>740</v>
      </c>
      <c r="E191" s="103">
        <v>-22</v>
      </c>
      <c r="F191" s="98" t="s">
        <v>239</v>
      </c>
      <c r="I191" s="98" t="s">
        <v>737</v>
      </c>
      <c r="K191" s="100"/>
      <c r="L191" s="108"/>
      <c r="M191" s="100"/>
      <c r="N191" s="100"/>
    </row>
    <row r="192" spans="2:14" s="98" customFormat="1">
      <c r="B192" s="99" t="s">
        <v>982</v>
      </c>
      <c r="C192" s="109">
        <v>46301</v>
      </c>
      <c r="D192" s="98" t="s">
        <v>931</v>
      </c>
      <c r="E192" s="103">
        <v>4459</v>
      </c>
      <c r="F192" s="98" t="s">
        <v>240</v>
      </c>
      <c r="G192" s="98" t="s">
        <v>374</v>
      </c>
      <c r="H192" s="98" t="s">
        <v>513</v>
      </c>
      <c r="I192" s="98" t="s">
        <v>242</v>
      </c>
      <c r="K192" s="100"/>
      <c r="L192" s="108"/>
      <c r="M192" s="100"/>
      <c r="N192" s="100"/>
    </row>
    <row r="193" spans="2:14" s="98" customFormat="1">
      <c r="B193" s="99" t="s">
        <v>982</v>
      </c>
      <c r="C193" s="109">
        <v>46301</v>
      </c>
      <c r="D193" s="98" t="s">
        <v>740</v>
      </c>
      <c r="E193" s="103">
        <v>-647</v>
      </c>
      <c r="F193" s="98" t="s">
        <v>239</v>
      </c>
      <c r="I193" s="98" t="s">
        <v>737</v>
      </c>
      <c r="K193" s="100"/>
      <c r="L193" s="108"/>
      <c r="M193" s="100"/>
      <c r="N193" s="100"/>
    </row>
    <row r="194" spans="2:14" s="98" customFormat="1">
      <c r="B194" s="99" t="s">
        <v>982</v>
      </c>
      <c r="C194" s="109">
        <v>46301</v>
      </c>
      <c r="D194" s="98" t="s">
        <v>742</v>
      </c>
      <c r="E194" s="103">
        <v>21552</v>
      </c>
      <c r="F194" s="98" t="s">
        <v>240</v>
      </c>
      <c r="G194" s="98" t="s">
        <v>374</v>
      </c>
      <c r="H194" s="98" t="s">
        <v>513</v>
      </c>
      <c r="I194" s="98" t="s">
        <v>269</v>
      </c>
      <c r="K194" s="100"/>
      <c r="L194" s="108"/>
      <c r="M194" s="100"/>
      <c r="N194" s="100"/>
    </row>
    <row r="195" spans="2:14" s="98" customFormat="1">
      <c r="B195" s="99" t="s">
        <v>982</v>
      </c>
      <c r="C195" s="109">
        <v>46301</v>
      </c>
      <c r="D195" s="98" t="s">
        <v>986</v>
      </c>
      <c r="E195" s="103">
        <v>225000</v>
      </c>
      <c r="F195" s="98" t="s">
        <v>240</v>
      </c>
      <c r="G195" s="98" t="s">
        <v>374</v>
      </c>
      <c r="H195" s="98" t="s">
        <v>546</v>
      </c>
      <c r="I195" s="98" t="s">
        <v>983</v>
      </c>
      <c r="K195" s="110"/>
      <c r="L195" s="108"/>
      <c r="M195" s="100"/>
      <c r="N195" s="100"/>
    </row>
    <row r="196" spans="2:14" s="98" customFormat="1">
      <c r="B196" s="99" t="s">
        <v>982</v>
      </c>
      <c r="C196" s="109">
        <v>46301</v>
      </c>
      <c r="D196" s="98" t="s">
        <v>990</v>
      </c>
      <c r="E196" s="103">
        <v>-225875</v>
      </c>
      <c r="F196" s="98" t="s">
        <v>239</v>
      </c>
      <c r="I196" s="98" t="s">
        <v>398</v>
      </c>
      <c r="K196" s="100"/>
      <c r="L196" s="108"/>
      <c r="M196" s="100"/>
      <c r="N196" s="100"/>
    </row>
    <row r="197" spans="2:14" s="98" customFormat="1">
      <c r="B197" s="99" t="s">
        <v>982</v>
      </c>
      <c r="C197" s="109">
        <v>46300</v>
      </c>
      <c r="D197" s="98" t="s">
        <v>994</v>
      </c>
      <c r="E197" s="103">
        <v>23100</v>
      </c>
      <c r="F197" s="98" t="s">
        <v>240</v>
      </c>
      <c r="G197" s="98" t="s">
        <v>374</v>
      </c>
      <c r="H197" s="98" t="s">
        <v>516</v>
      </c>
      <c r="I197" s="98" t="s">
        <v>273</v>
      </c>
      <c r="K197" s="100"/>
      <c r="L197" s="108"/>
      <c r="M197" s="100"/>
      <c r="N197" s="100"/>
    </row>
    <row r="198" spans="2:14" s="98" customFormat="1">
      <c r="B198" s="99" t="s">
        <v>982</v>
      </c>
      <c r="C198" s="109">
        <v>46300</v>
      </c>
      <c r="D198" s="98" t="s">
        <v>854</v>
      </c>
      <c r="E198" s="103">
        <v>2550</v>
      </c>
      <c r="F198" s="98" t="s">
        <v>240</v>
      </c>
      <c r="G198" s="98" t="s">
        <v>374</v>
      </c>
      <c r="H198" s="98" t="s">
        <v>516</v>
      </c>
      <c r="I198" s="98" t="s">
        <v>247</v>
      </c>
      <c r="K198" s="100"/>
      <c r="L198" s="108"/>
      <c r="M198" s="100"/>
      <c r="N198" s="100"/>
    </row>
    <row r="199" spans="2:14" s="98" customFormat="1">
      <c r="B199" s="99" t="s">
        <v>982</v>
      </c>
      <c r="C199" s="109">
        <v>46300</v>
      </c>
      <c r="D199" s="98" t="s">
        <v>744</v>
      </c>
      <c r="E199" s="103">
        <v>-21</v>
      </c>
      <c r="F199" s="98" t="s">
        <v>239</v>
      </c>
      <c r="I199" s="98" t="s">
        <v>737</v>
      </c>
      <c r="K199" s="100"/>
      <c r="L199" s="108"/>
      <c r="M199" s="100"/>
      <c r="N199" s="100"/>
    </row>
    <row r="200" spans="2:14" s="98" customFormat="1">
      <c r="B200" s="99" t="s">
        <v>982</v>
      </c>
      <c r="C200" s="109">
        <v>46300</v>
      </c>
      <c r="D200" s="98" t="s">
        <v>759</v>
      </c>
      <c r="E200" s="103">
        <v>13150</v>
      </c>
      <c r="F200" s="98" t="s">
        <v>240</v>
      </c>
      <c r="G200" s="98" t="s">
        <v>374</v>
      </c>
      <c r="H200" s="98" t="s">
        <v>516</v>
      </c>
      <c r="I200" s="98" t="s">
        <v>248</v>
      </c>
      <c r="K200" s="100"/>
      <c r="L200" s="108"/>
      <c r="M200" s="100"/>
      <c r="N200" s="100"/>
    </row>
    <row r="201" spans="2:14" s="98" customFormat="1">
      <c r="B201" s="99" t="s">
        <v>982</v>
      </c>
      <c r="C201" s="109">
        <v>46300</v>
      </c>
      <c r="D201" s="98" t="s">
        <v>995</v>
      </c>
      <c r="E201" s="103">
        <v>14847</v>
      </c>
      <c r="F201" s="98" t="s">
        <v>240</v>
      </c>
      <c r="G201" s="98" t="s">
        <v>374</v>
      </c>
      <c r="H201" s="98" t="s">
        <v>516</v>
      </c>
      <c r="I201" s="98" t="s">
        <v>270</v>
      </c>
      <c r="K201" s="100"/>
      <c r="L201" s="108"/>
      <c r="M201" s="100"/>
      <c r="N201" s="100"/>
    </row>
    <row r="202" spans="2:14" s="98" customFormat="1">
      <c r="B202" s="99" t="s">
        <v>982</v>
      </c>
      <c r="C202" s="109">
        <v>46300</v>
      </c>
      <c r="D202" s="98" t="s">
        <v>740</v>
      </c>
      <c r="E202" s="103">
        <v>-22</v>
      </c>
      <c r="F202" s="98" t="s">
        <v>239</v>
      </c>
      <c r="I202" s="98" t="s">
        <v>737</v>
      </c>
      <c r="K202" s="100"/>
      <c r="L202" s="108"/>
      <c r="M202" s="100"/>
      <c r="N202" s="100"/>
    </row>
    <row r="203" spans="2:14" s="98" customFormat="1">
      <c r="B203" s="99" t="s">
        <v>982</v>
      </c>
      <c r="C203" s="109">
        <v>46300</v>
      </c>
      <c r="D203" s="98" t="s">
        <v>931</v>
      </c>
      <c r="E203" s="103">
        <v>4459</v>
      </c>
      <c r="F203" s="98" t="s">
        <v>240</v>
      </c>
      <c r="G203" s="98" t="s">
        <v>374</v>
      </c>
      <c r="H203" s="98" t="s">
        <v>513</v>
      </c>
      <c r="I203" s="98" t="s">
        <v>242</v>
      </c>
      <c r="K203" s="100"/>
      <c r="L203" s="108"/>
      <c r="M203" s="100"/>
      <c r="N203" s="100"/>
    </row>
    <row r="204" spans="2:14" s="98" customFormat="1">
      <c r="B204" s="99" t="s">
        <v>982</v>
      </c>
      <c r="C204" s="109">
        <v>46300</v>
      </c>
      <c r="D204" s="98" t="s">
        <v>404</v>
      </c>
      <c r="E204" s="103">
        <v>27589</v>
      </c>
      <c r="F204" s="98" t="s">
        <v>240</v>
      </c>
      <c r="G204" s="98" t="s">
        <v>374</v>
      </c>
      <c r="H204" s="98" t="s">
        <v>513</v>
      </c>
      <c r="I204" s="98" t="s">
        <v>545</v>
      </c>
      <c r="K204" s="100"/>
      <c r="L204" s="108"/>
      <c r="M204" s="100"/>
      <c r="N204" s="100"/>
    </row>
    <row r="205" spans="2:14" s="98" customFormat="1">
      <c r="B205" s="99" t="s">
        <v>982</v>
      </c>
      <c r="C205" s="109">
        <v>46300</v>
      </c>
      <c r="D205" s="98" t="s">
        <v>984</v>
      </c>
      <c r="E205" s="103">
        <v>758000</v>
      </c>
      <c r="F205" s="98" t="s">
        <v>240</v>
      </c>
      <c r="G205" s="98" t="s">
        <v>374</v>
      </c>
      <c r="H205" s="98" t="s">
        <v>513</v>
      </c>
      <c r="I205" s="98" t="s">
        <v>252</v>
      </c>
      <c r="K205" s="100"/>
      <c r="L205" s="108"/>
      <c r="M205" s="100"/>
      <c r="N205" s="100"/>
    </row>
    <row r="206" spans="2:14" s="98" customFormat="1">
      <c r="B206" s="99" t="s">
        <v>982</v>
      </c>
      <c r="C206" s="109">
        <v>46300</v>
      </c>
      <c r="D206" s="98" t="s">
        <v>986</v>
      </c>
      <c r="E206" s="103">
        <v>10000</v>
      </c>
      <c r="F206" s="98" t="s">
        <v>240</v>
      </c>
      <c r="G206" s="98" t="s">
        <v>374</v>
      </c>
      <c r="H206" s="98" t="s">
        <v>546</v>
      </c>
      <c r="I206" s="98" t="s">
        <v>983</v>
      </c>
      <c r="K206" s="100"/>
      <c r="L206" s="108"/>
      <c r="M206" s="100"/>
      <c r="N206" s="100"/>
    </row>
    <row r="207" spans="2:14" s="98" customFormat="1">
      <c r="B207" s="99" t="s">
        <v>982</v>
      </c>
      <c r="C207" s="109">
        <v>46300</v>
      </c>
      <c r="D207" s="98" t="s">
        <v>687</v>
      </c>
      <c r="E207" s="103">
        <v>23381</v>
      </c>
      <c r="F207" s="98" t="s">
        <v>240</v>
      </c>
      <c r="G207" s="98" t="s">
        <v>374</v>
      </c>
      <c r="H207" s="98" t="s">
        <v>516</v>
      </c>
      <c r="I207" s="98" t="s">
        <v>736</v>
      </c>
      <c r="K207" s="100"/>
      <c r="L207" s="108"/>
      <c r="M207" s="100"/>
      <c r="N207" s="100"/>
    </row>
    <row r="208" spans="2:14" s="98" customFormat="1">
      <c r="B208" s="99" t="s">
        <v>982</v>
      </c>
      <c r="C208" s="109">
        <v>46300</v>
      </c>
      <c r="D208" s="98" t="s">
        <v>741</v>
      </c>
      <c r="E208" s="103">
        <v>19647</v>
      </c>
      <c r="F208" s="98" t="s">
        <v>240</v>
      </c>
      <c r="G208" s="98" t="s">
        <v>374</v>
      </c>
      <c r="H208" s="98" t="s">
        <v>516</v>
      </c>
      <c r="I208" s="98" t="s">
        <v>736</v>
      </c>
      <c r="K208" s="100"/>
      <c r="L208" s="108"/>
      <c r="M208" s="100"/>
      <c r="N208" s="100"/>
    </row>
    <row r="209" spans="2:14" s="98" customFormat="1">
      <c r="B209" s="99" t="s">
        <v>982</v>
      </c>
      <c r="C209" s="109">
        <v>46300</v>
      </c>
      <c r="D209" s="98" t="s">
        <v>997</v>
      </c>
      <c r="E209" s="103">
        <v>62700</v>
      </c>
      <c r="F209" s="98" t="s">
        <v>240</v>
      </c>
      <c r="G209" s="98" t="s">
        <v>374</v>
      </c>
      <c r="H209" s="98" t="s">
        <v>516</v>
      </c>
      <c r="I209" s="98" t="s">
        <v>268</v>
      </c>
      <c r="K209" s="100"/>
      <c r="L209" s="108"/>
      <c r="M209" s="100"/>
      <c r="N209" s="100"/>
    </row>
    <row r="210" spans="2:14" s="98" customFormat="1">
      <c r="B210" s="99" t="s">
        <v>982</v>
      </c>
      <c r="C210" s="109">
        <v>46300</v>
      </c>
      <c r="D210" s="98" t="s">
        <v>740</v>
      </c>
      <c r="E210" s="103">
        <v>-6</v>
      </c>
      <c r="F210" s="98" t="s">
        <v>239</v>
      </c>
      <c r="I210" s="98" t="s">
        <v>737</v>
      </c>
      <c r="K210" s="100"/>
      <c r="L210" s="108"/>
      <c r="M210" s="100"/>
      <c r="N210" s="100"/>
    </row>
    <row r="211" spans="2:14" s="98" customFormat="1">
      <c r="B211" s="99" t="s">
        <v>982</v>
      </c>
      <c r="C211" s="109">
        <v>46300</v>
      </c>
      <c r="D211" s="98" t="s">
        <v>748</v>
      </c>
      <c r="E211" s="103">
        <v>1200</v>
      </c>
      <c r="F211" s="98" t="s">
        <v>240</v>
      </c>
      <c r="G211" s="98" t="s">
        <v>374</v>
      </c>
      <c r="H211" s="98" t="s">
        <v>516</v>
      </c>
      <c r="I211" s="98" t="s">
        <v>247</v>
      </c>
      <c r="K211" s="100"/>
      <c r="L211" s="108"/>
      <c r="M211" s="100"/>
      <c r="N211" s="100"/>
    </row>
    <row r="212" spans="2:14" s="98" customFormat="1">
      <c r="B212" s="99" t="s">
        <v>982</v>
      </c>
      <c r="C212" s="109">
        <v>46299</v>
      </c>
      <c r="D212" s="98" t="s">
        <v>740</v>
      </c>
      <c r="E212" s="103">
        <v>-270</v>
      </c>
      <c r="F212" s="98" t="s">
        <v>239</v>
      </c>
      <c r="I212" s="98" t="s">
        <v>737</v>
      </c>
      <c r="K212" s="100"/>
      <c r="L212" s="108"/>
      <c r="M212" s="100"/>
      <c r="N212" s="100"/>
    </row>
    <row r="213" spans="2:14" s="98" customFormat="1">
      <c r="B213" s="99" t="s">
        <v>982</v>
      </c>
      <c r="C213" s="109">
        <v>46299</v>
      </c>
      <c r="D213" s="98" t="s">
        <v>840</v>
      </c>
      <c r="E213" s="103">
        <v>54000</v>
      </c>
      <c r="F213" s="98" t="s">
        <v>240</v>
      </c>
      <c r="G213" s="98" t="s">
        <v>374</v>
      </c>
      <c r="H213" s="98" t="s">
        <v>516</v>
      </c>
      <c r="I213" s="98" t="s">
        <v>245</v>
      </c>
      <c r="K213" s="100"/>
      <c r="L213" s="108"/>
      <c r="M213" s="100"/>
      <c r="N213" s="100"/>
    </row>
    <row r="214" spans="2:14" s="98" customFormat="1">
      <c r="B214" s="99" t="s">
        <v>982</v>
      </c>
      <c r="C214" s="109">
        <v>46299</v>
      </c>
      <c r="D214" s="98" t="s">
        <v>956</v>
      </c>
      <c r="E214" s="103">
        <v>1590</v>
      </c>
      <c r="F214" s="98" t="s">
        <v>240</v>
      </c>
      <c r="G214" s="98" t="s">
        <v>374</v>
      </c>
      <c r="H214" s="98" t="s">
        <v>516</v>
      </c>
      <c r="I214" s="98" t="s">
        <v>247</v>
      </c>
      <c r="K214" s="100"/>
      <c r="L214" s="108"/>
      <c r="M214" s="100"/>
      <c r="N214" s="100"/>
    </row>
    <row r="215" spans="2:14" s="98" customFormat="1">
      <c r="B215" s="99" t="s">
        <v>982</v>
      </c>
      <c r="C215" s="109">
        <v>46299</v>
      </c>
      <c r="D215" s="98" t="s">
        <v>854</v>
      </c>
      <c r="E215" s="103">
        <v>2590</v>
      </c>
      <c r="F215" s="98" t="s">
        <v>240</v>
      </c>
      <c r="G215" s="98" t="s">
        <v>374</v>
      </c>
      <c r="H215" s="98" t="s">
        <v>516</v>
      </c>
      <c r="I215" s="98" t="s">
        <v>247</v>
      </c>
      <c r="K215" s="100"/>
      <c r="L215" s="108"/>
      <c r="M215" s="100"/>
      <c r="N215" s="100"/>
    </row>
    <row r="216" spans="2:14" s="98" customFormat="1">
      <c r="B216" s="99" t="s">
        <v>982</v>
      </c>
      <c r="C216" s="109">
        <v>46299</v>
      </c>
      <c r="D216" s="98" t="s">
        <v>854</v>
      </c>
      <c r="E216" s="103">
        <v>14849</v>
      </c>
      <c r="F216" s="98" t="s">
        <v>240</v>
      </c>
      <c r="G216" s="98" t="s">
        <v>374</v>
      </c>
      <c r="H216" s="98" t="s">
        <v>516</v>
      </c>
      <c r="I216" s="98" t="s">
        <v>270</v>
      </c>
      <c r="K216" s="100"/>
      <c r="L216" s="108"/>
      <c r="M216" s="100"/>
      <c r="N216" s="100"/>
    </row>
    <row r="217" spans="2:14" s="98" customFormat="1">
      <c r="B217" s="99" t="s">
        <v>982</v>
      </c>
      <c r="C217" s="109">
        <v>46298</v>
      </c>
      <c r="D217" s="98" t="s">
        <v>740</v>
      </c>
      <c r="E217" s="103">
        <v>-25</v>
      </c>
      <c r="F217" s="98" t="s">
        <v>239</v>
      </c>
      <c r="I217" s="98" t="s">
        <v>737</v>
      </c>
      <c r="K217" s="100"/>
      <c r="L217" s="108"/>
      <c r="M217" s="100"/>
      <c r="N217" s="100"/>
    </row>
    <row r="218" spans="2:14" s="98" customFormat="1">
      <c r="B218" s="99" t="s">
        <v>982</v>
      </c>
      <c r="C218" s="109">
        <v>46298</v>
      </c>
      <c r="D218" s="98" t="s">
        <v>957</v>
      </c>
      <c r="E218" s="103">
        <v>5000</v>
      </c>
      <c r="F218" s="98" t="s">
        <v>240</v>
      </c>
      <c r="G218" s="98" t="s">
        <v>374</v>
      </c>
      <c r="H218" s="98" t="s">
        <v>516</v>
      </c>
      <c r="I218" s="98" t="s">
        <v>273</v>
      </c>
      <c r="K218" s="100"/>
      <c r="L218" s="108"/>
      <c r="M218" s="100"/>
      <c r="N218" s="100"/>
    </row>
    <row r="219" spans="2:14" s="98" customFormat="1">
      <c r="B219" s="99" t="s">
        <v>982</v>
      </c>
      <c r="C219" s="109">
        <v>46298</v>
      </c>
      <c r="D219" s="98" t="s">
        <v>740</v>
      </c>
      <c r="E219" s="103">
        <v>-9</v>
      </c>
      <c r="F219" s="98" t="s">
        <v>239</v>
      </c>
      <c r="I219" s="98" t="s">
        <v>737</v>
      </c>
      <c r="K219" s="100"/>
      <c r="L219" s="108"/>
      <c r="M219" s="100"/>
      <c r="N219" s="100"/>
    </row>
    <row r="220" spans="2:14" s="98" customFormat="1">
      <c r="B220" s="99" t="s">
        <v>982</v>
      </c>
      <c r="C220" s="109">
        <v>46298</v>
      </c>
      <c r="D220" s="98" t="s">
        <v>958</v>
      </c>
      <c r="E220" s="103">
        <v>1700</v>
      </c>
      <c r="F220" s="98" t="s">
        <v>240</v>
      </c>
      <c r="G220" s="98" t="s">
        <v>374</v>
      </c>
      <c r="H220" s="98" t="s">
        <v>516</v>
      </c>
      <c r="I220" s="98" t="s">
        <v>247</v>
      </c>
      <c r="K220" s="100"/>
      <c r="L220" s="108"/>
      <c r="M220" s="100"/>
      <c r="N220" s="100"/>
    </row>
    <row r="221" spans="2:14" s="98" customFormat="1">
      <c r="B221" s="99" t="s">
        <v>982</v>
      </c>
      <c r="C221" s="109">
        <v>46298</v>
      </c>
      <c r="D221" s="98" t="s">
        <v>740</v>
      </c>
      <c r="E221" s="103">
        <v>-9</v>
      </c>
      <c r="F221" s="98" t="s">
        <v>239</v>
      </c>
      <c r="I221" s="98" t="s">
        <v>737</v>
      </c>
      <c r="K221" s="100"/>
      <c r="L221" s="108"/>
      <c r="M221" s="100"/>
      <c r="N221" s="100"/>
    </row>
    <row r="222" spans="2:14" s="98" customFormat="1">
      <c r="B222" s="99" t="s">
        <v>982</v>
      </c>
      <c r="C222" s="109">
        <v>46298</v>
      </c>
      <c r="D222" s="98" t="s">
        <v>784</v>
      </c>
      <c r="E222" s="103">
        <v>1790</v>
      </c>
      <c r="F222" s="98" t="s">
        <v>240</v>
      </c>
      <c r="G222" s="98" t="s">
        <v>374</v>
      </c>
      <c r="H222" s="98" t="s">
        <v>516</v>
      </c>
      <c r="I222" s="98" t="s">
        <v>245</v>
      </c>
      <c r="K222" s="100"/>
      <c r="L222" s="108"/>
      <c r="M222" s="100"/>
      <c r="N222" s="100"/>
    </row>
    <row r="223" spans="2:14" s="98" customFormat="1">
      <c r="B223" s="99" t="s">
        <v>982</v>
      </c>
      <c r="C223" s="109">
        <v>46298</v>
      </c>
      <c r="D223" s="98" t="s">
        <v>740</v>
      </c>
      <c r="E223" s="103">
        <v>-142</v>
      </c>
      <c r="F223" s="98" t="s">
        <v>239</v>
      </c>
      <c r="I223" s="98" t="s">
        <v>737</v>
      </c>
      <c r="K223" s="100"/>
      <c r="L223" s="108"/>
      <c r="M223" s="100"/>
      <c r="N223" s="100"/>
    </row>
    <row r="224" spans="2:14" s="98" customFormat="1">
      <c r="B224" s="99" t="s">
        <v>982</v>
      </c>
      <c r="C224" s="109">
        <v>46298</v>
      </c>
      <c r="D224" s="98" t="s">
        <v>840</v>
      </c>
      <c r="E224" s="103">
        <v>28410</v>
      </c>
      <c r="F224" s="98" t="s">
        <v>240</v>
      </c>
      <c r="G224" s="98" t="s">
        <v>374</v>
      </c>
      <c r="H224" s="98" t="s">
        <v>516</v>
      </c>
      <c r="I224" s="98" t="s">
        <v>245</v>
      </c>
      <c r="K224" s="100"/>
      <c r="L224" s="108"/>
      <c r="M224" s="100"/>
      <c r="N224" s="100"/>
    </row>
    <row r="225" spans="2:14" s="98" customFormat="1">
      <c r="B225" s="99" t="s">
        <v>982</v>
      </c>
      <c r="C225" s="109">
        <v>46298</v>
      </c>
      <c r="D225" s="98" t="s">
        <v>740</v>
      </c>
      <c r="E225" s="103">
        <v>-3</v>
      </c>
      <c r="F225" s="98" t="s">
        <v>239</v>
      </c>
      <c r="I225" s="98" t="s">
        <v>737</v>
      </c>
      <c r="K225" s="100"/>
      <c r="L225" s="108"/>
      <c r="M225" s="100"/>
      <c r="N225" s="100"/>
    </row>
    <row r="226" spans="2:14" s="98" customFormat="1">
      <c r="B226" s="99" t="s">
        <v>982</v>
      </c>
      <c r="C226" s="109">
        <v>46298</v>
      </c>
      <c r="D226" s="98" t="s">
        <v>778</v>
      </c>
      <c r="E226" s="103">
        <v>550</v>
      </c>
      <c r="F226" s="98" t="s">
        <v>240</v>
      </c>
      <c r="G226" s="98" t="s">
        <v>374</v>
      </c>
      <c r="H226" s="98" t="s">
        <v>516</v>
      </c>
      <c r="I226" s="98" t="s">
        <v>241</v>
      </c>
      <c r="K226" s="100"/>
      <c r="L226" s="108"/>
      <c r="M226" s="100"/>
      <c r="N226" s="100"/>
    </row>
    <row r="227" spans="2:14" s="98" customFormat="1">
      <c r="B227" s="99" t="s">
        <v>982</v>
      </c>
      <c r="C227" s="109">
        <v>46298</v>
      </c>
      <c r="D227" s="98" t="s">
        <v>740</v>
      </c>
      <c r="E227" s="103">
        <v>-5</v>
      </c>
      <c r="F227" s="98" t="s">
        <v>239</v>
      </c>
      <c r="I227" s="98" t="s">
        <v>737</v>
      </c>
      <c r="K227" s="100"/>
      <c r="L227" s="108"/>
      <c r="M227" s="100"/>
      <c r="N227" s="100"/>
    </row>
    <row r="228" spans="2:14" s="98" customFormat="1">
      <c r="B228" s="99" t="s">
        <v>982</v>
      </c>
      <c r="C228" s="109">
        <v>46298</v>
      </c>
      <c r="D228" s="98" t="s">
        <v>959</v>
      </c>
      <c r="E228" s="103">
        <v>1000</v>
      </c>
      <c r="F228" s="98" t="s">
        <v>240</v>
      </c>
      <c r="G228" s="98" t="s">
        <v>374</v>
      </c>
      <c r="H228" s="98" t="s">
        <v>516</v>
      </c>
      <c r="I228" s="98" t="s">
        <v>247</v>
      </c>
      <c r="K228" s="100"/>
      <c r="L228" s="108"/>
      <c r="M228" s="100"/>
      <c r="N228" s="100"/>
    </row>
    <row r="229" spans="2:14" s="98" customFormat="1">
      <c r="B229" s="99" t="s">
        <v>982</v>
      </c>
      <c r="C229" s="109">
        <v>46298</v>
      </c>
      <c r="D229" s="98" t="s">
        <v>740</v>
      </c>
      <c r="E229" s="103">
        <v>-151</v>
      </c>
      <c r="F229" s="98" t="s">
        <v>239</v>
      </c>
      <c r="I229" s="98" t="s">
        <v>737</v>
      </c>
      <c r="K229" s="100"/>
      <c r="L229" s="108"/>
      <c r="M229" s="100"/>
      <c r="N229" s="100"/>
    </row>
    <row r="230" spans="2:14" s="98" customFormat="1">
      <c r="B230" s="99" t="s">
        <v>982</v>
      </c>
      <c r="C230" s="109">
        <v>46298</v>
      </c>
      <c r="D230" s="98" t="s">
        <v>750</v>
      </c>
      <c r="E230" s="103">
        <v>30240</v>
      </c>
      <c r="F230" s="98" t="s">
        <v>240</v>
      </c>
      <c r="G230" s="98" t="s">
        <v>374</v>
      </c>
      <c r="H230" s="98" t="s">
        <v>516</v>
      </c>
      <c r="I230" s="98" t="s">
        <v>243</v>
      </c>
      <c r="K230" s="100"/>
      <c r="L230" s="108"/>
      <c r="M230" s="100"/>
      <c r="N230" s="100"/>
    </row>
    <row r="231" spans="2:14" s="98" customFormat="1">
      <c r="B231" s="99" t="s">
        <v>982</v>
      </c>
      <c r="C231" s="109">
        <v>46298</v>
      </c>
      <c r="D231" s="98" t="s">
        <v>740</v>
      </c>
      <c r="E231" s="103">
        <v>-75</v>
      </c>
      <c r="F231" s="98" t="s">
        <v>239</v>
      </c>
      <c r="I231" s="98" t="s">
        <v>737</v>
      </c>
      <c r="K231" s="100"/>
      <c r="L231" s="108"/>
      <c r="M231" s="100"/>
      <c r="N231" s="100"/>
    </row>
    <row r="232" spans="2:14" s="98" customFormat="1">
      <c r="B232" s="99" t="s">
        <v>982</v>
      </c>
      <c r="C232" s="109">
        <v>46298</v>
      </c>
      <c r="D232" s="98" t="s">
        <v>960</v>
      </c>
      <c r="E232" s="103">
        <v>15000</v>
      </c>
      <c r="F232" s="98" t="s">
        <v>240</v>
      </c>
      <c r="G232" s="98" t="s">
        <v>374</v>
      </c>
      <c r="H232" s="98" t="s">
        <v>516</v>
      </c>
      <c r="I232" s="98" t="s">
        <v>270</v>
      </c>
      <c r="K232" s="100"/>
      <c r="L232" s="108"/>
      <c r="M232" s="100"/>
      <c r="N232" s="100"/>
    </row>
    <row r="233" spans="2:14" s="98" customFormat="1">
      <c r="B233" s="99" t="s">
        <v>982</v>
      </c>
      <c r="C233" s="109">
        <v>46298</v>
      </c>
      <c r="D233" s="98" t="s">
        <v>740</v>
      </c>
      <c r="E233" s="103">
        <v>-216</v>
      </c>
      <c r="F233" s="98" t="s">
        <v>239</v>
      </c>
      <c r="I233" s="98" t="s">
        <v>737</v>
      </c>
      <c r="K233" s="100"/>
      <c r="L233" s="108"/>
      <c r="M233" s="100"/>
      <c r="N233" s="100"/>
    </row>
    <row r="234" spans="2:14" s="98" customFormat="1">
      <c r="B234" s="99" t="s">
        <v>982</v>
      </c>
      <c r="C234" s="109">
        <v>46298</v>
      </c>
      <c r="D234" s="98" t="s">
        <v>961</v>
      </c>
      <c r="E234" s="103">
        <v>43101</v>
      </c>
      <c r="F234" s="98" t="s">
        <v>240</v>
      </c>
      <c r="G234" s="98" t="s">
        <v>374</v>
      </c>
      <c r="H234" s="98" t="s">
        <v>516</v>
      </c>
      <c r="I234" s="98" t="s">
        <v>244</v>
      </c>
      <c r="K234" s="100"/>
      <c r="L234" s="108"/>
      <c r="M234" s="100"/>
      <c r="N234" s="100"/>
    </row>
    <row r="235" spans="2:14" s="98" customFormat="1">
      <c r="B235" s="99" t="s">
        <v>982</v>
      </c>
      <c r="C235" s="109">
        <v>46298</v>
      </c>
      <c r="D235" s="98" t="s">
        <v>740</v>
      </c>
      <c r="E235" s="103">
        <v>-107</v>
      </c>
      <c r="F235" s="98" t="s">
        <v>239</v>
      </c>
      <c r="I235" s="98" t="s">
        <v>737</v>
      </c>
      <c r="K235" s="100"/>
      <c r="L235" s="108"/>
      <c r="M235" s="100"/>
      <c r="N235" s="100"/>
    </row>
    <row r="236" spans="2:14" s="98" customFormat="1">
      <c r="B236" s="99" t="s">
        <v>982</v>
      </c>
      <c r="C236" s="109">
        <v>46298</v>
      </c>
      <c r="D236" s="98" t="s">
        <v>962</v>
      </c>
      <c r="E236" s="103">
        <v>21490</v>
      </c>
      <c r="F236" s="98" t="s">
        <v>240</v>
      </c>
      <c r="G236" s="98" t="s">
        <v>374</v>
      </c>
      <c r="H236" s="98" t="s">
        <v>516</v>
      </c>
      <c r="I236" s="98" t="s">
        <v>269</v>
      </c>
      <c r="K236" s="100"/>
      <c r="L236" s="108"/>
      <c r="M236" s="100"/>
      <c r="N236" s="100"/>
    </row>
    <row r="237" spans="2:14" s="98" customFormat="1">
      <c r="B237" s="99" t="s">
        <v>982</v>
      </c>
      <c r="C237" s="109">
        <v>46298</v>
      </c>
      <c r="D237" s="98" t="s">
        <v>740</v>
      </c>
      <c r="E237" s="103">
        <v>-25</v>
      </c>
      <c r="F237" s="98" t="s">
        <v>239</v>
      </c>
      <c r="I237" s="98" t="s">
        <v>737</v>
      </c>
      <c r="K237" s="100"/>
      <c r="L237" s="108"/>
      <c r="M237" s="100"/>
      <c r="N237" s="100"/>
    </row>
    <row r="238" spans="2:14" s="98" customFormat="1">
      <c r="B238" s="99" t="s">
        <v>982</v>
      </c>
      <c r="C238" s="109">
        <v>46298</v>
      </c>
      <c r="D238" s="98" t="s">
        <v>963</v>
      </c>
      <c r="E238" s="103">
        <v>5070</v>
      </c>
      <c r="F238" s="98" t="s">
        <v>240</v>
      </c>
      <c r="G238" s="98" t="s">
        <v>374</v>
      </c>
      <c r="H238" s="98" t="s">
        <v>516</v>
      </c>
      <c r="I238" s="98" t="s">
        <v>247</v>
      </c>
      <c r="K238" s="100"/>
      <c r="L238" s="108"/>
      <c r="M238" s="100"/>
      <c r="N238" s="100"/>
    </row>
    <row r="239" spans="2:14" s="98" customFormat="1">
      <c r="B239" s="99" t="s">
        <v>982</v>
      </c>
      <c r="C239" s="109">
        <v>46298</v>
      </c>
      <c r="D239" s="98" t="s">
        <v>744</v>
      </c>
      <c r="E239" s="103">
        <v>-52</v>
      </c>
      <c r="F239" s="98" t="s">
        <v>239</v>
      </c>
      <c r="I239" s="98" t="s">
        <v>737</v>
      </c>
      <c r="K239" s="100"/>
      <c r="L239" s="108"/>
      <c r="M239" s="100"/>
      <c r="N239" s="100"/>
    </row>
    <row r="240" spans="2:14" s="98" customFormat="1">
      <c r="B240" s="99" t="s">
        <v>982</v>
      </c>
      <c r="C240" s="109">
        <v>46297</v>
      </c>
      <c r="D240" s="98" t="s">
        <v>717</v>
      </c>
      <c r="E240" s="103">
        <v>140000</v>
      </c>
      <c r="F240" s="98" t="s">
        <v>240</v>
      </c>
      <c r="G240" s="98" t="s">
        <v>374</v>
      </c>
      <c r="H240" s="98" t="s">
        <v>516</v>
      </c>
      <c r="I240" s="98" t="s">
        <v>273</v>
      </c>
      <c r="K240" s="100"/>
      <c r="L240" s="108"/>
      <c r="M240" s="100"/>
      <c r="N240" s="100"/>
    </row>
    <row r="241" spans="2:14" s="98" customFormat="1">
      <c r="B241" s="99" t="s">
        <v>982</v>
      </c>
      <c r="C241" s="109">
        <v>46297</v>
      </c>
      <c r="D241" s="98" t="s">
        <v>740</v>
      </c>
      <c r="E241" s="103">
        <v>-3</v>
      </c>
      <c r="F241" s="98" t="s">
        <v>239</v>
      </c>
      <c r="I241" s="98" t="s">
        <v>737</v>
      </c>
      <c r="K241" s="100"/>
      <c r="L241" s="108"/>
      <c r="M241" s="100"/>
      <c r="N241" s="100"/>
    </row>
    <row r="242" spans="2:14" s="98" customFormat="1">
      <c r="B242" s="99" t="s">
        <v>982</v>
      </c>
      <c r="C242" s="109">
        <v>46297</v>
      </c>
      <c r="D242" s="98" t="s">
        <v>964</v>
      </c>
      <c r="E242" s="103">
        <v>500</v>
      </c>
      <c r="F242" s="98" t="s">
        <v>240</v>
      </c>
      <c r="G242" s="98" t="s">
        <v>374</v>
      </c>
      <c r="H242" s="98" t="s">
        <v>516</v>
      </c>
      <c r="I242" s="98" t="s">
        <v>241</v>
      </c>
      <c r="K242" s="100"/>
      <c r="L242" s="108"/>
      <c r="M242" s="100"/>
      <c r="N242" s="100"/>
    </row>
    <row r="243" spans="2:14" s="98" customFormat="1">
      <c r="B243" s="99" t="s">
        <v>982</v>
      </c>
      <c r="C243" s="109">
        <v>46297</v>
      </c>
      <c r="D243" s="98" t="s">
        <v>740</v>
      </c>
      <c r="E243" s="103">
        <v>-18</v>
      </c>
      <c r="F243" s="98" t="s">
        <v>239</v>
      </c>
      <c r="I243" s="98" t="s">
        <v>737</v>
      </c>
      <c r="K243" s="100"/>
      <c r="L243" s="108"/>
      <c r="M243" s="100"/>
      <c r="N243" s="100"/>
    </row>
    <row r="244" spans="2:14" s="98" customFormat="1">
      <c r="B244" s="99" t="s">
        <v>982</v>
      </c>
      <c r="C244" s="109">
        <v>46297</v>
      </c>
      <c r="D244" s="98" t="s">
        <v>799</v>
      </c>
      <c r="E244" s="103">
        <v>3500</v>
      </c>
      <c r="F244" s="98" t="s">
        <v>240</v>
      </c>
      <c r="G244" s="98" t="s">
        <v>374</v>
      </c>
      <c r="H244" s="98" t="s">
        <v>516</v>
      </c>
      <c r="I244" s="98" t="s">
        <v>248</v>
      </c>
      <c r="K244" s="100"/>
      <c r="L244" s="108"/>
      <c r="M244" s="100"/>
      <c r="N244" s="100"/>
    </row>
    <row r="245" spans="2:14" s="98" customFormat="1">
      <c r="B245" s="99" t="s">
        <v>982</v>
      </c>
      <c r="C245" s="109">
        <v>46297</v>
      </c>
      <c r="D245" s="98" t="s">
        <v>740</v>
      </c>
      <c r="E245" s="103">
        <v>-5</v>
      </c>
      <c r="F245" s="98" t="s">
        <v>239</v>
      </c>
      <c r="I245" s="98" t="s">
        <v>737</v>
      </c>
      <c r="K245" s="100"/>
      <c r="L245" s="108"/>
      <c r="M245" s="100"/>
      <c r="N245" s="100"/>
    </row>
    <row r="246" spans="2:14" s="98" customFormat="1">
      <c r="B246" s="99" t="s">
        <v>982</v>
      </c>
      <c r="C246" s="109">
        <v>46297</v>
      </c>
      <c r="D246" s="98" t="s">
        <v>799</v>
      </c>
      <c r="E246" s="103">
        <v>1000</v>
      </c>
      <c r="F246" s="98" t="s">
        <v>240</v>
      </c>
      <c r="G246" s="98" t="s">
        <v>374</v>
      </c>
      <c r="H246" s="98" t="s">
        <v>516</v>
      </c>
      <c r="I246" s="98" t="s">
        <v>248</v>
      </c>
      <c r="K246" s="100"/>
      <c r="L246" s="108"/>
      <c r="M246" s="100"/>
      <c r="N246" s="100"/>
    </row>
    <row r="247" spans="2:14" s="98" customFormat="1">
      <c r="B247" s="99" t="s">
        <v>982</v>
      </c>
      <c r="C247" s="109">
        <v>46297</v>
      </c>
      <c r="D247" s="98" t="s">
        <v>740</v>
      </c>
      <c r="E247" s="103">
        <v>-18</v>
      </c>
      <c r="F247" s="98" t="s">
        <v>239</v>
      </c>
      <c r="I247" s="98" t="s">
        <v>737</v>
      </c>
      <c r="K247" s="100"/>
      <c r="L247" s="108"/>
      <c r="M247" s="100"/>
      <c r="N247" s="100"/>
    </row>
    <row r="248" spans="2:14" s="98" customFormat="1">
      <c r="B248" s="99" t="s">
        <v>982</v>
      </c>
      <c r="C248" s="109">
        <v>46297</v>
      </c>
      <c r="D248" s="98" t="s">
        <v>799</v>
      </c>
      <c r="E248" s="103">
        <v>3500</v>
      </c>
      <c r="F248" s="98" t="s">
        <v>240</v>
      </c>
      <c r="G248" s="98" t="s">
        <v>374</v>
      </c>
      <c r="H248" s="98" t="s">
        <v>516</v>
      </c>
      <c r="I248" s="98" t="s">
        <v>248</v>
      </c>
      <c r="K248" s="100"/>
      <c r="L248" s="108"/>
      <c r="M248" s="100"/>
      <c r="N248" s="100"/>
    </row>
    <row r="249" spans="2:14" s="98" customFormat="1">
      <c r="B249" s="99" t="s">
        <v>982</v>
      </c>
      <c r="C249" s="109">
        <v>46297</v>
      </c>
      <c r="D249" s="98" t="s">
        <v>740</v>
      </c>
      <c r="E249" s="103">
        <v>-110</v>
      </c>
      <c r="F249" s="98" t="s">
        <v>239</v>
      </c>
      <c r="I249" s="98" t="s">
        <v>737</v>
      </c>
      <c r="K249" s="100"/>
      <c r="L249" s="108"/>
      <c r="M249" s="100"/>
      <c r="N249" s="100"/>
    </row>
    <row r="250" spans="2:14" s="98" customFormat="1">
      <c r="B250" s="99" t="s">
        <v>982</v>
      </c>
      <c r="C250" s="109">
        <v>46297</v>
      </c>
      <c r="D250" s="98" t="s">
        <v>799</v>
      </c>
      <c r="E250" s="103">
        <v>22000</v>
      </c>
      <c r="F250" s="98" t="s">
        <v>240</v>
      </c>
      <c r="G250" s="98" t="s">
        <v>374</v>
      </c>
      <c r="H250" s="98" t="s">
        <v>516</v>
      </c>
      <c r="I250" s="98" t="s">
        <v>248</v>
      </c>
      <c r="K250" s="100"/>
      <c r="L250" s="108"/>
      <c r="M250" s="100"/>
      <c r="N250" s="100"/>
    </row>
    <row r="251" spans="2:14" s="98" customFormat="1">
      <c r="B251" s="99" t="s">
        <v>982</v>
      </c>
      <c r="C251" s="109">
        <v>46297</v>
      </c>
      <c r="D251" s="98" t="s">
        <v>740</v>
      </c>
      <c r="E251" s="103">
        <v>-9</v>
      </c>
      <c r="F251" s="98" t="s">
        <v>239</v>
      </c>
      <c r="I251" s="98" t="s">
        <v>737</v>
      </c>
      <c r="K251" s="100"/>
      <c r="L251" s="108"/>
      <c r="M251" s="100"/>
      <c r="N251" s="100"/>
    </row>
    <row r="252" spans="2:14" s="98" customFormat="1">
      <c r="B252" s="99" t="s">
        <v>982</v>
      </c>
      <c r="C252" s="109">
        <v>46297</v>
      </c>
      <c r="D252" s="98" t="s">
        <v>778</v>
      </c>
      <c r="E252" s="103">
        <v>1750</v>
      </c>
      <c r="F252" s="98" t="s">
        <v>240</v>
      </c>
      <c r="G252" s="98" t="s">
        <v>374</v>
      </c>
      <c r="H252" s="98" t="s">
        <v>516</v>
      </c>
      <c r="I252" s="98" t="s">
        <v>241</v>
      </c>
      <c r="K252" s="100"/>
      <c r="L252" s="108"/>
      <c r="M252" s="100"/>
      <c r="N252" s="100"/>
    </row>
    <row r="253" spans="2:14" s="98" customFormat="1">
      <c r="B253" s="99" t="s">
        <v>982</v>
      </c>
      <c r="C253" s="109">
        <v>46297</v>
      </c>
      <c r="D253" s="98" t="s">
        <v>740</v>
      </c>
      <c r="E253" s="103">
        <v>-120</v>
      </c>
      <c r="F253" s="98" t="s">
        <v>239</v>
      </c>
      <c r="I253" s="98" t="s">
        <v>737</v>
      </c>
      <c r="K253" s="100"/>
      <c r="L253" s="108"/>
      <c r="M253" s="100"/>
      <c r="N253" s="100"/>
    </row>
    <row r="254" spans="2:14" s="98" customFormat="1">
      <c r="B254" s="99" t="s">
        <v>982</v>
      </c>
      <c r="C254" s="109">
        <v>46297</v>
      </c>
      <c r="D254" s="98" t="s">
        <v>791</v>
      </c>
      <c r="E254" s="103">
        <v>23990</v>
      </c>
      <c r="F254" s="98" t="s">
        <v>240</v>
      </c>
      <c r="G254" s="98" t="s">
        <v>374</v>
      </c>
      <c r="H254" s="98" t="s">
        <v>516</v>
      </c>
      <c r="I254" s="98" t="s">
        <v>273</v>
      </c>
      <c r="K254" s="100"/>
      <c r="L254" s="108"/>
      <c r="M254" s="100"/>
      <c r="N254" s="100"/>
    </row>
    <row r="255" spans="2:14" s="98" customFormat="1">
      <c r="B255" s="99" t="s">
        <v>982</v>
      </c>
      <c r="C255" s="109">
        <v>46297</v>
      </c>
      <c r="D255" s="98" t="s">
        <v>740</v>
      </c>
      <c r="E255" s="103">
        <v>-44</v>
      </c>
      <c r="F255" s="98" t="s">
        <v>239</v>
      </c>
      <c r="I255" s="98" t="s">
        <v>737</v>
      </c>
      <c r="K255" s="100"/>
      <c r="L255" s="108"/>
      <c r="M255" s="100"/>
      <c r="N255" s="100"/>
    </row>
    <row r="256" spans="2:14" s="98" customFormat="1">
      <c r="B256" s="99" t="s">
        <v>982</v>
      </c>
      <c r="C256" s="109">
        <v>46297</v>
      </c>
      <c r="D256" s="98" t="s">
        <v>965</v>
      </c>
      <c r="E256" s="103">
        <v>8880</v>
      </c>
      <c r="F256" s="98" t="s">
        <v>240</v>
      </c>
      <c r="G256" s="98" t="s">
        <v>374</v>
      </c>
      <c r="H256" s="98" t="s">
        <v>516</v>
      </c>
      <c r="I256" s="98" t="s">
        <v>248</v>
      </c>
      <c r="K256" s="100"/>
      <c r="L256" s="108"/>
      <c r="M256" s="100"/>
      <c r="N256" s="100"/>
    </row>
    <row r="257" spans="2:14" s="98" customFormat="1">
      <c r="B257" s="99" t="s">
        <v>982</v>
      </c>
      <c r="C257" s="109">
        <v>46297</v>
      </c>
      <c r="D257" s="98" t="s">
        <v>740</v>
      </c>
      <c r="E257" s="103">
        <v>-50</v>
      </c>
      <c r="F257" s="98" t="s">
        <v>239</v>
      </c>
      <c r="I257" s="98" t="s">
        <v>737</v>
      </c>
      <c r="K257" s="100"/>
      <c r="L257" s="108"/>
      <c r="M257" s="100"/>
      <c r="N257" s="100"/>
    </row>
    <row r="258" spans="2:14" s="98" customFormat="1">
      <c r="B258" s="99" t="s">
        <v>982</v>
      </c>
      <c r="C258" s="109">
        <v>46297</v>
      </c>
      <c r="D258" s="98" t="s">
        <v>835</v>
      </c>
      <c r="E258" s="103">
        <v>10072</v>
      </c>
      <c r="F258" s="98" t="s">
        <v>240</v>
      </c>
      <c r="G258" s="98" t="s">
        <v>374</v>
      </c>
      <c r="H258" s="98" t="s">
        <v>516</v>
      </c>
      <c r="I258" s="98" t="s">
        <v>273</v>
      </c>
      <c r="K258" s="100"/>
      <c r="L258" s="108"/>
      <c r="M258" s="100"/>
      <c r="N258" s="100"/>
    </row>
    <row r="259" spans="2:14" s="98" customFormat="1">
      <c r="B259" s="99" t="s">
        <v>982</v>
      </c>
      <c r="C259" s="109">
        <v>46297</v>
      </c>
      <c r="D259" s="98" t="s">
        <v>740</v>
      </c>
      <c r="E259" s="103">
        <v>-42</v>
      </c>
      <c r="F259" s="98" t="s">
        <v>239</v>
      </c>
      <c r="I259" s="98" t="s">
        <v>737</v>
      </c>
      <c r="K259" s="100"/>
      <c r="L259" s="108"/>
      <c r="M259" s="100"/>
      <c r="N259" s="100"/>
    </row>
    <row r="260" spans="2:14" s="98" customFormat="1">
      <c r="B260" s="99" t="s">
        <v>982</v>
      </c>
      <c r="C260" s="109">
        <v>46297</v>
      </c>
      <c r="D260" s="98" t="s">
        <v>966</v>
      </c>
      <c r="E260" s="103">
        <v>8490</v>
      </c>
      <c r="F260" s="98" t="s">
        <v>240</v>
      </c>
      <c r="G260" s="98" t="s">
        <v>374</v>
      </c>
      <c r="H260" s="98" t="s">
        <v>516</v>
      </c>
      <c r="I260" s="98" t="s">
        <v>248</v>
      </c>
      <c r="K260" s="100"/>
      <c r="L260" s="108"/>
      <c r="M260" s="100"/>
      <c r="N260" s="100"/>
    </row>
    <row r="261" spans="2:14" s="98" customFormat="1">
      <c r="B261" s="99" t="s">
        <v>982</v>
      </c>
      <c r="C261" s="109">
        <v>46297</v>
      </c>
      <c r="D261" s="98" t="s">
        <v>740</v>
      </c>
      <c r="E261" s="103">
        <v>-3</v>
      </c>
      <c r="F261" s="98" t="s">
        <v>239</v>
      </c>
      <c r="I261" s="98" t="s">
        <v>737</v>
      </c>
      <c r="K261" s="100"/>
      <c r="L261" s="108"/>
      <c r="M261" s="100"/>
      <c r="N261" s="100"/>
    </row>
    <row r="262" spans="2:14" s="98" customFormat="1">
      <c r="B262" s="99" t="s">
        <v>982</v>
      </c>
      <c r="C262" s="109">
        <v>46297</v>
      </c>
      <c r="D262" s="98" t="s">
        <v>748</v>
      </c>
      <c r="E262" s="103">
        <v>650</v>
      </c>
      <c r="F262" s="98" t="s">
        <v>240</v>
      </c>
      <c r="G262" s="98" t="s">
        <v>374</v>
      </c>
      <c r="H262" s="98" t="s">
        <v>516</v>
      </c>
      <c r="I262" s="98" t="s">
        <v>247</v>
      </c>
      <c r="K262" s="100"/>
      <c r="L262" s="108"/>
      <c r="M262" s="100"/>
      <c r="N262" s="100"/>
    </row>
    <row r="263" spans="2:14" s="98" customFormat="1">
      <c r="B263" s="99" t="s">
        <v>982</v>
      </c>
      <c r="C263" s="109">
        <v>46297</v>
      </c>
      <c r="D263" s="98" t="s">
        <v>967</v>
      </c>
      <c r="E263" s="103">
        <v>1879</v>
      </c>
      <c r="F263" s="98" t="s">
        <v>240</v>
      </c>
      <c r="G263" s="98" t="s">
        <v>374</v>
      </c>
      <c r="H263" s="98" t="s">
        <v>516</v>
      </c>
      <c r="I263" s="98" t="s">
        <v>247</v>
      </c>
      <c r="K263" s="100"/>
      <c r="L263" s="108"/>
      <c r="M263" s="100"/>
      <c r="N263" s="100"/>
    </row>
    <row r="264" spans="2:14" s="98" customFormat="1">
      <c r="B264" s="99" t="s">
        <v>982</v>
      </c>
      <c r="C264" s="109">
        <v>46297</v>
      </c>
      <c r="D264" s="98" t="s">
        <v>740</v>
      </c>
      <c r="E264" s="103">
        <v>-22</v>
      </c>
      <c r="F264" s="98" t="s">
        <v>239</v>
      </c>
      <c r="I264" s="98" t="s">
        <v>737</v>
      </c>
      <c r="K264" s="100"/>
      <c r="L264" s="108"/>
      <c r="M264" s="100"/>
      <c r="N264" s="100"/>
    </row>
    <row r="265" spans="2:14" s="98" customFormat="1">
      <c r="B265" s="99" t="s">
        <v>982</v>
      </c>
      <c r="C265" s="109">
        <v>46297</v>
      </c>
      <c r="D265" s="98" t="s">
        <v>931</v>
      </c>
      <c r="E265" s="103">
        <v>4459</v>
      </c>
      <c r="F265" s="98" t="s">
        <v>240</v>
      </c>
      <c r="G265" s="98" t="s">
        <v>374</v>
      </c>
      <c r="H265" s="98" t="s">
        <v>513</v>
      </c>
      <c r="I265" s="98" t="s">
        <v>242</v>
      </c>
      <c r="K265" s="100"/>
      <c r="L265" s="108"/>
      <c r="M265" s="100"/>
      <c r="N265" s="100"/>
    </row>
    <row r="266" spans="2:14" s="98" customFormat="1">
      <c r="B266" s="99" t="s">
        <v>982</v>
      </c>
      <c r="C266" s="109">
        <v>46297</v>
      </c>
      <c r="D266" s="98" t="s">
        <v>968</v>
      </c>
      <c r="E266" s="103">
        <v>10000</v>
      </c>
      <c r="F266" s="98" t="s">
        <v>240</v>
      </c>
      <c r="G266" s="98" t="s">
        <v>374</v>
      </c>
      <c r="H266" s="98" t="s">
        <v>516</v>
      </c>
      <c r="I266" s="98" t="s">
        <v>273</v>
      </c>
      <c r="K266" s="100"/>
      <c r="L266" s="108"/>
      <c r="M266" s="100"/>
      <c r="N266" s="100"/>
    </row>
    <row r="267" spans="2:14" s="98" customFormat="1">
      <c r="B267" s="99" t="s">
        <v>982</v>
      </c>
      <c r="C267" s="109">
        <v>46297</v>
      </c>
      <c r="D267" s="98" t="s">
        <v>740</v>
      </c>
      <c r="E267" s="103">
        <v>-8</v>
      </c>
      <c r="F267" s="98" t="s">
        <v>239</v>
      </c>
      <c r="I267" s="98" t="s">
        <v>737</v>
      </c>
      <c r="K267" s="100"/>
      <c r="L267" s="108"/>
      <c r="M267" s="100"/>
      <c r="N267" s="100"/>
    </row>
    <row r="268" spans="2:14" s="98" customFormat="1">
      <c r="B268" s="99" t="s">
        <v>982</v>
      </c>
      <c r="C268" s="109">
        <v>46297</v>
      </c>
      <c r="D268" s="98" t="s">
        <v>931</v>
      </c>
      <c r="E268" s="103">
        <v>1500</v>
      </c>
      <c r="F268" s="98" t="s">
        <v>240</v>
      </c>
      <c r="G268" s="98" t="s">
        <v>374</v>
      </c>
      <c r="H268" s="98" t="s">
        <v>513</v>
      </c>
      <c r="I268" s="98" t="s">
        <v>247</v>
      </c>
      <c r="K268" s="100"/>
      <c r="L268" s="108"/>
      <c r="M268" s="100"/>
      <c r="N268" s="100"/>
    </row>
    <row r="269" spans="2:14" s="98" customFormat="1">
      <c r="B269" s="99" t="s">
        <v>982</v>
      </c>
      <c r="C269" s="109">
        <v>46297</v>
      </c>
      <c r="D269" s="98" t="s">
        <v>740</v>
      </c>
      <c r="E269" s="103">
        <v>-1125</v>
      </c>
      <c r="F269" s="98" t="s">
        <v>239</v>
      </c>
      <c r="I269" s="98" t="s">
        <v>737</v>
      </c>
      <c r="K269" s="100"/>
      <c r="L269" s="108"/>
      <c r="M269" s="100"/>
      <c r="N269" s="100"/>
    </row>
    <row r="270" spans="2:14" s="98" customFormat="1">
      <c r="B270" s="99" t="s">
        <v>982</v>
      </c>
      <c r="C270" s="109">
        <v>46297</v>
      </c>
      <c r="D270" s="98" t="s">
        <v>969</v>
      </c>
      <c r="E270" s="103">
        <v>225000</v>
      </c>
      <c r="F270" s="98" t="s">
        <v>240</v>
      </c>
      <c r="G270" s="98" t="s">
        <v>374</v>
      </c>
      <c r="H270" s="98" t="s">
        <v>516</v>
      </c>
      <c r="I270" s="98" t="s">
        <v>270</v>
      </c>
      <c r="K270" s="100"/>
      <c r="L270" s="108"/>
      <c r="M270" s="100"/>
      <c r="N270" s="100"/>
    </row>
    <row r="271" spans="2:14" s="98" customFormat="1">
      <c r="B271" s="99" t="s">
        <v>982</v>
      </c>
      <c r="C271" s="109">
        <v>46297</v>
      </c>
      <c r="D271" s="98" t="s">
        <v>740</v>
      </c>
      <c r="E271" s="103">
        <v>-10</v>
      </c>
      <c r="F271" s="98" t="s">
        <v>239</v>
      </c>
      <c r="I271" s="98" t="s">
        <v>737</v>
      </c>
      <c r="K271" s="100"/>
      <c r="L271" s="108"/>
      <c r="M271" s="100"/>
      <c r="N271" s="100"/>
    </row>
    <row r="272" spans="2:14" s="98" customFormat="1">
      <c r="B272" s="99" t="s">
        <v>982</v>
      </c>
      <c r="C272" s="109">
        <v>46297</v>
      </c>
      <c r="D272" s="98" t="s">
        <v>970</v>
      </c>
      <c r="E272" s="103">
        <v>1990</v>
      </c>
      <c r="F272" s="98" t="s">
        <v>240</v>
      </c>
      <c r="G272" s="98" t="s">
        <v>374</v>
      </c>
      <c r="H272" s="98" t="s">
        <v>516</v>
      </c>
      <c r="I272" s="98" t="s">
        <v>247</v>
      </c>
      <c r="K272" s="100"/>
      <c r="L272" s="108"/>
      <c r="M272" s="100"/>
      <c r="N272" s="100"/>
    </row>
    <row r="273" spans="2:14" s="98" customFormat="1">
      <c r="B273" s="99" t="s">
        <v>982</v>
      </c>
      <c r="C273" s="109">
        <v>46297</v>
      </c>
      <c r="D273" s="98" t="s">
        <v>740</v>
      </c>
      <c r="E273" s="103">
        <v>-50</v>
      </c>
      <c r="F273" s="98" t="s">
        <v>239</v>
      </c>
      <c r="I273" s="98" t="s">
        <v>737</v>
      </c>
      <c r="K273" s="100"/>
      <c r="L273" s="108"/>
      <c r="M273" s="100"/>
      <c r="N273" s="100"/>
    </row>
    <row r="274" spans="2:14" s="98" customFormat="1">
      <c r="B274" s="99" t="s">
        <v>982</v>
      </c>
      <c r="C274" s="109">
        <v>46297</v>
      </c>
      <c r="D274" s="98" t="s">
        <v>749</v>
      </c>
      <c r="E274" s="103">
        <v>10000</v>
      </c>
      <c r="F274" s="98" t="s">
        <v>240</v>
      </c>
      <c r="G274" s="98" t="s">
        <v>374</v>
      </c>
      <c r="H274" s="98" t="s">
        <v>516</v>
      </c>
      <c r="I274" s="98" t="s">
        <v>270</v>
      </c>
      <c r="K274" s="100"/>
      <c r="L274" s="108"/>
      <c r="M274" s="100"/>
      <c r="N274" s="100"/>
    </row>
    <row r="275" spans="2:14" s="98" customFormat="1">
      <c r="B275" s="99" t="s">
        <v>982</v>
      </c>
      <c r="C275" s="109">
        <v>46296</v>
      </c>
      <c r="D275" s="98" t="s">
        <v>985</v>
      </c>
      <c r="E275" s="103">
        <v>3406</v>
      </c>
      <c r="F275" s="98" t="s">
        <v>240</v>
      </c>
      <c r="G275" s="98" t="s">
        <v>557</v>
      </c>
      <c r="H275" s="98" t="s">
        <v>516</v>
      </c>
      <c r="I275" s="98" t="s">
        <v>370</v>
      </c>
      <c r="K275" s="100"/>
      <c r="L275" s="108"/>
      <c r="M275" s="100"/>
      <c r="N275" s="100"/>
    </row>
    <row r="276" spans="2:14" s="98" customFormat="1">
      <c r="B276" s="99" t="s">
        <v>982</v>
      </c>
      <c r="C276" s="109">
        <v>46296</v>
      </c>
      <c r="D276" s="98" t="s">
        <v>985</v>
      </c>
      <c r="E276" s="103">
        <v>3402</v>
      </c>
      <c r="F276" s="98" t="s">
        <v>240</v>
      </c>
      <c r="G276" s="98" t="s">
        <v>557</v>
      </c>
      <c r="H276" s="98" t="s">
        <v>516</v>
      </c>
      <c r="I276" s="98" t="s">
        <v>370</v>
      </c>
      <c r="K276" s="100"/>
      <c r="L276" s="108"/>
      <c r="M276" s="100"/>
      <c r="N276" s="100"/>
    </row>
    <row r="277" spans="2:14" s="98" customFormat="1">
      <c r="B277" s="99" t="s">
        <v>982</v>
      </c>
      <c r="C277" s="109">
        <v>46296</v>
      </c>
      <c r="D277" s="98" t="s">
        <v>985</v>
      </c>
      <c r="E277" s="103">
        <v>3402</v>
      </c>
      <c r="F277" s="98" t="s">
        <v>240</v>
      </c>
      <c r="G277" s="98" t="s">
        <v>557</v>
      </c>
      <c r="H277" s="98" t="s">
        <v>516</v>
      </c>
      <c r="I277" s="98" t="s">
        <v>370</v>
      </c>
      <c r="K277" s="100"/>
      <c r="L277" s="108"/>
      <c r="M277" s="100"/>
      <c r="N277" s="100"/>
    </row>
    <row r="278" spans="2:14" s="98" customFormat="1">
      <c r="B278" s="99" t="s">
        <v>982</v>
      </c>
      <c r="C278" s="109">
        <v>46296</v>
      </c>
      <c r="D278" s="98" t="s">
        <v>985</v>
      </c>
      <c r="E278" s="103">
        <v>3394</v>
      </c>
      <c r="F278" s="98" t="s">
        <v>240</v>
      </c>
      <c r="G278" s="98" t="s">
        <v>557</v>
      </c>
      <c r="H278" s="98" t="s">
        <v>516</v>
      </c>
      <c r="I278" s="98" t="s">
        <v>370</v>
      </c>
      <c r="K278" s="100"/>
      <c r="L278" s="108"/>
      <c r="M278" s="100"/>
      <c r="N278" s="100"/>
    </row>
    <row r="279" spans="2:14" s="98" customFormat="1">
      <c r="B279" s="99" t="s">
        <v>982</v>
      </c>
      <c r="C279" s="109">
        <v>46296</v>
      </c>
      <c r="D279" s="98" t="s">
        <v>986</v>
      </c>
      <c r="E279" s="103">
        <v>150000</v>
      </c>
      <c r="F279" s="98" t="s">
        <v>240</v>
      </c>
      <c r="G279" s="98" t="s">
        <v>374</v>
      </c>
      <c r="H279" s="98" t="s">
        <v>546</v>
      </c>
      <c r="I279" s="98" t="s">
        <v>983</v>
      </c>
      <c r="K279" s="100"/>
      <c r="L279" s="108"/>
      <c r="M279" s="100"/>
      <c r="N279" s="100"/>
    </row>
    <row r="280" spans="2:14" s="98" customFormat="1">
      <c r="B280" s="99" t="s">
        <v>982</v>
      </c>
      <c r="C280" s="109">
        <v>46296</v>
      </c>
      <c r="D280" s="98" t="s">
        <v>740</v>
      </c>
      <c r="E280" s="103">
        <v>-13</v>
      </c>
      <c r="F280" s="98" t="s">
        <v>239</v>
      </c>
      <c r="I280" s="98" t="s">
        <v>737</v>
      </c>
      <c r="K280" s="100"/>
      <c r="L280" s="108"/>
      <c r="M280" s="100"/>
      <c r="N280" s="100"/>
    </row>
    <row r="281" spans="2:14" s="98" customFormat="1">
      <c r="B281" s="99" t="s">
        <v>982</v>
      </c>
      <c r="C281" s="109">
        <v>46296</v>
      </c>
      <c r="D281" s="98" t="s">
        <v>936</v>
      </c>
      <c r="E281" s="103">
        <v>2500</v>
      </c>
      <c r="F281" s="98" t="s">
        <v>240</v>
      </c>
      <c r="G281" s="98" t="s">
        <v>374</v>
      </c>
      <c r="H281" s="98" t="s">
        <v>516</v>
      </c>
      <c r="I281" s="98" t="s">
        <v>247</v>
      </c>
      <c r="K281" s="100"/>
      <c r="L281" s="108"/>
      <c r="M281" s="100"/>
      <c r="N281" s="100"/>
    </row>
    <row r="282" spans="2:14" s="98" customFormat="1">
      <c r="B282" s="99" t="s">
        <v>982</v>
      </c>
      <c r="C282" s="109">
        <v>46296</v>
      </c>
      <c r="D282" s="98" t="s">
        <v>744</v>
      </c>
      <c r="E282" s="103">
        <v>-4</v>
      </c>
      <c r="F282" s="98" t="s">
        <v>239</v>
      </c>
      <c r="I282" s="98" t="s">
        <v>737</v>
      </c>
      <c r="K282" s="100"/>
      <c r="L282" s="108"/>
      <c r="M282" s="100"/>
      <c r="N282" s="100"/>
    </row>
    <row r="283" spans="2:14" s="98" customFormat="1">
      <c r="B283" s="99" t="s">
        <v>982</v>
      </c>
      <c r="C283" s="109">
        <v>46296</v>
      </c>
      <c r="D283" s="98" t="s">
        <v>740</v>
      </c>
      <c r="E283" s="103">
        <v>-9</v>
      </c>
      <c r="F283" s="98" t="s">
        <v>239</v>
      </c>
      <c r="I283" s="98" t="s">
        <v>737</v>
      </c>
      <c r="K283" s="100"/>
      <c r="L283" s="108"/>
      <c r="M283" s="100"/>
      <c r="N283" s="100"/>
    </row>
    <row r="284" spans="2:14" s="98" customFormat="1">
      <c r="B284" s="99" t="s">
        <v>982</v>
      </c>
      <c r="C284" s="109">
        <v>46296</v>
      </c>
      <c r="D284" s="98" t="s">
        <v>971</v>
      </c>
      <c r="E284" s="103">
        <v>1840</v>
      </c>
      <c r="F284" s="98" t="s">
        <v>240</v>
      </c>
      <c r="G284" s="98" t="s">
        <v>374</v>
      </c>
      <c r="H284" s="98" t="s">
        <v>516</v>
      </c>
      <c r="I284" s="98" t="s">
        <v>247</v>
      </c>
      <c r="K284" s="100"/>
      <c r="L284" s="108"/>
      <c r="M284" s="100"/>
      <c r="N284" s="100"/>
    </row>
    <row r="285" spans="2:14" s="98" customFormat="1">
      <c r="B285" s="99" t="s">
        <v>982</v>
      </c>
      <c r="C285" s="109">
        <v>46296</v>
      </c>
      <c r="D285" s="98" t="s">
        <v>740</v>
      </c>
      <c r="E285" s="103">
        <v>-8</v>
      </c>
      <c r="F285" s="98" t="s">
        <v>239</v>
      </c>
      <c r="I285" s="98" t="s">
        <v>737</v>
      </c>
      <c r="K285" s="100"/>
      <c r="L285" s="108"/>
      <c r="M285" s="100"/>
      <c r="N285" s="100"/>
    </row>
    <row r="286" spans="2:14" s="98" customFormat="1">
      <c r="B286" s="99" t="s">
        <v>982</v>
      </c>
      <c r="C286" s="109">
        <v>46296</v>
      </c>
      <c r="D286" s="98" t="s">
        <v>604</v>
      </c>
      <c r="E286" s="103">
        <v>1500</v>
      </c>
      <c r="F286" s="98" t="s">
        <v>240</v>
      </c>
      <c r="G286" s="98" t="s">
        <v>374</v>
      </c>
      <c r="H286" s="98" t="s">
        <v>516</v>
      </c>
      <c r="I286" s="98" t="s">
        <v>247</v>
      </c>
      <c r="K286" s="100"/>
      <c r="L286" s="108"/>
      <c r="M286" s="100"/>
      <c r="N286" s="100"/>
    </row>
    <row r="287" spans="2:14" s="98" customFormat="1">
      <c r="B287" s="99" t="s">
        <v>982</v>
      </c>
      <c r="C287" s="109">
        <v>46296</v>
      </c>
      <c r="D287" s="98" t="s">
        <v>759</v>
      </c>
      <c r="E287" s="103">
        <v>55637</v>
      </c>
      <c r="F287" s="98" t="s">
        <v>240</v>
      </c>
      <c r="G287" s="98" t="s">
        <v>374</v>
      </c>
      <c r="H287" s="98" t="s">
        <v>516</v>
      </c>
      <c r="I287" s="98" t="s">
        <v>245</v>
      </c>
      <c r="K287" s="100"/>
      <c r="L287" s="108"/>
      <c r="M287" s="100"/>
      <c r="N287" s="100"/>
    </row>
    <row r="288" spans="2:14" s="98" customFormat="1">
      <c r="B288" s="99" t="s">
        <v>982</v>
      </c>
      <c r="C288" s="109">
        <v>46296</v>
      </c>
      <c r="D288" s="98" t="s">
        <v>740</v>
      </c>
      <c r="E288" s="103">
        <v>-25</v>
      </c>
      <c r="F288" s="98" t="s">
        <v>239</v>
      </c>
      <c r="I288" s="98" t="s">
        <v>737</v>
      </c>
      <c r="K288" s="100"/>
      <c r="L288" s="108"/>
      <c r="M288" s="100"/>
      <c r="N288" s="100"/>
    </row>
    <row r="289" spans="2:14" s="98" customFormat="1">
      <c r="B289" s="99" t="s">
        <v>982</v>
      </c>
      <c r="C289" s="109">
        <v>46296</v>
      </c>
      <c r="D289" s="98" t="s">
        <v>972</v>
      </c>
      <c r="E289" s="103">
        <v>5000</v>
      </c>
      <c r="F289" s="98" t="s">
        <v>240</v>
      </c>
      <c r="G289" s="98" t="s">
        <v>374</v>
      </c>
      <c r="H289" s="98" t="s">
        <v>516</v>
      </c>
      <c r="I289" s="98" t="s">
        <v>247</v>
      </c>
      <c r="K289" s="100"/>
      <c r="L289" s="108"/>
      <c r="M289" s="100"/>
      <c r="N289" s="100"/>
    </row>
    <row r="290" spans="2:14" s="98" customFormat="1">
      <c r="B290" s="99" t="s">
        <v>982</v>
      </c>
      <c r="C290" s="109">
        <v>46296</v>
      </c>
      <c r="D290" s="98" t="s">
        <v>740</v>
      </c>
      <c r="E290" s="103">
        <v>-37</v>
      </c>
      <c r="F290" s="98" t="s">
        <v>239</v>
      </c>
      <c r="I290" s="98" t="s">
        <v>737</v>
      </c>
      <c r="K290" s="100"/>
      <c r="L290" s="108"/>
      <c r="M290" s="100"/>
      <c r="N290" s="100"/>
    </row>
    <row r="291" spans="2:14" s="98" customFormat="1">
      <c r="B291" s="99" t="s">
        <v>982</v>
      </c>
      <c r="C291" s="109">
        <v>46296</v>
      </c>
      <c r="D291" s="98" t="s">
        <v>825</v>
      </c>
      <c r="E291" s="103">
        <v>7479</v>
      </c>
      <c r="F291" s="98" t="s">
        <v>240</v>
      </c>
      <c r="G291" s="98" t="s">
        <v>374</v>
      </c>
      <c r="H291" s="98" t="s">
        <v>516</v>
      </c>
      <c r="I291" s="98" t="s">
        <v>273</v>
      </c>
      <c r="K291" s="100"/>
      <c r="L291" s="108"/>
      <c r="M291" s="100"/>
      <c r="N291" s="100"/>
    </row>
    <row r="292" spans="2:14" s="98" customFormat="1">
      <c r="B292" s="99" t="s">
        <v>982</v>
      </c>
      <c r="C292" s="109">
        <v>46296</v>
      </c>
      <c r="D292" s="98" t="s">
        <v>740</v>
      </c>
      <c r="E292" s="103">
        <v>-270</v>
      </c>
      <c r="F292" s="98" t="s">
        <v>239</v>
      </c>
      <c r="I292" s="98" t="s">
        <v>737</v>
      </c>
      <c r="K292" s="100"/>
      <c r="L292" s="108"/>
      <c r="M292" s="100"/>
      <c r="N292" s="100"/>
    </row>
    <row r="293" spans="2:14" s="98" customFormat="1">
      <c r="B293" s="99" t="s">
        <v>982</v>
      </c>
      <c r="C293" s="109">
        <v>46296</v>
      </c>
      <c r="D293" s="98" t="s">
        <v>973</v>
      </c>
      <c r="E293" s="103">
        <v>53960</v>
      </c>
      <c r="F293" s="98" t="s">
        <v>240</v>
      </c>
      <c r="G293" s="98" t="s">
        <v>374</v>
      </c>
      <c r="H293" s="98" t="s">
        <v>516</v>
      </c>
      <c r="I293" s="98" t="s">
        <v>273</v>
      </c>
      <c r="K293" s="100"/>
      <c r="L293" s="108"/>
      <c r="M293" s="100"/>
      <c r="N293" s="100"/>
    </row>
    <row r="294" spans="2:14" s="98" customFormat="1">
      <c r="B294" s="99" t="s">
        <v>982</v>
      </c>
      <c r="C294" s="109">
        <v>46296</v>
      </c>
      <c r="D294" s="98" t="s">
        <v>691</v>
      </c>
      <c r="E294" s="103">
        <v>4690</v>
      </c>
      <c r="F294" s="98" t="s">
        <v>240</v>
      </c>
      <c r="G294" s="98" t="s">
        <v>374</v>
      </c>
      <c r="H294" s="98" t="s">
        <v>513</v>
      </c>
      <c r="I294" s="98" t="s">
        <v>544</v>
      </c>
      <c r="K294" s="100"/>
      <c r="L294" s="108"/>
      <c r="M294" s="100"/>
      <c r="N294" s="100"/>
    </row>
    <row r="295" spans="2:14" s="98" customFormat="1">
      <c r="B295" s="99" t="s">
        <v>982</v>
      </c>
      <c r="C295" s="109">
        <v>46296</v>
      </c>
      <c r="D295" s="98" t="s">
        <v>727</v>
      </c>
      <c r="E295" s="103">
        <v>19000</v>
      </c>
      <c r="F295" s="98" t="s">
        <v>240</v>
      </c>
      <c r="G295" s="98" t="s">
        <v>374</v>
      </c>
      <c r="H295" s="98" t="s">
        <v>516</v>
      </c>
      <c r="I295" s="98" t="s">
        <v>273</v>
      </c>
      <c r="K295" s="100"/>
      <c r="L295" s="108"/>
      <c r="M295" s="100"/>
      <c r="N295" s="100"/>
    </row>
    <row r="296" spans="2:14" s="98" customFormat="1">
      <c r="B296" s="99" t="s">
        <v>982</v>
      </c>
      <c r="C296" s="109">
        <v>46296</v>
      </c>
      <c r="D296" s="98" t="s">
        <v>740</v>
      </c>
      <c r="E296" s="103">
        <v>-22</v>
      </c>
      <c r="F296" s="98" t="s">
        <v>239</v>
      </c>
      <c r="I296" s="98" t="s">
        <v>737</v>
      </c>
      <c r="K296" s="100"/>
      <c r="L296" s="108"/>
      <c r="M296" s="100"/>
      <c r="N296" s="100"/>
    </row>
    <row r="297" spans="2:14" s="98" customFormat="1">
      <c r="B297" s="99" t="s">
        <v>982</v>
      </c>
      <c r="C297" s="109">
        <v>46296</v>
      </c>
      <c r="D297" s="98" t="s">
        <v>931</v>
      </c>
      <c r="E297" s="103">
        <v>4459</v>
      </c>
      <c r="F297" s="98" t="s">
        <v>240</v>
      </c>
      <c r="G297" s="98" t="s">
        <v>374</v>
      </c>
      <c r="H297" s="98" t="s">
        <v>513</v>
      </c>
      <c r="I297" s="98" t="s">
        <v>242</v>
      </c>
      <c r="K297" s="100"/>
      <c r="L297" s="108"/>
      <c r="M297" s="100"/>
      <c r="N297" s="100"/>
    </row>
    <row r="298" spans="2:14" s="98" customFormat="1">
      <c r="B298" s="99" t="s">
        <v>982</v>
      </c>
      <c r="C298" s="109">
        <v>46296</v>
      </c>
      <c r="D298" s="98" t="s">
        <v>705</v>
      </c>
      <c r="E298" s="103">
        <v>109144</v>
      </c>
      <c r="F298" s="98" t="s">
        <v>240</v>
      </c>
      <c r="G298" s="98" t="s">
        <v>374</v>
      </c>
      <c r="H298" s="98" t="s">
        <v>513</v>
      </c>
      <c r="I298" s="98" t="s">
        <v>271</v>
      </c>
      <c r="K298" s="100"/>
      <c r="L298" s="108"/>
      <c r="M298" s="100"/>
      <c r="N298" s="100"/>
    </row>
    <row r="299" spans="2:14" s="98" customFormat="1">
      <c r="B299" s="99" t="s">
        <v>982</v>
      </c>
      <c r="C299" s="109">
        <v>46296</v>
      </c>
      <c r="D299" s="98" t="s">
        <v>707</v>
      </c>
      <c r="E299" s="103">
        <v>35981</v>
      </c>
      <c r="F299" s="98" t="s">
        <v>240</v>
      </c>
      <c r="G299" s="98" t="s">
        <v>374</v>
      </c>
      <c r="H299" s="98" t="s">
        <v>513</v>
      </c>
      <c r="I299" s="98" t="s">
        <v>271</v>
      </c>
      <c r="K299" s="100"/>
      <c r="L299" s="108"/>
      <c r="M299" s="100"/>
      <c r="N299" s="100"/>
    </row>
    <row r="300" spans="2:14" s="98" customFormat="1">
      <c r="B300" s="99" t="s">
        <v>982</v>
      </c>
      <c r="C300" s="109">
        <v>46296</v>
      </c>
      <c r="D300" s="98" t="s">
        <v>706</v>
      </c>
      <c r="E300" s="103">
        <v>39804</v>
      </c>
      <c r="F300" s="98" t="s">
        <v>240</v>
      </c>
      <c r="G300" s="98" t="s">
        <v>374</v>
      </c>
      <c r="H300" s="98" t="s">
        <v>513</v>
      </c>
      <c r="I300" s="98" t="s">
        <v>271</v>
      </c>
      <c r="K300" s="100"/>
      <c r="L300" s="108"/>
      <c r="M300" s="100"/>
      <c r="N300" s="100"/>
    </row>
    <row r="301" spans="2:14" s="98" customFormat="1">
      <c r="B301" s="99" t="s">
        <v>982</v>
      </c>
      <c r="C301" s="109">
        <v>46296</v>
      </c>
      <c r="D301" s="98" t="s">
        <v>708</v>
      </c>
      <c r="E301" s="103">
        <v>206427</v>
      </c>
      <c r="F301" s="98" t="s">
        <v>240</v>
      </c>
      <c r="G301" s="98" t="s">
        <v>374</v>
      </c>
      <c r="H301" s="98" t="s">
        <v>513</v>
      </c>
      <c r="I301" s="98" t="s">
        <v>284</v>
      </c>
      <c r="K301" s="100"/>
      <c r="L301" s="108"/>
      <c r="M301" s="100"/>
      <c r="N301" s="100"/>
    </row>
    <row r="302" spans="2:14" s="98" customFormat="1">
      <c r="B302" s="99" t="s">
        <v>982</v>
      </c>
      <c r="C302" s="109">
        <v>46296</v>
      </c>
      <c r="D302" s="98" t="s">
        <v>770</v>
      </c>
      <c r="E302" s="103">
        <v>-3103529</v>
      </c>
      <c r="F302" s="98" t="s">
        <v>239</v>
      </c>
      <c r="I302" s="98" t="s">
        <v>246</v>
      </c>
      <c r="K302" s="100"/>
      <c r="L302" s="108"/>
      <c r="M302" s="100"/>
      <c r="N302" s="100"/>
    </row>
    <row r="303" spans="2:14" s="98" customFormat="1">
      <c r="B303" s="99" t="s">
        <v>982</v>
      </c>
      <c r="C303" s="109">
        <v>46296</v>
      </c>
      <c r="D303" s="98" t="s">
        <v>759</v>
      </c>
      <c r="E303" s="103">
        <v>10080</v>
      </c>
      <c r="F303" s="98" t="s">
        <v>240</v>
      </c>
      <c r="G303" s="98" t="s">
        <v>374</v>
      </c>
      <c r="H303" s="98" t="s">
        <v>516</v>
      </c>
      <c r="I303" s="98" t="s">
        <v>248</v>
      </c>
      <c r="K303" s="100"/>
      <c r="L303" s="108"/>
      <c r="M303" s="100"/>
      <c r="N303" s="100"/>
    </row>
    <row r="304" spans="2:14" s="98" customFormat="1">
      <c r="B304" s="99" t="s">
        <v>982</v>
      </c>
      <c r="C304" s="109">
        <v>46296</v>
      </c>
      <c r="D304" s="98" t="s">
        <v>815</v>
      </c>
      <c r="E304" s="103">
        <v>1849</v>
      </c>
      <c r="F304" s="98" t="s">
        <v>240</v>
      </c>
      <c r="G304" s="98" t="s">
        <v>374</v>
      </c>
      <c r="H304" s="98" t="s">
        <v>513</v>
      </c>
      <c r="I304" s="98" t="s">
        <v>544</v>
      </c>
      <c r="K304" s="100"/>
      <c r="L304" s="108"/>
      <c r="M304" s="100"/>
      <c r="N304" s="100"/>
    </row>
    <row r="305" spans="2:14" s="98" customFormat="1">
      <c r="B305" s="99" t="s">
        <v>982</v>
      </c>
      <c r="C305" s="109">
        <v>46296</v>
      </c>
      <c r="D305" s="98" t="s">
        <v>770</v>
      </c>
      <c r="E305" s="103">
        <v>-25000</v>
      </c>
      <c r="F305" s="98" t="s">
        <v>239</v>
      </c>
      <c r="I305" s="98" t="s">
        <v>809</v>
      </c>
      <c r="K305" s="100"/>
      <c r="L305" s="108"/>
      <c r="M305" s="100"/>
      <c r="N305" s="100"/>
    </row>
    <row r="306" spans="2:14" s="98" customFormat="1">
      <c r="B306" s="99" t="s">
        <v>982</v>
      </c>
      <c r="C306" s="109">
        <v>46296</v>
      </c>
      <c r="D306" s="98" t="s">
        <v>974</v>
      </c>
      <c r="E306" s="103">
        <v>1290</v>
      </c>
      <c r="F306" s="98" t="s">
        <v>240</v>
      </c>
      <c r="G306" s="98" t="s">
        <v>374</v>
      </c>
      <c r="H306" s="98" t="s">
        <v>516</v>
      </c>
      <c r="I306" s="98" t="s">
        <v>247</v>
      </c>
      <c r="K306" s="100"/>
      <c r="L306" s="108"/>
      <c r="M306" s="100"/>
      <c r="N306" s="100"/>
    </row>
    <row r="307" spans="2:14" s="98" customFormat="1">
      <c r="B307" s="99" t="s">
        <v>982</v>
      </c>
      <c r="C307" s="109">
        <v>46296</v>
      </c>
      <c r="D307" s="98" t="s">
        <v>974</v>
      </c>
      <c r="E307" s="103">
        <v>1000</v>
      </c>
      <c r="F307" s="98" t="s">
        <v>240</v>
      </c>
      <c r="G307" s="98" t="s">
        <v>374</v>
      </c>
      <c r="H307" s="98" t="s">
        <v>516</v>
      </c>
      <c r="I307" s="98" t="s">
        <v>247</v>
      </c>
      <c r="K307" s="100"/>
      <c r="L307" s="108"/>
      <c r="M307" s="100"/>
      <c r="N307" s="100"/>
    </row>
    <row r="308" spans="2:14" s="98" customFormat="1">
      <c r="B308" s="99" t="s">
        <v>982</v>
      </c>
      <c r="C308" s="109">
        <v>46296</v>
      </c>
      <c r="D308" s="98" t="s">
        <v>740</v>
      </c>
      <c r="E308" s="103">
        <v>-50</v>
      </c>
      <c r="F308" s="98" t="s">
        <v>239</v>
      </c>
      <c r="I308" s="98" t="s">
        <v>737</v>
      </c>
      <c r="K308" s="100"/>
      <c r="L308" s="108"/>
      <c r="M308" s="100"/>
      <c r="N308" s="100"/>
    </row>
    <row r="309" spans="2:14" s="98" customFormat="1">
      <c r="B309" s="99" t="s">
        <v>982</v>
      </c>
      <c r="C309" s="109">
        <v>46296</v>
      </c>
      <c r="D309" s="98" t="s">
        <v>975</v>
      </c>
      <c r="E309" s="103">
        <v>10000</v>
      </c>
      <c r="F309" s="98" t="s">
        <v>240</v>
      </c>
      <c r="G309" s="98" t="s">
        <v>374</v>
      </c>
      <c r="H309" s="98" t="s">
        <v>516</v>
      </c>
      <c r="I309" s="98" t="s">
        <v>270</v>
      </c>
      <c r="K309" s="100"/>
      <c r="L309" s="108"/>
      <c r="M309" s="100"/>
      <c r="N309" s="100"/>
    </row>
    <row r="310" spans="2:14" s="98" customFormat="1">
      <c r="B310" s="99" t="s">
        <v>816</v>
      </c>
      <c r="C310" s="109">
        <v>46295</v>
      </c>
      <c r="D310" s="98" t="s">
        <v>976</v>
      </c>
      <c r="E310" s="103">
        <v>6490</v>
      </c>
      <c r="F310" s="98" t="s">
        <v>240</v>
      </c>
      <c r="G310" s="98" t="s">
        <v>374</v>
      </c>
      <c r="H310" s="98" t="s">
        <v>513</v>
      </c>
      <c r="I310" s="98" t="s">
        <v>544</v>
      </c>
      <c r="K310" s="100"/>
      <c r="L310" s="108"/>
      <c r="M310" s="100"/>
      <c r="N310" s="100"/>
    </row>
    <row r="311" spans="2:14" s="98" customFormat="1">
      <c r="B311" s="99" t="s">
        <v>816</v>
      </c>
      <c r="C311" s="109">
        <v>46295</v>
      </c>
      <c r="D311" s="98" t="s">
        <v>744</v>
      </c>
      <c r="E311" s="103">
        <v>-4</v>
      </c>
      <c r="F311" s="98" t="s">
        <v>239</v>
      </c>
      <c r="I311" s="98" t="s">
        <v>737</v>
      </c>
      <c r="K311" s="100"/>
      <c r="L311" s="108"/>
      <c r="M311" s="100"/>
      <c r="N311" s="100"/>
    </row>
    <row r="312" spans="2:14" s="98" customFormat="1">
      <c r="B312" s="99" t="s">
        <v>816</v>
      </c>
      <c r="C312" s="109">
        <v>46295</v>
      </c>
      <c r="D312" s="98" t="s">
        <v>740</v>
      </c>
      <c r="E312" s="103">
        <v>-4</v>
      </c>
      <c r="F312" s="98" t="s">
        <v>239</v>
      </c>
      <c r="I312" s="98" t="s">
        <v>737</v>
      </c>
      <c r="K312" s="100"/>
      <c r="L312" s="108"/>
      <c r="M312" s="100"/>
      <c r="N312" s="100"/>
    </row>
    <row r="313" spans="2:14" s="98" customFormat="1">
      <c r="B313" s="99" t="s">
        <v>816</v>
      </c>
      <c r="C313" s="109">
        <v>46295</v>
      </c>
      <c r="D313" s="98" t="s">
        <v>702</v>
      </c>
      <c r="E313" s="103">
        <v>700</v>
      </c>
      <c r="F313" s="98" t="s">
        <v>240</v>
      </c>
      <c r="G313" s="98" t="s">
        <v>374</v>
      </c>
      <c r="H313" s="98" t="s">
        <v>516</v>
      </c>
      <c r="I313" s="98" t="s">
        <v>247</v>
      </c>
      <c r="K313" s="100"/>
      <c r="L313" s="108"/>
      <c r="M313" s="100"/>
      <c r="N313" s="100"/>
    </row>
    <row r="314" spans="2:14" s="98" customFormat="1">
      <c r="B314" s="99" t="s">
        <v>816</v>
      </c>
      <c r="C314" s="109">
        <v>46295</v>
      </c>
      <c r="D314" s="98" t="s">
        <v>740</v>
      </c>
      <c r="E314" s="103">
        <v>-30</v>
      </c>
      <c r="F314" s="98" t="s">
        <v>239</v>
      </c>
      <c r="I314" s="98" t="s">
        <v>737</v>
      </c>
      <c r="K314" s="100"/>
      <c r="L314" s="108"/>
      <c r="M314" s="100"/>
      <c r="N314" s="100"/>
    </row>
    <row r="315" spans="2:14" s="98" customFormat="1">
      <c r="B315" s="99" t="s">
        <v>816</v>
      </c>
      <c r="C315" s="109">
        <v>46295</v>
      </c>
      <c r="D315" s="98" t="s">
        <v>977</v>
      </c>
      <c r="E315" s="103">
        <v>6000</v>
      </c>
      <c r="F315" s="98" t="s">
        <v>240</v>
      </c>
      <c r="G315" s="98" t="s">
        <v>374</v>
      </c>
      <c r="H315" s="98" t="s">
        <v>516</v>
      </c>
      <c r="I315" s="98" t="s">
        <v>241</v>
      </c>
      <c r="K315" s="100"/>
      <c r="L315" s="108"/>
      <c r="M315" s="100"/>
      <c r="N315" s="100"/>
    </row>
    <row r="316" spans="2:14" s="98" customFormat="1">
      <c r="B316" s="99" t="s">
        <v>816</v>
      </c>
      <c r="C316" s="109">
        <v>46295</v>
      </c>
      <c r="D316" s="98" t="s">
        <v>740</v>
      </c>
      <c r="E316" s="103">
        <v>-24</v>
      </c>
      <c r="F316" s="98" t="s">
        <v>239</v>
      </c>
      <c r="I316" s="98" t="s">
        <v>737</v>
      </c>
      <c r="K316" s="100"/>
      <c r="L316" s="108"/>
      <c r="M316" s="100"/>
      <c r="N316" s="100"/>
    </row>
    <row r="317" spans="2:14" s="98" customFormat="1">
      <c r="B317" s="99" t="s">
        <v>816</v>
      </c>
      <c r="C317" s="109">
        <v>46295</v>
      </c>
      <c r="D317" s="98" t="s">
        <v>978</v>
      </c>
      <c r="E317" s="103">
        <v>4780</v>
      </c>
      <c r="F317" s="98" t="s">
        <v>240</v>
      </c>
      <c r="G317" s="98" t="s">
        <v>374</v>
      </c>
      <c r="H317" s="98" t="s">
        <v>516</v>
      </c>
      <c r="I317" s="98" t="s">
        <v>245</v>
      </c>
      <c r="K317" s="100"/>
      <c r="L317" s="108"/>
      <c r="M317" s="100"/>
      <c r="N317" s="100"/>
    </row>
    <row r="318" spans="2:14" s="98" customFormat="1">
      <c r="B318" s="99" t="s">
        <v>816</v>
      </c>
      <c r="C318" s="109">
        <v>46295</v>
      </c>
      <c r="D318" s="98" t="s">
        <v>740</v>
      </c>
      <c r="E318" s="103">
        <v>-261</v>
      </c>
      <c r="F318" s="98" t="s">
        <v>239</v>
      </c>
      <c r="I318" s="98" t="s">
        <v>737</v>
      </c>
      <c r="K318" s="100"/>
      <c r="L318" s="108"/>
      <c r="M318" s="100"/>
      <c r="N318" s="100"/>
    </row>
    <row r="319" spans="2:14" s="98" customFormat="1">
      <c r="B319" s="99" t="s">
        <v>816</v>
      </c>
      <c r="C319" s="109">
        <v>46295</v>
      </c>
      <c r="D319" s="98" t="s">
        <v>979</v>
      </c>
      <c r="E319" s="103">
        <v>52140</v>
      </c>
      <c r="F319" s="98" t="s">
        <v>240</v>
      </c>
      <c r="G319" s="98" t="s">
        <v>374</v>
      </c>
      <c r="H319" s="98" t="s">
        <v>516</v>
      </c>
      <c r="I319" s="98" t="s">
        <v>248</v>
      </c>
      <c r="K319" s="100"/>
      <c r="L319" s="108"/>
      <c r="M319" s="100"/>
      <c r="N319" s="100"/>
    </row>
    <row r="320" spans="2:14" s="98" customFormat="1">
      <c r="B320" s="99" t="s">
        <v>816</v>
      </c>
      <c r="C320" s="109">
        <v>46295</v>
      </c>
      <c r="D320" s="98" t="s">
        <v>740</v>
      </c>
      <c r="E320" s="103">
        <v>-15</v>
      </c>
      <c r="F320" s="98" t="s">
        <v>239</v>
      </c>
      <c r="I320" s="98" t="s">
        <v>737</v>
      </c>
      <c r="K320" s="100"/>
      <c r="L320" s="108"/>
      <c r="M320" s="100"/>
      <c r="N320" s="100"/>
    </row>
    <row r="321" spans="2:14" s="98" customFormat="1">
      <c r="B321" s="99" t="s">
        <v>816</v>
      </c>
      <c r="C321" s="109">
        <v>46295</v>
      </c>
      <c r="D321" s="98" t="s">
        <v>980</v>
      </c>
      <c r="E321" s="103">
        <v>2900</v>
      </c>
      <c r="F321" s="98" t="s">
        <v>240</v>
      </c>
      <c r="G321" s="98" t="s">
        <v>374</v>
      </c>
      <c r="H321" s="98" t="s">
        <v>516</v>
      </c>
      <c r="I321" s="98" t="s">
        <v>248</v>
      </c>
      <c r="K321" s="100"/>
      <c r="L321" s="108"/>
      <c r="M321" s="100"/>
      <c r="N321" s="100"/>
    </row>
    <row r="322" spans="2:14" s="98" customFormat="1">
      <c r="B322" s="99" t="s">
        <v>816</v>
      </c>
      <c r="C322" s="109">
        <v>46295</v>
      </c>
      <c r="D322" s="98" t="s">
        <v>740</v>
      </c>
      <c r="E322" s="103">
        <v>-25</v>
      </c>
      <c r="F322" s="98" t="s">
        <v>239</v>
      </c>
      <c r="I322" s="98" t="s">
        <v>737</v>
      </c>
      <c r="K322" s="100"/>
      <c r="L322" s="108"/>
      <c r="M322" s="100"/>
      <c r="N322" s="100"/>
    </row>
    <row r="323" spans="2:14" s="98" customFormat="1">
      <c r="B323" s="99" t="s">
        <v>816</v>
      </c>
      <c r="C323" s="109">
        <v>46295</v>
      </c>
      <c r="D323" s="98" t="s">
        <v>980</v>
      </c>
      <c r="E323" s="103">
        <v>4990</v>
      </c>
      <c r="F323" s="98" t="s">
        <v>240</v>
      </c>
      <c r="G323" s="98" t="s">
        <v>374</v>
      </c>
      <c r="H323" s="98" t="s">
        <v>516</v>
      </c>
      <c r="I323" s="98" t="s">
        <v>248</v>
      </c>
      <c r="K323" s="100"/>
      <c r="L323" s="108"/>
      <c r="M323" s="100"/>
      <c r="N323" s="100"/>
    </row>
    <row r="324" spans="2:14" s="98" customFormat="1">
      <c r="B324" s="99" t="s">
        <v>816</v>
      </c>
      <c r="C324" s="109">
        <v>46295</v>
      </c>
      <c r="D324" s="98" t="s">
        <v>740</v>
      </c>
      <c r="E324" s="103">
        <v>-25</v>
      </c>
      <c r="F324" s="98" t="s">
        <v>239</v>
      </c>
      <c r="I324" s="98" t="s">
        <v>737</v>
      </c>
      <c r="K324" s="100"/>
      <c r="L324" s="108"/>
      <c r="M324" s="100"/>
      <c r="N324" s="100"/>
    </row>
    <row r="325" spans="2:14" s="98" customFormat="1">
      <c r="B325" s="99" t="s">
        <v>816</v>
      </c>
      <c r="C325" s="109">
        <v>46295</v>
      </c>
      <c r="D325" s="98" t="s">
        <v>980</v>
      </c>
      <c r="E325" s="103">
        <v>4990</v>
      </c>
      <c r="F325" s="98" t="s">
        <v>240</v>
      </c>
      <c r="G325" s="98" t="s">
        <v>374</v>
      </c>
      <c r="H325" s="98" t="s">
        <v>516</v>
      </c>
      <c r="I325" s="98" t="s">
        <v>248</v>
      </c>
      <c r="K325" s="100"/>
      <c r="L325" s="108"/>
      <c r="M325" s="100"/>
      <c r="N325" s="100"/>
    </row>
    <row r="326" spans="2:14" s="98" customFormat="1">
      <c r="B326" s="99" t="s">
        <v>816</v>
      </c>
      <c r="C326" s="109">
        <v>46295</v>
      </c>
      <c r="D326" s="98" t="s">
        <v>711</v>
      </c>
      <c r="E326" s="103">
        <v>10000</v>
      </c>
      <c r="F326" s="98" t="s">
        <v>240</v>
      </c>
      <c r="G326" s="98" t="s">
        <v>374</v>
      </c>
      <c r="H326" s="98" t="s">
        <v>516</v>
      </c>
      <c r="I326" s="98" t="s">
        <v>270</v>
      </c>
      <c r="K326" s="100"/>
      <c r="L326" s="108"/>
      <c r="M326" s="100"/>
      <c r="N326" s="100"/>
    </row>
    <row r="327" spans="2:14" s="98" customFormat="1">
      <c r="B327" s="99" t="s">
        <v>816</v>
      </c>
      <c r="C327" s="109">
        <v>46294</v>
      </c>
      <c r="D327" s="98" t="s">
        <v>932</v>
      </c>
      <c r="E327" s="103">
        <v>-33464</v>
      </c>
      <c r="F327" s="98" t="s">
        <v>239</v>
      </c>
      <c r="I327" s="98" t="s">
        <v>738</v>
      </c>
      <c r="K327" s="100"/>
      <c r="L327" s="108"/>
      <c r="M327" s="100"/>
      <c r="N327" s="100"/>
    </row>
    <row r="328" spans="2:14" s="98" customFormat="1">
      <c r="B328" s="99" t="s">
        <v>816</v>
      </c>
      <c r="C328" s="109">
        <v>46294</v>
      </c>
      <c r="D328" s="98" t="s">
        <v>932</v>
      </c>
      <c r="E328" s="103">
        <v>-98934</v>
      </c>
      <c r="F328" s="98" t="s">
        <v>239</v>
      </c>
      <c r="I328" s="98" t="s">
        <v>738</v>
      </c>
      <c r="K328" s="100"/>
      <c r="L328" s="108"/>
      <c r="M328" s="100"/>
      <c r="N328" s="100"/>
    </row>
    <row r="329" spans="2:14" s="98" customFormat="1">
      <c r="B329" s="99" t="s">
        <v>816</v>
      </c>
      <c r="C329" s="109">
        <v>46294</v>
      </c>
      <c r="D329" s="98" t="s">
        <v>744</v>
      </c>
      <c r="E329" s="103">
        <v>-2</v>
      </c>
      <c r="F329" s="98" t="s">
        <v>239</v>
      </c>
      <c r="I329" s="98" t="s">
        <v>737</v>
      </c>
      <c r="K329" s="100"/>
      <c r="L329" s="108"/>
      <c r="M329" s="100"/>
      <c r="N329" s="100"/>
    </row>
    <row r="330" spans="2:14" s="98" customFormat="1">
      <c r="B330" s="99" t="s">
        <v>816</v>
      </c>
      <c r="C330" s="109">
        <v>46294</v>
      </c>
      <c r="D330" s="98" t="s">
        <v>711</v>
      </c>
      <c r="E330" s="103">
        <v>10000</v>
      </c>
      <c r="F330" s="98" t="s">
        <v>240</v>
      </c>
      <c r="G330" s="98" t="s">
        <v>374</v>
      </c>
      <c r="H330" s="98" t="s">
        <v>516</v>
      </c>
      <c r="I330" s="98" t="s">
        <v>270</v>
      </c>
      <c r="K330" s="100"/>
      <c r="L330" s="108"/>
      <c r="M330" s="100"/>
      <c r="N330" s="100"/>
    </row>
    <row r="331" spans="2:14" s="98" customFormat="1">
      <c r="B331" s="99" t="s">
        <v>816</v>
      </c>
      <c r="C331" s="109">
        <v>46294</v>
      </c>
      <c r="D331" s="98" t="s">
        <v>740</v>
      </c>
      <c r="E331" s="103">
        <v>-65</v>
      </c>
      <c r="F331" s="98" t="s">
        <v>239</v>
      </c>
      <c r="I331" s="98" t="s">
        <v>737</v>
      </c>
      <c r="K331" s="100"/>
      <c r="L331" s="108"/>
      <c r="M331" s="100"/>
      <c r="N331" s="100"/>
    </row>
    <row r="332" spans="2:14" s="98" customFormat="1">
      <c r="B332" s="99" t="s">
        <v>816</v>
      </c>
      <c r="C332" s="109">
        <v>46294</v>
      </c>
      <c r="D332" s="98" t="s">
        <v>795</v>
      </c>
      <c r="E332" s="103">
        <v>12900</v>
      </c>
      <c r="F332" s="98" t="s">
        <v>240</v>
      </c>
      <c r="G332" s="98" t="s">
        <v>374</v>
      </c>
      <c r="H332" s="98" t="s">
        <v>516</v>
      </c>
      <c r="I332" s="98" t="s">
        <v>247</v>
      </c>
      <c r="K332" s="100"/>
      <c r="L332" s="108"/>
      <c r="M332" s="100"/>
      <c r="N332" s="100"/>
    </row>
    <row r="333" spans="2:14" s="98" customFormat="1">
      <c r="B333" s="99" t="s">
        <v>816</v>
      </c>
      <c r="C333" s="109">
        <v>46294</v>
      </c>
      <c r="D333" s="98" t="s">
        <v>740</v>
      </c>
      <c r="E333" s="103">
        <v>-22</v>
      </c>
      <c r="F333" s="98" t="s">
        <v>239</v>
      </c>
      <c r="I333" s="98" t="s">
        <v>737</v>
      </c>
      <c r="K333" s="100"/>
      <c r="L333" s="108"/>
      <c r="M333" s="100"/>
      <c r="N333" s="100"/>
    </row>
    <row r="334" spans="2:14" s="98" customFormat="1">
      <c r="B334" s="99" t="s">
        <v>816</v>
      </c>
      <c r="C334" s="109">
        <v>46294</v>
      </c>
      <c r="D334" s="98" t="s">
        <v>931</v>
      </c>
      <c r="E334" s="103">
        <v>4459</v>
      </c>
      <c r="F334" s="98" t="s">
        <v>240</v>
      </c>
      <c r="G334" s="98" t="s">
        <v>374</v>
      </c>
      <c r="H334" s="98" t="s">
        <v>513</v>
      </c>
      <c r="I334" s="98" t="s">
        <v>242</v>
      </c>
      <c r="K334" s="100"/>
      <c r="L334" s="108"/>
      <c r="M334" s="100"/>
      <c r="N334" s="100"/>
    </row>
    <row r="335" spans="2:14" s="98" customFormat="1">
      <c r="B335" s="99" t="s">
        <v>816</v>
      </c>
      <c r="C335" s="109">
        <v>46294</v>
      </c>
      <c r="D335" s="98" t="s">
        <v>740</v>
      </c>
      <c r="E335" s="103">
        <v>-5</v>
      </c>
      <c r="F335" s="98" t="s">
        <v>239</v>
      </c>
      <c r="I335" s="98" t="s">
        <v>737</v>
      </c>
      <c r="K335" s="100"/>
      <c r="L335" s="108"/>
      <c r="M335" s="100"/>
      <c r="N335" s="100"/>
    </row>
    <row r="336" spans="2:14" s="98" customFormat="1">
      <c r="B336" s="99" t="s">
        <v>816</v>
      </c>
      <c r="C336" s="109">
        <v>46294</v>
      </c>
      <c r="D336" s="98" t="s">
        <v>748</v>
      </c>
      <c r="E336" s="103">
        <v>1000</v>
      </c>
      <c r="F336" s="98" t="s">
        <v>240</v>
      </c>
      <c r="G336" s="98" t="s">
        <v>374</v>
      </c>
      <c r="H336" s="98" t="s">
        <v>516</v>
      </c>
      <c r="I336" s="98" t="s">
        <v>247</v>
      </c>
      <c r="K336" s="100"/>
      <c r="L336" s="108"/>
      <c r="M336" s="100"/>
      <c r="N336" s="100"/>
    </row>
    <row r="337" spans="2:14" s="98" customFormat="1">
      <c r="B337" s="99" t="s">
        <v>816</v>
      </c>
      <c r="C337" s="109">
        <v>46294</v>
      </c>
      <c r="D337" s="98" t="s">
        <v>711</v>
      </c>
      <c r="E337" s="103">
        <v>10000</v>
      </c>
      <c r="F337" s="98" t="s">
        <v>240</v>
      </c>
      <c r="G337" s="98" t="s">
        <v>374</v>
      </c>
      <c r="H337" s="98" t="s">
        <v>516</v>
      </c>
      <c r="I337" s="98" t="s">
        <v>270</v>
      </c>
      <c r="K337" s="100"/>
      <c r="L337" s="108"/>
      <c r="M337" s="100"/>
      <c r="N337" s="100"/>
    </row>
    <row r="338" spans="2:14" s="98" customFormat="1">
      <c r="B338" s="99" t="s">
        <v>816</v>
      </c>
      <c r="C338" s="109">
        <v>46293</v>
      </c>
      <c r="D338" s="98" t="s">
        <v>740</v>
      </c>
      <c r="E338" s="103">
        <v>-20</v>
      </c>
      <c r="F338" s="98" t="s">
        <v>239</v>
      </c>
      <c r="I338" s="98" t="s">
        <v>737</v>
      </c>
      <c r="K338" s="100"/>
      <c r="L338" s="108"/>
      <c r="M338" s="100"/>
      <c r="N338" s="100"/>
    </row>
    <row r="339" spans="2:14" s="98" customFormat="1">
      <c r="B339" s="99" t="s">
        <v>816</v>
      </c>
      <c r="C339" s="109">
        <v>46293</v>
      </c>
      <c r="D339" s="98" t="s">
        <v>950</v>
      </c>
      <c r="E339" s="103">
        <v>3960</v>
      </c>
      <c r="F339" s="98" t="s">
        <v>240</v>
      </c>
      <c r="G339" s="98" t="s">
        <v>374</v>
      </c>
      <c r="H339" s="98" t="s">
        <v>516</v>
      </c>
      <c r="I339" s="98" t="s">
        <v>247</v>
      </c>
      <c r="K339" s="100"/>
      <c r="L339" s="108"/>
      <c r="M339" s="100"/>
      <c r="N339" s="100"/>
    </row>
    <row r="340" spans="2:14" s="98" customFormat="1">
      <c r="B340" s="99" t="s">
        <v>816</v>
      </c>
      <c r="C340" s="109">
        <v>46293</v>
      </c>
      <c r="D340" s="98" t="s">
        <v>740</v>
      </c>
      <c r="E340" s="103">
        <v>-13</v>
      </c>
      <c r="F340" s="98" t="s">
        <v>239</v>
      </c>
      <c r="I340" s="98" t="s">
        <v>737</v>
      </c>
      <c r="K340" s="100"/>
      <c r="L340" s="108"/>
      <c r="M340" s="100"/>
      <c r="N340" s="100"/>
    </row>
    <row r="341" spans="2:14" s="98" customFormat="1">
      <c r="B341" s="99" t="s">
        <v>816</v>
      </c>
      <c r="C341" s="109">
        <v>46293</v>
      </c>
      <c r="D341" s="98" t="s">
        <v>936</v>
      </c>
      <c r="E341" s="103">
        <v>2500</v>
      </c>
      <c r="F341" s="98" t="s">
        <v>240</v>
      </c>
      <c r="G341" s="98" t="s">
        <v>374</v>
      </c>
      <c r="H341" s="98" t="s">
        <v>516</v>
      </c>
      <c r="I341" s="98" t="s">
        <v>247</v>
      </c>
      <c r="K341" s="100"/>
      <c r="L341" s="108"/>
      <c r="M341" s="100"/>
      <c r="N341" s="100"/>
    </row>
    <row r="342" spans="2:14" s="98" customFormat="1">
      <c r="B342" s="99" t="s">
        <v>816</v>
      </c>
      <c r="C342" s="109">
        <v>46293</v>
      </c>
      <c r="D342" s="98" t="s">
        <v>740</v>
      </c>
      <c r="E342" s="103">
        <v>-4</v>
      </c>
      <c r="F342" s="98" t="s">
        <v>239</v>
      </c>
      <c r="I342" s="98" t="s">
        <v>737</v>
      </c>
      <c r="K342" s="100"/>
      <c r="L342" s="108"/>
      <c r="M342" s="100"/>
      <c r="N342" s="100"/>
    </row>
    <row r="343" spans="2:14" s="98" customFormat="1">
      <c r="B343" s="99" t="s">
        <v>816</v>
      </c>
      <c r="C343" s="109">
        <v>46293</v>
      </c>
      <c r="D343" s="98" t="s">
        <v>702</v>
      </c>
      <c r="E343" s="103">
        <v>700</v>
      </c>
      <c r="F343" s="98" t="s">
        <v>240</v>
      </c>
      <c r="G343" s="98" t="s">
        <v>374</v>
      </c>
      <c r="H343" s="98" t="s">
        <v>516</v>
      </c>
      <c r="I343" s="98" t="s">
        <v>247</v>
      </c>
      <c r="K343" s="100"/>
      <c r="L343" s="108"/>
      <c r="M343" s="100"/>
      <c r="N343" s="100"/>
    </row>
    <row r="344" spans="2:14" s="98" customFormat="1">
      <c r="B344" s="99" t="s">
        <v>816</v>
      </c>
      <c r="C344" s="109">
        <v>46293</v>
      </c>
      <c r="D344" s="98" t="s">
        <v>744</v>
      </c>
      <c r="E344" s="103">
        <v>-5</v>
      </c>
      <c r="F344" s="98" t="s">
        <v>239</v>
      </c>
      <c r="I344" s="98" t="s">
        <v>737</v>
      </c>
      <c r="K344" s="100"/>
      <c r="L344" s="108"/>
      <c r="M344" s="100"/>
      <c r="N344" s="100"/>
    </row>
    <row r="345" spans="2:14" s="98" customFormat="1">
      <c r="B345" s="99" t="s">
        <v>816</v>
      </c>
      <c r="C345" s="109">
        <v>46293</v>
      </c>
      <c r="D345" s="98" t="s">
        <v>740</v>
      </c>
      <c r="E345" s="103">
        <v>-8</v>
      </c>
      <c r="F345" s="98" t="s">
        <v>239</v>
      </c>
      <c r="I345" s="98" t="s">
        <v>737</v>
      </c>
      <c r="K345" s="100"/>
      <c r="L345" s="108"/>
      <c r="M345" s="100"/>
      <c r="N345" s="100"/>
    </row>
    <row r="346" spans="2:14" s="98" customFormat="1">
      <c r="B346" s="99" t="s">
        <v>816</v>
      </c>
      <c r="C346" s="109">
        <v>46293</v>
      </c>
      <c r="D346" s="98" t="s">
        <v>604</v>
      </c>
      <c r="E346" s="103">
        <v>1500</v>
      </c>
      <c r="F346" s="98" t="s">
        <v>240</v>
      </c>
      <c r="G346" s="98" t="s">
        <v>374</v>
      </c>
      <c r="H346" s="98" t="s">
        <v>516</v>
      </c>
      <c r="I346" s="98" t="s">
        <v>247</v>
      </c>
      <c r="K346" s="100"/>
      <c r="L346" s="108"/>
      <c r="M346" s="100"/>
      <c r="N346" s="100"/>
    </row>
    <row r="347" spans="2:14" s="98" customFormat="1">
      <c r="B347" s="99" t="s">
        <v>816</v>
      </c>
      <c r="C347" s="109">
        <v>46293</v>
      </c>
      <c r="D347" s="98" t="s">
        <v>981</v>
      </c>
      <c r="E347" s="103">
        <v>720</v>
      </c>
      <c r="F347" s="98" t="s">
        <v>240</v>
      </c>
      <c r="G347" s="98" t="s">
        <v>374</v>
      </c>
      <c r="H347" s="98" t="s">
        <v>516</v>
      </c>
      <c r="I347" s="98" t="s">
        <v>244</v>
      </c>
      <c r="K347" s="100"/>
      <c r="L347" s="108"/>
      <c r="M347" s="100"/>
      <c r="N347" s="100"/>
    </row>
    <row r="348" spans="2:14" s="98" customFormat="1">
      <c r="B348" s="99" t="s">
        <v>816</v>
      </c>
      <c r="C348" s="109">
        <v>46293</v>
      </c>
      <c r="D348" s="98" t="s">
        <v>740</v>
      </c>
      <c r="E348" s="103">
        <v>-22</v>
      </c>
      <c r="F348" s="98" t="s">
        <v>239</v>
      </c>
      <c r="I348" s="98" t="s">
        <v>737</v>
      </c>
      <c r="K348" s="100"/>
      <c r="L348" s="108"/>
      <c r="M348" s="100"/>
      <c r="N348" s="100"/>
    </row>
    <row r="349" spans="2:14" s="98" customFormat="1">
      <c r="B349" s="99" t="s">
        <v>816</v>
      </c>
      <c r="C349" s="109">
        <v>46293</v>
      </c>
      <c r="D349" s="98" t="s">
        <v>931</v>
      </c>
      <c r="E349" s="103">
        <v>4459</v>
      </c>
      <c r="F349" s="98" t="s">
        <v>240</v>
      </c>
      <c r="G349" s="98" t="s">
        <v>374</v>
      </c>
      <c r="H349" s="98" t="s">
        <v>513</v>
      </c>
      <c r="I349" s="98" t="s">
        <v>242</v>
      </c>
      <c r="K349" s="100"/>
      <c r="L349" s="108"/>
      <c r="M349" s="100"/>
      <c r="N349" s="100"/>
    </row>
    <row r="350" spans="2:14" s="98" customFormat="1">
      <c r="B350" s="99" t="s">
        <v>816</v>
      </c>
      <c r="C350" s="109">
        <v>46293</v>
      </c>
      <c r="D350" s="98" t="s">
        <v>949</v>
      </c>
      <c r="E350" s="103">
        <v>-25000</v>
      </c>
      <c r="F350" s="98" t="s">
        <v>239</v>
      </c>
      <c r="I350" s="98" t="s">
        <v>809</v>
      </c>
      <c r="K350" s="100"/>
      <c r="L350" s="108"/>
      <c r="M350" s="100"/>
      <c r="N350" s="100"/>
    </row>
    <row r="351" spans="2:14" s="98" customFormat="1">
      <c r="B351" s="99" t="s">
        <v>816</v>
      </c>
      <c r="C351" s="109">
        <v>46293</v>
      </c>
      <c r="D351" s="98" t="s">
        <v>740</v>
      </c>
      <c r="E351" s="103">
        <v>-9</v>
      </c>
      <c r="F351" s="98" t="s">
        <v>239</v>
      </c>
      <c r="I351" s="98" t="s">
        <v>737</v>
      </c>
      <c r="K351" s="100"/>
      <c r="L351" s="108"/>
      <c r="M351" s="100"/>
      <c r="N351" s="100"/>
    </row>
    <row r="352" spans="2:14" s="98" customFormat="1">
      <c r="B352" s="99" t="s">
        <v>816</v>
      </c>
      <c r="C352" s="109">
        <v>46293</v>
      </c>
      <c r="D352" s="98" t="s">
        <v>931</v>
      </c>
      <c r="E352" s="103">
        <v>1700</v>
      </c>
      <c r="F352" s="98" t="s">
        <v>240</v>
      </c>
      <c r="G352" s="98" t="s">
        <v>374</v>
      </c>
      <c r="H352" s="98" t="s">
        <v>513</v>
      </c>
      <c r="I352" s="98" t="s">
        <v>247</v>
      </c>
      <c r="K352" s="100"/>
      <c r="L352" s="108"/>
      <c r="M352" s="100"/>
      <c r="N352" s="100"/>
    </row>
    <row r="353" spans="2:14" s="98" customFormat="1">
      <c r="B353" s="99" t="s">
        <v>816</v>
      </c>
      <c r="C353" s="109">
        <v>46293</v>
      </c>
      <c r="D353" s="98" t="s">
        <v>758</v>
      </c>
      <c r="E353" s="103">
        <v>-2386</v>
      </c>
      <c r="F353" s="98" t="s">
        <v>239</v>
      </c>
      <c r="I353" s="98" t="s">
        <v>737</v>
      </c>
      <c r="K353" s="100"/>
      <c r="L353" s="108"/>
      <c r="M353" s="100"/>
      <c r="N353" s="100"/>
    </row>
    <row r="354" spans="2:14" s="98" customFormat="1">
      <c r="B354" s="99" t="s">
        <v>816</v>
      </c>
      <c r="C354" s="109">
        <v>46292</v>
      </c>
      <c r="D354" s="98" t="s">
        <v>740</v>
      </c>
      <c r="E354" s="103">
        <v>-155</v>
      </c>
      <c r="F354" s="98" t="s">
        <v>239</v>
      </c>
      <c r="I354" s="98" t="s">
        <v>737</v>
      </c>
      <c r="K354" s="100"/>
      <c r="L354" s="108"/>
      <c r="M354" s="100"/>
      <c r="N354" s="100"/>
    </row>
    <row r="355" spans="2:14" s="98" customFormat="1">
      <c r="B355" s="99" t="s">
        <v>816</v>
      </c>
      <c r="C355" s="109">
        <v>46292</v>
      </c>
      <c r="D355" s="98" t="s">
        <v>840</v>
      </c>
      <c r="E355" s="103">
        <v>30950</v>
      </c>
      <c r="F355" s="98" t="s">
        <v>240</v>
      </c>
      <c r="G355" s="98" t="s">
        <v>374</v>
      </c>
      <c r="H355" s="98" t="s">
        <v>516</v>
      </c>
      <c r="I355" s="98" t="s">
        <v>245</v>
      </c>
      <c r="K355" s="100"/>
      <c r="L355" s="108"/>
      <c r="M355" s="100"/>
      <c r="N355" s="100"/>
    </row>
    <row r="356" spans="2:14" s="98" customFormat="1">
      <c r="B356" s="99" t="s">
        <v>816</v>
      </c>
      <c r="C356" s="109">
        <v>46292</v>
      </c>
      <c r="D356" s="98" t="s">
        <v>740</v>
      </c>
      <c r="E356" s="103">
        <v>-3</v>
      </c>
      <c r="F356" s="98" t="s">
        <v>239</v>
      </c>
      <c r="I356" s="98" t="s">
        <v>737</v>
      </c>
      <c r="K356" s="100"/>
      <c r="L356" s="108"/>
      <c r="M356" s="100"/>
      <c r="N356" s="100"/>
    </row>
    <row r="357" spans="2:14" s="98" customFormat="1">
      <c r="B357" s="99" t="s">
        <v>816</v>
      </c>
      <c r="C357" s="109">
        <v>46292</v>
      </c>
      <c r="D357" s="98" t="s">
        <v>778</v>
      </c>
      <c r="E357" s="103">
        <v>550</v>
      </c>
      <c r="F357" s="98" t="s">
        <v>240</v>
      </c>
      <c r="G357" s="98" t="s">
        <v>374</v>
      </c>
      <c r="H357" s="98" t="s">
        <v>516</v>
      </c>
      <c r="I357" s="98" t="s">
        <v>241</v>
      </c>
      <c r="K357" s="100"/>
      <c r="L357" s="108"/>
      <c r="M357" s="100"/>
      <c r="N357" s="100"/>
    </row>
    <row r="358" spans="2:14" s="98" customFormat="1">
      <c r="B358" s="99" t="s">
        <v>816</v>
      </c>
      <c r="C358" s="109">
        <v>46292</v>
      </c>
      <c r="D358" s="98" t="s">
        <v>709</v>
      </c>
      <c r="E358" s="103">
        <v>9400</v>
      </c>
      <c r="F358" s="98" t="s">
        <v>240</v>
      </c>
      <c r="G358" s="98" t="s">
        <v>374</v>
      </c>
      <c r="H358" s="98" t="s">
        <v>516</v>
      </c>
      <c r="I358" s="98" t="s">
        <v>248</v>
      </c>
      <c r="K358" s="100"/>
      <c r="L358" s="108"/>
      <c r="M358" s="100"/>
      <c r="N358" s="100"/>
    </row>
    <row r="359" spans="2:14" s="98" customFormat="1">
      <c r="B359" s="99" t="s">
        <v>816</v>
      </c>
      <c r="C359" s="109">
        <v>46292</v>
      </c>
      <c r="D359" s="98" t="s">
        <v>740</v>
      </c>
      <c r="E359" s="103">
        <v>-90</v>
      </c>
      <c r="F359" s="98" t="s">
        <v>239</v>
      </c>
      <c r="I359" s="98" t="s">
        <v>737</v>
      </c>
      <c r="K359" s="100"/>
      <c r="L359" s="108"/>
      <c r="M359" s="100"/>
      <c r="N359" s="100"/>
    </row>
    <row r="360" spans="2:14" s="98" customFormat="1">
      <c r="B360" s="99" t="s">
        <v>816</v>
      </c>
      <c r="C360" s="109">
        <v>46292</v>
      </c>
      <c r="D360" s="98" t="s">
        <v>791</v>
      </c>
      <c r="E360" s="103">
        <v>17990</v>
      </c>
      <c r="F360" s="98" t="s">
        <v>240</v>
      </c>
      <c r="G360" s="98" t="s">
        <v>374</v>
      </c>
      <c r="H360" s="98" t="s">
        <v>516</v>
      </c>
      <c r="I360" s="98" t="s">
        <v>243</v>
      </c>
      <c r="K360" s="100"/>
      <c r="L360" s="108"/>
      <c r="M360" s="100"/>
      <c r="N360" s="100"/>
    </row>
    <row r="361" spans="2:14" s="98" customFormat="1">
      <c r="B361" s="99" t="s">
        <v>816</v>
      </c>
      <c r="C361" s="109">
        <v>46292</v>
      </c>
      <c r="D361" s="98" t="s">
        <v>740</v>
      </c>
      <c r="E361" s="103">
        <v>-50</v>
      </c>
      <c r="F361" s="98" t="s">
        <v>239</v>
      </c>
      <c r="I361" s="98" t="s">
        <v>737</v>
      </c>
      <c r="K361" s="100"/>
      <c r="L361" s="108"/>
      <c r="M361" s="100"/>
      <c r="N361" s="100"/>
    </row>
    <row r="362" spans="2:14" s="98" customFormat="1">
      <c r="B362" s="99" t="s">
        <v>816</v>
      </c>
      <c r="C362" s="109">
        <v>46292</v>
      </c>
      <c r="D362" s="98" t="s">
        <v>811</v>
      </c>
      <c r="E362" s="103">
        <v>10000</v>
      </c>
      <c r="F362" s="98" t="s">
        <v>240</v>
      </c>
      <c r="G362" s="98" t="s">
        <v>374</v>
      </c>
      <c r="H362" s="98" t="s">
        <v>516</v>
      </c>
      <c r="I362" s="98" t="s">
        <v>270</v>
      </c>
      <c r="K362" s="100"/>
      <c r="L362" s="108"/>
      <c r="M362" s="100"/>
      <c r="N362" s="100"/>
    </row>
    <row r="363" spans="2:14" s="98" customFormat="1">
      <c r="B363" s="99" t="s">
        <v>816</v>
      </c>
      <c r="C363" s="109">
        <v>46291</v>
      </c>
      <c r="D363" s="98" t="s">
        <v>740</v>
      </c>
      <c r="E363" s="103">
        <v>-22</v>
      </c>
      <c r="F363" s="98" t="s">
        <v>239</v>
      </c>
      <c r="I363" s="98" t="s">
        <v>737</v>
      </c>
      <c r="K363" s="100"/>
      <c r="L363" s="108"/>
      <c r="M363" s="100"/>
      <c r="N363" s="100"/>
    </row>
    <row r="364" spans="2:14" s="98" customFormat="1">
      <c r="B364" s="99" t="s">
        <v>816</v>
      </c>
      <c r="C364" s="109">
        <v>46291</v>
      </c>
      <c r="D364" s="98" t="s">
        <v>950</v>
      </c>
      <c r="E364" s="103">
        <v>4380</v>
      </c>
      <c r="F364" s="98" t="s">
        <v>240</v>
      </c>
      <c r="G364" s="98" t="s">
        <v>374</v>
      </c>
      <c r="H364" s="98" t="s">
        <v>516</v>
      </c>
      <c r="I364" s="98" t="s">
        <v>245</v>
      </c>
      <c r="K364" s="100"/>
      <c r="L364" s="108"/>
      <c r="M364" s="100"/>
      <c r="N364" s="100"/>
    </row>
    <row r="365" spans="2:14" s="98" customFormat="1">
      <c r="B365" s="99" t="s">
        <v>816</v>
      </c>
      <c r="C365" s="109">
        <v>46291</v>
      </c>
      <c r="D365" s="98" t="s">
        <v>740</v>
      </c>
      <c r="E365" s="103">
        <v>-22</v>
      </c>
      <c r="F365" s="98" t="s">
        <v>239</v>
      </c>
      <c r="I365" s="98" t="s">
        <v>737</v>
      </c>
      <c r="K365" s="100"/>
      <c r="L365" s="108"/>
      <c r="M365" s="100"/>
      <c r="N365" s="100"/>
    </row>
    <row r="366" spans="2:14" s="98" customFormat="1">
      <c r="B366" s="99" t="s">
        <v>816</v>
      </c>
      <c r="C366" s="109">
        <v>46291</v>
      </c>
      <c r="D366" s="98" t="s">
        <v>844</v>
      </c>
      <c r="E366" s="103">
        <v>4350</v>
      </c>
      <c r="F366" s="98" t="s">
        <v>240</v>
      </c>
      <c r="G366" s="98" t="s">
        <v>374</v>
      </c>
      <c r="H366" s="98" t="s">
        <v>516</v>
      </c>
      <c r="I366" s="98" t="s">
        <v>247</v>
      </c>
      <c r="K366" s="100"/>
      <c r="L366" s="108"/>
      <c r="M366" s="100"/>
      <c r="N366" s="100"/>
    </row>
    <row r="367" spans="2:14" s="98" customFormat="1">
      <c r="B367" s="99" t="s">
        <v>816</v>
      </c>
      <c r="C367" s="109">
        <v>46291</v>
      </c>
      <c r="D367" s="98" t="s">
        <v>711</v>
      </c>
      <c r="E367" s="103">
        <v>14135</v>
      </c>
      <c r="F367" s="98" t="s">
        <v>240</v>
      </c>
      <c r="G367" s="98" t="s">
        <v>374</v>
      </c>
      <c r="H367" s="98" t="s">
        <v>516</v>
      </c>
      <c r="I367" s="98" t="s">
        <v>270</v>
      </c>
      <c r="K367" s="100"/>
      <c r="L367" s="108"/>
      <c r="M367" s="100"/>
      <c r="N367" s="100"/>
    </row>
    <row r="368" spans="2:14" s="98" customFormat="1">
      <c r="B368" s="99" t="s">
        <v>816</v>
      </c>
      <c r="C368" s="109">
        <v>46291</v>
      </c>
      <c r="D368" s="98" t="s">
        <v>802</v>
      </c>
      <c r="E368" s="103">
        <v>1990</v>
      </c>
      <c r="F368" s="98" t="s">
        <v>240</v>
      </c>
      <c r="G368" s="98" t="s">
        <v>374</v>
      </c>
      <c r="H368" s="98" t="s">
        <v>516</v>
      </c>
      <c r="I368" s="98" t="s">
        <v>247</v>
      </c>
      <c r="K368" s="100"/>
      <c r="L368" s="108"/>
      <c r="M368" s="100"/>
      <c r="N368" s="100"/>
    </row>
    <row r="369" spans="2:14" s="98" customFormat="1">
      <c r="B369" s="99" t="s">
        <v>816</v>
      </c>
      <c r="C369" s="109">
        <v>46291</v>
      </c>
      <c r="D369" s="98" t="s">
        <v>951</v>
      </c>
      <c r="E369" s="103">
        <v>1000</v>
      </c>
      <c r="F369" s="98" t="s">
        <v>240</v>
      </c>
      <c r="G369" s="98" t="s">
        <v>374</v>
      </c>
      <c r="H369" s="98" t="s">
        <v>516</v>
      </c>
      <c r="I369" s="98" t="s">
        <v>247</v>
      </c>
      <c r="K369" s="100"/>
      <c r="L369" s="108"/>
      <c r="M369" s="100"/>
      <c r="N369" s="100"/>
    </row>
    <row r="370" spans="2:14" s="98" customFormat="1">
      <c r="B370" s="99" t="s">
        <v>816</v>
      </c>
      <c r="C370" s="109">
        <v>46291</v>
      </c>
      <c r="D370" s="98" t="s">
        <v>951</v>
      </c>
      <c r="E370" s="103">
        <v>1000</v>
      </c>
      <c r="F370" s="98" t="s">
        <v>240</v>
      </c>
      <c r="G370" s="98" t="s">
        <v>374</v>
      </c>
      <c r="H370" s="98" t="s">
        <v>516</v>
      </c>
      <c r="I370" s="98" t="s">
        <v>247</v>
      </c>
      <c r="K370" s="100"/>
      <c r="L370" s="108"/>
      <c r="M370" s="100"/>
      <c r="N370" s="100"/>
    </row>
    <row r="371" spans="2:14" s="98" customFormat="1">
      <c r="B371" s="99" t="s">
        <v>816</v>
      </c>
      <c r="C371" s="109">
        <v>46291</v>
      </c>
      <c r="D371" s="98" t="s">
        <v>854</v>
      </c>
      <c r="E371" s="103">
        <v>9896</v>
      </c>
      <c r="F371" s="98" t="s">
        <v>240</v>
      </c>
      <c r="G371" s="98" t="s">
        <v>374</v>
      </c>
      <c r="H371" s="98" t="s">
        <v>516</v>
      </c>
      <c r="I371" s="98" t="s">
        <v>270</v>
      </c>
      <c r="K371" s="100"/>
      <c r="L371" s="108"/>
      <c r="M371" s="100"/>
      <c r="N371" s="100"/>
    </row>
    <row r="372" spans="2:14" s="98" customFormat="1">
      <c r="B372" s="99" t="s">
        <v>816</v>
      </c>
      <c r="C372" s="109">
        <v>46291</v>
      </c>
      <c r="D372" s="98" t="s">
        <v>740</v>
      </c>
      <c r="E372" s="103">
        <v>-156</v>
      </c>
      <c r="F372" s="98" t="s">
        <v>239</v>
      </c>
      <c r="I372" s="98" t="s">
        <v>737</v>
      </c>
      <c r="K372" s="100"/>
      <c r="L372" s="108"/>
      <c r="M372" s="100"/>
      <c r="N372" s="100"/>
    </row>
    <row r="373" spans="2:14" s="98" customFormat="1">
      <c r="B373" s="99" t="s">
        <v>816</v>
      </c>
      <c r="C373" s="109">
        <v>46291</v>
      </c>
      <c r="D373" s="98" t="s">
        <v>840</v>
      </c>
      <c r="E373" s="103">
        <v>31190</v>
      </c>
      <c r="F373" s="98" t="s">
        <v>240</v>
      </c>
      <c r="G373" s="98" t="s">
        <v>374</v>
      </c>
      <c r="H373" s="98" t="s">
        <v>516</v>
      </c>
      <c r="I373" s="98" t="s">
        <v>245</v>
      </c>
      <c r="K373" s="100"/>
      <c r="L373" s="108"/>
      <c r="M373" s="100"/>
      <c r="N373" s="100"/>
    </row>
    <row r="374" spans="2:14" s="98" customFormat="1">
      <c r="B374" s="99" t="s">
        <v>816</v>
      </c>
      <c r="C374" s="109">
        <v>46290</v>
      </c>
      <c r="D374" s="98" t="s">
        <v>740</v>
      </c>
      <c r="E374" s="103">
        <v>-13</v>
      </c>
      <c r="F374" s="98" t="s">
        <v>239</v>
      </c>
      <c r="I374" s="98" t="s">
        <v>737</v>
      </c>
      <c r="K374" s="100"/>
      <c r="L374" s="108"/>
      <c r="M374" s="100"/>
      <c r="N374" s="100"/>
    </row>
    <row r="375" spans="2:14" s="98" customFormat="1">
      <c r="B375" s="99" t="s">
        <v>816</v>
      </c>
      <c r="C375" s="109">
        <v>46290</v>
      </c>
      <c r="D375" s="98" t="s">
        <v>952</v>
      </c>
      <c r="E375" s="103">
        <v>2500</v>
      </c>
      <c r="F375" s="98" t="s">
        <v>240</v>
      </c>
      <c r="G375" s="98" t="s">
        <v>374</v>
      </c>
      <c r="H375" s="98" t="s">
        <v>516</v>
      </c>
      <c r="I375" s="98" t="s">
        <v>247</v>
      </c>
      <c r="K375" s="100"/>
      <c r="L375" s="108"/>
      <c r="M375" s="100"/>
      <c r="N375" s="100"/>
    </row>
    <row r="376" spans="2:14" s="98" customFormat="1">
      <c r="B376" s="99" t="s">
        <v>816</v>
      </c>
      <c r="C376" s="109">
        <v>46290</v>
      </c>
      <c r="D376" s="98" t="s">
        <v>740</v>
      </c>
      <c r="E376" s="103">
        <v>-44</v>
      </c>
      <c r="F376" s="98" t="s">
        <v>239</v>
      </c>
      <c r="I376" s="98" t="s">
        <v>737</v>
      </c>
      <c r="K376" s="100"/>
      <c r="L376" s="108"/>
      <c r="M376" s="100"/>
      <c r="N376" s="100"/>
    </row>
    <row r="377" spans="2:14" s="98" customFormat="1">
      <c r="B377" s="99" t="s">
        <v>816</v>
      </c>
      <c r="C377" s="109">
        <v>46290</v>
      </c>
      <c r="D377" s="98" t="s">
        <v>950</v>
      </c>
      <c r="E377" s="103">
        <v>8750</v>
      </c>
      <c r="F377" s="98" t="s">
        <v>240</v>
      </c>
      <c r="G377" s="98" t="s">
        <v>374</v>
      </c>
      <c r="H377" s="98" t="s">
        <v>516</v>
      </c>
      <c r="I377" s="98" t="s">
        <v>245</v>
      </c>
      <c r="K377" s="100"/>
      <c r="L377" s="108"/>
      <c r="M377" s="100"/>
      <c r="N377" s="100"/>
    </row>
    <row r="378" spans="2:14" s="98" customFormat="1">
      <c r="B378" s="99" t="s">
        <v>816</v>
      </c>
      <c r="C378" s="109">
        <v>46290</v>
      </c>
      <c r="D378" s="98" t="s">
        <v>932</v>
      </c>
      <c r="E378" s="103">
        <v>-37854</v>
      </c>
      <c r="F378" s="98" t="s">
        <v>239</v>
      </c>
      <c r="I378" s="98" t="s">
        <v>738</v>
      </c>
      <c r="K378" s="100"/>
      <c r="L378" s="108"/>
      <c r="M378" s="100"/>
      <c r="N378" s="100"/>
    </row>
    <row r="379" spans="2:14" s="98" customFormat="1">
      <c r="B379" s="99" t="s">
        <v>816</v>
      </c>
      <c r="C379" s="109">
        <v>46290</v>
      </c>
      <c r="D379" s="98" t="s">
        <v>744</v>
      </c>
      <c r="E379" s="103">
        <v>-21</v>
      </c>
      <c r="F379" s="98" t="s">
        <v>239</v>
      </c>
      <c r="I379" s="98" t="s">
        <v>737</v>
      </c>
      <c r="K379" s="100"/>
      <c r="L379" s="108"/>
      <c r="M379" s="100"/>
      <c r="N379" s="100"/>
    </row>
    <row r="380" spans="2:14" s="98" customFormat="1">
      <c r="B380" s="99" t="s">
        <v>816</v>
      </c>
      <c r="C380" s="109">
        <v>46290</v>
      </c>
      <c r="D380" s="98" t="s">
        <v>953</v>
      </c>
      <c r="E380" s="103">
        <v>9090</v>
      </c>
      <c r="F380" s="98" t="s">
        <v>240</v>
      </c>
      <c r="G380" s="98" t="s">
        <v>374</v>
      </c>
      <c r="H380" s="98" t="s">
        <v>516</v>
      </c>
      <c r="I380" s="98" t="s">
        <v>270</v>
      </c>
      <c r="K380" s="100"/>
      <c r="L380" s="108"/>
      <c r="M380" s="100"/>
      <c r="N380" s="100"/>
    </row>
    <row r="381" spans="2:14" s="98" customFormat="1">
      <c r="B381" s="99" t="s">
        <v>816</v>
      </c>
      <c r="C381" s="109">
        <v>46290</v>
      </c>
      <c r="D381" s="98" t="s">
        <v>709</v>
      </c>
      <c r="E381" s="103">
        <v>10000</v>
      </c>
      <c r="F381" s="98" t="s">
        <v>240</v>
      </c>
      <c r="G381" s="98" t="s">
        <v>374</v>
      </c>
      <c r="H381" s="98" t="s">
        <v>516</v>
      </c>
      <c r="I381" s="98" t="s">
        <v>263</v>
      </c>
      <c r="K381" s="100"/>
      <c r="L381" s="108"/>
      <c r="M381" s="100"/>
      <c r="N381" s="100"/>
    </row>
    <row r="382" spans="2:14" s="98" customFormat="1">
      <c r="B382" s="99" t="s">
        <v>816</v>
      </c>
      <c r="C382" s="109">
        <v>46290</v>
      </c>
      <c r="D382" s="98" t="s">
        <v>740</v>
      </c>
      <c r="E382" s="103">
        <v>-22</v>
      </c>
      <c r="F382" s="98" t="s">
        <v>239</v>
      </c>
      <c r="I382" s="98" t="s">
        <v>737</v>
      </c>
      <c r="K382" s="100"/>
      <c r="L382" s="108"/>
      <c r="M382" s="100"/>
      <c r="N382" s="100"/>
    </row>
    <row r="383" spans="2:14" s="98" customFormat="1">
      <c r="B383" s="99" t="s">
        <v>816</v>
      </c>
      <c r="C383" s="109">
        <v>46290</v>
      </c>
      <c r="D383" s="98" t="s">
        <v>931</v>
      </c>
      <c r="E383" s="103">
        <v>4459</v>
      </c>
      <c r="F383" s="98" t="s">
        <v>240</v>
      </c>
      <c r="G383" s="98" t="s">
        <v>374</v>
      </c>
      <c r="H383" s="98" t="s">
        <v>513</v>
      </c>
      <c r="I383" s="98" t="s">
        <v>242</v>
      </c>
      <c r="K383" s="100"/>
      <c r="L383" s="108"/>
      <c r="M383" s="100"/>
      <c r="N383" s="100"/>
    </row>
    <row r="384" spans="2:14" s="98" customFormat="1">
      <c r="B384" s="99" t="s">
        <v>816</v>
      </c>
      <c r="C384" s="109">
        <v>46290</v>
      </c>
      <c r="D384" s="98" t="s">
        <v>740</v>
      </c>
      <c r="E384" s="103">
        <v>-5</v>
      </c>
      <c r="F384" s="98" t="s">
        <v>239</v>
      </c>
      <c r="I384" s="98" t="s">
        <v>737</v>
      </c>
      <c r="K384" s="100"/>
      <c r="L384" s="108"/>
      <c r="M384" s="100"/>
      <c r="N384" s="100"/>
    </row>
    <row r="385" spans="2:14" s="98" customFormat="1">
      <c r="B385" s="99" t="s">
        <v>816</v>
      </c>
      <c r="C385" s="109">
        <v>46290</v>
      </c>
      <c r="D385" s="98" t="s">
        <v>748</v>
      </c>
      <c r="E385" s="103">
        <v>1000</v>
      </c>
      <c r="F385" s="98" t="s">
        <v>240</v>
      </c>
      <c r="G385" s="98" t="s">
        <v>374</v>
      </c>
      <c r="H385" s="98" t="s">
        <v>516</v>
      </c>
      <c r="I385" s="98" t="s">
        <v>247</v>
      </c>
      <c r="K385" s="100"/>
      <c r="L385" s="108"/>
      <c r="M385" s="100"/>
      <c r="N385" s="100"/>
    </row>
    <row r="386" spans="2:14" s="98" customFormat="1">
      <c r="B386" s="99" t="s">
        <v>816</v>
      </c>
      <c r="C386" s="109">
        <v>46289</v>
      </c>
      <c r="D386" s="98" t="s">
        <v>954</v>
      </c>
      <c r="E386" s="103">
        <v>23503</v>
      </c>
      <c r="F386" s="98" t="s">
        <v>240</v>
      </c>
      <c r="G386" s="98" t="s">
        <v>374</v>
      </c>
      <c r="H386" s="98" t="s">
        <v>516</v>
      </c>
      <c r="I386" s="98" t="s">
        <v>248</v>
      </c>
      <c r="K386" s="100"/>
      <c r="L386" s="108"/>
      <c r="M386" s="100"/>
      <c r="N386" s="100"/>
    </row>
    <row r="387" spans="2:14" s="98" customFormat="1">
      <c r="B387" s="99" t="s">
        <v>816</v>
      </c>
      <c r="C387" s="109">
        <v>46289</v>
      </c>
      <c r="D387" s="98" t="s">
        <v>740</v>
      </c>
      <c r="E387" s="103">
        <v>-8</v>
      </c>
      <c r="F387" s="98" t="s">
        <v>239</v>
      </c>
      <c r="I387" s="98" t="s">
        <v>737</v>
      </c>
      <c r="K387" s="100"/>
      <c r="L387" s="108"/>
      <c r="M387" s="100"/>
      <c r="N387" s="100"/>
    </row>
    <row r="388" spans="2:14" s="98" customFormat="1">
      <c r="B388" s="99" t="s">
        <v>816</v>
      </c>
      <c r="C388" s="109">
        <v>46289</v>
      </c>
      <c r="D388" s="98" t="s">
        <v>822</v>
      </c>
      <c r="E388" s="103">
        <v>1550</v>
      </c>
      <c r="F388" s="98" t="s">
        <v>240</v>
      </c>
      <c r="G388" s="98" t="s">
        <v>374</v>
      </c>
      <c r="H388" s="98" t="s">
        <v>516</v>
      </c>
      <c r="I388" s="98" t="s">
        <v>241</v>
      </c>
      <c r="K388" s="100"/>
      <c r="L388" s="108"/>
      <c r="M388" s="100"/>
      <c r="N388" s="100"/>
    </row>
    <row r="389" spans="2:14" s="98" customFormat="1">
      <c r="B389" s="99" t="s">
        <v>816</v>
      </c>
      <c r="C389" s="109">
        <v>46289</v>
      </c>
      <c r="D389" s="98" t="s">
        <v>744</v>
      </c>
      <c r="E389" s="103">
        <v>-8</v>
      </c>
      <c r="F389" s="98" t="s">
        <v>239</v>
      </c>
      <c r="I389" s="98" t="s">
        <v>737</v>
      </c>
      <c r="K389" s="100"/>
      <c r="L389" s="108"/>
      <c r="M389" s="100"/>
      <c r="N389" s="100"/>
    </row>
    <row r="390" spans="2:14" s="98" customFormat="1">
      <c r="B390" s="99" t="s">
        <v>816</v>
      </c>
      <c r="C390" s="109">
        <v>46289</v>
      </c>
      <c r="D390" s="98" t="s">
        <v>740</v>
      </c>
      <c r="E390" s="103">
        <v>-6</v>
      </c>
      <c r="F390" s="98" t="s">
        <v>239</v>
      </c>
      <c r="I390" s="98" t="s">
        <v>737</v>
      </c>
      <c r="K390" s="100"/>
      <c r="L390" s="108"/>
      <c r="M390" s="100"/>
      <c r="N390" s="100"/>
    </row>
    <row r="391" spans="2:14" s="98" customFormat="1">
      <c r="B391" s="99" t="s">
        <v>816</v>
      </c>
      <c r="C391" s="109">
        <v>46289</v>
      </c>
      <c r="D391" s="98" t="s">
        <v>748</v>
      </c>
      <c r="E391" s="103">
        <v>1200</v>
      </c>
      <c r="F391" s="98" t="s">
        <v>240</v>
      </c>
      <c r="G391" s="98" t="s">
        <v>374</v>
      </c>
      <c r="H391" s="98" t="s">
        <v>516</v>
      </c>
      <c r="I391" s="98" t="s">
        <v>247</v>
      </c>
      <c r="K391" s="100"/>
      <c r="L391" s="108"/>
      <c r="M391" s="100"/>
      <c r="N391" s="100"/>
    </row>
    <row r="392" spans="2:14" s="98" customFormat="1">
      <c r="B392" s="99" t="s">
        <v>816</v>
      </c>
      <c r="C392" s="109">
        <v>46289</v>
      </c>
      <c r="D392" s="98" t="s">
        <v>806</v>
      </c>
      <c r="E392" s="103">
        <v>6750</v>
      </c>
      <c r="F392" s="98" t="s">
        <v>240</v>
      </c>
      <c r="G392" s="98" t="s">
        <v>374</v>
      </c>
      <c r="H392" s="98" t="s">
        <v>513</v>
      </c>
      <c r="I392" s="98" t="s">
        <v>544</v>
      </c>
      <c r="K392" s="100"/>
      <c r="L392" s="108"/>
      <c r="M392" s="100"/>
      <c r="N392" s="100"/>
    </row>
    <row r="393" spans="2:14" s="98" customFormat="1">
      <c r="B393" s="99" t="s">
        <v>816</v>
      </c>
      <c r="C393" s="109">
        <v>46289</v>
      </c>
      <c r="D393" s="98" t="s">
        <v>740</v>
      </c>
      <c r="E393" s="103">
        <v>-22</v>
      </c>
      <c r="F393" s="98" t="s">
        <v>239</v>
      </c>
      <c r="I393" s="98" t="s">
        <v>737</v>
      </c>
      <c r="K393" s="100"/>
      <c r="L393" s="108"/>
      <c r="M393" s="100"/>
      <c r="N393" s="100"/>
    </row>
    <row r="394" spans="2:14" s="98" customFormat="1">
      <c r="B394" s="99" t="s">
        <v>816</v>
      </c>
      <c r="C394" s="109">
        <v>46289</v>
      </c>
      <c r="D394" s="98" t="s">
        <v>931</v>
      </c>
      <c r="E394" s="103">
        <v>4459</v>
      </c>
      <c r="F394" s="98" t="s">
        <v>240</v>
      </c>
      <c r="G394" s="98" t="s">
        <v>374</v>
      </c>
      <c r="H394" s="98" t="s">
        <v>513</v>
      </c>
      <c r="I394" s="98" t="s">
        <v>242</v>
      </c>
      <c r="K394" s="100"/>
      <c r="L394" s="108"/>
      <c r="M394" s="100"/>
      <c r="N394" s="100"/>
    </row>
    <row r="395" spans="2:14" s="98" customFormat="1">
      <c r="B395" s="99" t="s">
        <v>816</v>
      </c>
      <c r="C395" s="109">
        <v>46289</v>
      </c>
      <c r="D395" s="98" t="s">
        <v>740</v>
      </c>
      <c r="E395" s="103">
        <v>-25</v>
      </c>
      <c r="F395" s="98" t="s">
        <v>239</v>
      </c>
      <c r="I395" s="98" t="s">
        <v>737</v>
      </c>
      <c r="K395" s="100"/>
      <c r="L395" s="108"/>
      <c r="M395" s="100"/>
      <c r="N395" s="100"/>
    </row>
    <row r="396" spans="2:14" s="98" customFormat="1">
      <c r="B396" s="99" t="s">
        <v>816</v>
      </c>
      <c r="C396" s="109">
        <v>46289</v>
      </c>
      <c r="D396" s="98" t="s">
        <v>936</v>
      </c>
      <c r="E396" s="103">
        <v>4990</v>
      </c>
      <c r="F396" s="98" t="s">
        <v>240</v>
      </c>
      <c r="G396" s="98" t="s">
        <v>374</v>
      </c>
      <c r="H396" s="98" t="s">
        <v>516</v>
      </c>
      <c r="I396" s="98" t="s">
        <v>247</v>
      </c>
      <c r="K396" s="100"/>
      <c r="L396" s="108"/>
      <c r="M396" s="100"/>
      <c r="N396" s="100"/>
    </row>
    <row r="397" spans="2:14" s="98" customFormat="1">
      <c r="B397" s="99" t="s">
        <v>816</v>
      </c>
      <c r="C397" s="109">
        <v>46289</v>
      </c>
      <c r="D397" s="98" t="s">
        <v>711</v>
      </c>
      <c r="E397" s="103">
        <v>20000</v>
      </c>
      <c r="F397" s="98" t="s">
        <v>240</v>
      </c>
      <c r="G397" s="98" t="s">
        <v>374</v>
      </c>
      <c r="H397" s="98" t="s">
        <v>516</v>
      </c>
      <c r="I397" s="98" t="s">
        <v>270</v>
      </c>
      <c r="K397" s="100"/>
      <c r="L397" s="108"/>
      <c r="M397" s="100"/>
      <c r="N397" s="100"/>
    </row>
    <row r="398" spans="2:14" s="98" customFormat="1">
      <c r="B398" s="99" t="s">
        <v>816</v>
      </c>
      <c r="C398" s="109">
        <v>46289</v>
      </c>
      <c r="D398" s="98" t="s">
        <v>849</v>
      </c>
      <c r="E398" s="103">
        <v>1990</v>
      </c>
      <c r="F398" s="98" t="s">
        <v>240</v>
      </c>
      <c r="G398" s="98" t="s">
        <v>374</v>
      </c>
      <c r="H398" s="98" t="s">
        <v>516</v>
      </c>
      <c r="I398" s="98" t="s">
        <v>247</v>
      </c>
      <c r="K398" s="100"/>
      <c r="L398" s="108"/>
      <c r="M398" s="100"/>
      <c r="N398" s="100"/>
    </row>
    <row r="399" spans="2:14" s="98" customFormat="1">
      <c r="B399" s="99" t="s">
        <v>816</v>
      </c>
      <c r="C399" s="109">
        <v>46288</v>
      </c>
      <c r="D399" s="98" t="s">
        <v>854</v>
      </c>
      <c r="E399" s="103">
        <v>6090</v>
      </c>
      <c r="F399" s="98" t="s">
        <v>240</v>
      </c>
      <c r="G399" s="98" t="s">
        <v>374</v>
      </c>
      <c r="H399" s="98" t="s">
        <v>516</v>
      </c>
      <c r="I399" s="98" t="s">
        <v>247</v>
      </c>
      <c r="K399" s="100"/>
      <c r="L399" s="108"/>
      <c r="M399" s="100"/>
      <c r="N399" s="100"/>
    </row>
    <row r="400" spans="2:14" s="98" customFormat="1">
      <c r="B400" s="99" t="s">
        <v>816</v>
      </c>
      <c r="C400" s="109">
        <v>46288</v>
      </c>
      <c r="D400" s="98" t="s">
        <v>744</v>
      </c>
      <c r="E400" s="103">
        <v>-8</v>
      </c>
      <c r="F400" s="98" t="s">
        <v>239</v>
      </c>
      <c r="I400" s="98" t="s">
        <v>737</v>
      </c>
      <c r="K400" s="100"/>
      <c r="L400" s="108"/>
      <c r="M400" s="100"/>
      <c r="N400" s="100"/>
    </row>
    <row r="401" spans="2:14" s="98" customFormat="1">
      <c r="B401" s="99" t="s">
        <v>816</v>
      </c>
      <c r="C401" s="109">
        <v>46288</v>
      </c>
      <c r="D401" s="98" t="s">
        <v>740</v>
      </c>
      <c r="E401" s="103">
        <v>-6</v>
      </c>
      <c r="F401" s="98" t="s">
        <v>239</v>
      </c>
      <c r="I401" s="98" t="s">
        <v>737</v>
      </c>
      <c r="K401" s="100"/>
      <c r="L401" s="108"/>
      <c r="M401" s="100"/>
      <c r="N401" s="100"/>
    </row>
    <row r="402" spans="2:14" s="98" customFormat="1">
      <c r="B402" s="99" t="s">
        <v>816</v>
      </c>
      <c r="C402" s="109">
        <v>46288</v>
      </c>
      <c r="D402" s="98" t="s">
        <v>748</v>
      </c>
      <c r="E402" s="103">
        <v>1200</v>
      </c>
      <c r="F402" s="98" t="s">
        <v>240</v>
      </c>
      <c r="G402" s="98" t="s">
        <v>374</v>
      </c>
      <c r="H402" s="98" t="s">
        <v>516</v>
      </c>
      <c r="I402" s="98" t="s">
        <v>247</v>
      </c>
      <c r="K402" s="100"/>
      <c r="L402" s="108"/>
      <c r="M402" s="100"/>
      <c r="N402" s="100"/>
    </row>
    <row r="403" spans="2:14" s="98" customFormat="1">
      <c r="B403" s="99" t="s">
        <v>816</v>
      </c>
      <c r="C403" s="109">
        <v>46288</v>
      </c>
      <c r="D403" s="98" t="s">
        <v>740</v>
      </c>
      <c r="E403" s="103">
        <v>-22</v>
      </c>
      <c r="F403" s="98" t="s">
        <v>239</v>
      </c>
      <c r="I403" s="98" t="s">
        <v>737</v>
      </c>
      <c r="K403" s="100"/>
      <c r="L403" s="108"/>
      <c r="M403" s="100"/>
      <c r="N403" s="100"/>
    </row>
    <row r="404" spans="2:14" s="98" customFormat="1">
      <c r="B404" s="99" t="s">
        <v>816</v>
      </c>
      <c r="C404" s="109">
        <v>46288</v>
      </c>
      <c r="D404" s="98" t="s">
        <v>931</v>
      </c>
      <c r="E404" s="103">
        <v>4459</v>
      </c>
      <c r="F404" s="98" t="s">
        <v>240</v>
      </c>
      <c r="G404" s="98" t="s">
        <v>374</v>
      </c>
      <c r="H404" s="98" t="s">
        <v>513</v>
      </c>
      <c r="I404" s="98" t="s">
        <v>242</v>
      </c>
      <c r="K404" s="100"/>
      <c r="L404" s="108"/>
      <c r="M404" s="100"/>
      <c r="N404" s="100"/>
    </row>
    <row r="405" spans="2:14" s="98" customFormat="1">
      <c r="B405" s="99" t="s">
        <v>816</v>
      </c>
      <c r="C405" s="109">
        <v>46288</v>
      </c>
      <c r="D405" s="98" t="s">
        <v>691</v>
      </c>
      <c r="E405" s="103">
        <v>1499</v>
      </c>
      <c r="F405" s="98" t="s">
        <v>240</v>
      </c>
      <c r="G405" s="98" t="s">
        <v>374</v>
      </c>
      <c r="H405" s="98" t="s">
        <v>513</v>
      </c>
      <c r="I405" s="98" t="s">
        <v>544</v>
      </c>
      <c r="K405" s="100"/>
      <c r="L405" s="108"/>
      <c r="M405" s="100"/>
      <c r="N405" s="100"/>
    </row>
    <row r="406" spans="2:14" s="98" customFormat="1">
      <c r="B406" s="99" t="s">
        <v>816</v>
      </c>
      <c r="C406" s="109">
        <v>46288</v>
      </c>
      <c r="D406" s="98" t="s">
        <v>740</v>
      </c>
      <c r="E406" s="103">
        <v>-5</v>
      </c>
      <c r="F406" s="98" t="s">
        <v>239</v>
      </c>
      <c r="I406" s="98" t="s">
        <v>737</v>
      </c>
      <c r="K406" s="100"/>
      <c r="L406" s="108"/>
      <c r="M406" s="100"/>
      <c r="N406" s="100"/>
    </row>
    <row r="407" spans="2:14" s="98" customFormat="1">
      <c r="B407" s="99" t="s">
        <v>816</v>
      </c>
      <c r="C407" s="109">
        <v>46288</v>
      </c>
      <c r="D407" s="98" t="s">
        <v>748</v>
      </c>
      <c r="E407" s="103">
        <v>1000</v>
      </c>
      <c r="F407" s="98" t="s">
        <v>240</v>
      </c>
      <c r="G407" s="98" t="s">
        <v>374</v>
      </c>
      <c r="H407" s="98" t="s">
        <v>516</v>
      </c>
      <c r="I407" s="98" t="s">
        <v>247</v>
      </c>
      <c r="K407" s="100"/>
      <c r="L407" s="108"/>
      <c r="M407" s="100"/>
      <c r="N407" s="100"/>
    </row>
    <row r="408" spans="2:14" s="98" customFormat="1">
      <c r="B408" s="99" t="s">
        <v>816</v>
      </c>
      <c r="C408" s="109">
        <v>46287</v>
      </c>
      <c r="D408" s="98" t="s">
        <v>932</v>
      </c>
      <c r="E408" s="103">
        <v>-46663</v>
      </c>
      <c r="F408" s="98" t="s">
        <v>239</v>
      </c>
      <c r="I408" s="98" t="s">
        <v>738</v>
      </c>
      <c r="K408" s="100"/>
      <c r="L408" s="108"/>
      <c r="M408" s="100"/>
      <c r="N408" s="100"/>
    </row>
    <row r="409" spans="2:14" s="98" customFormat="1">
      <c r="B409" s="99" t="s">
        <v>816</v>
      </c>
      <c r="C409" s="109">
        <v>46287</v>
      </c>
      <c r="D409" s="98" t="s">
        <v>740</v>
      </c>
      <c r="E409" s="103">
        <v>-9</v>
      </c>
      <c r="F409" s="98" t="s">
        <v>239</v>
      </c>
      <c r="I409" s="98" t="s">
        <v>737</v>
      </c>
      <c r="K409" s="100"/>
      <c r="L409" s="108"/>
      <c r="M409" s="100"/>
      <c r="N409" s="100"/>
    </row>
    <row r="410" spans="2:14" s="98" customFormat="1">
      <c r="B410" s="99" t="s">
        <v>816</v>
      </c>
      <c r="C410" s="109">
        <v>46287</v>
      </c>
      <c r="D410" s="98" t="s">
        <v>702</v>
      </c>
      <c r="E410" s="103">
        <v>1800</v>
      </c>
      <c r="F410" s="98" t="s">
        <v>240</v>
      </c>
      <c r="G410" s="98" t="s">
        <v>374</v>
      </c>
      <c r="H410" s="98" t="s">
        <v>516</v>
      </c>
      <c r="I410" s="98" t="s">
        <v>247</v>
      </c>
      <c r="K410" s="100"/>
      <c r="L410" s="108"/>
      <c r="M410" s="100"/>
      <c r="N410" s="100"/>
    </row>
    <row r="411" spans="2:14" s="98" customFormat="1">
      <c r="B411" s="99" t="s">
        <v>816</v>
      </c>
      <c r="C411" s="109">
        <v>46287</v>
      </c>
      <c r="D411" s="98" t="s">
        <v>740</v>
      </c>
      <c r="E411" s="103">
        <v>-18</v>
      </c>
      <c r="F411" s="98" t="s">
        <v>239</v>
      </c>
      <c r="I411" s="98" t="s">
        <v>737</v>
      </c>
      <c r="K411" s="100"/>
      <c r="L411" s="108"/>
      <c r="M411" s="100"/>
      <c r="N411" s="100"/>
    </row>
    <row r="412" spans="2:14" s="98" customFormat="1">
      <c r="B412" s="99" t="s">
        <v>816</v>
      </c>
      <c r="C412" s="109">
        <v>46287</v>
      </c>
      <c r="D412" s="98" t="s">
        <v>625</v>
      </c>
      <c r="E412" s="103">
        <v>3500</v>
      </c>
      <c r="F412" s="98" t="s">
        <v>240</v>
      </c>
      <c r="G412" s="98" t="s">
        <v>374</v>
      </c>
      <c r="H412" s="98" t="s">
        <v>516</v>
      </c>
      <c r="I412" s="98" t="s">
        <v>247</v>
      </c>
      <c r="K412" s="100"/>
      <c r="L412" s="108"/>
      <c r="M412" s="100"/>
      <c r="N412" s="100"/>
    </row>
    <row r="413" spans="2:14" s="98" customFormat="1">
      <c r="B413" s="99" t="s">
        <v>816</v>
      </c>
      <c r="C413" s="109">
        <v>46287</v>
      </c>
      <c r="D413" s="98" t="s">
        <v>744</v>
      </c>
      <c r="E413" s="103">
        <v>-8</v>
      </c>
      <c r="F413" s="98" t="s">
        <v>239</v>
      </c>
      <c r="I413" s="98" t="s">
        <v>737</v>
      </c>
      <c r="K413" s="100"/>
      <c r="L413" s="108"/>
      <c r="M413" s="100"/>
      <c r="N413" s="100"/>
    </row>
    <row r="414" spans="2:14" s="98" customFormat="1">
      <c r="B414" s="99" t="s">
        <v>816</v>
      </c>
      <c r="C414" s="109">
        <v>46287</v>
      </c>
      <c r="D414" s="98" t="s">
        <v>740</v>
      </c>
      <c r="E414" s="103">
        <v>-9</v>
      </c>
      <c r="F414" s="98" t="s">
        <v>239</v>
      </c>
      <c r="I414" s="98" t="s">
        <v>737</v>
      </c>
      <c r="K414" s="100"/>
      <c r="L414" s="108"/>
      <c r="M414" s="100"/>
      <c r="N414" s="100"/>
    </row>
    <row r="415" spans="2:14" s="98" customFormat="1">
      <c r="B415" s="99" t="s">
        <v>816</v>
      </c>
      <c r="C415" s="109">
        <v>46287</v>
      </c>
      <c r="D415" s="98" t="s">
        <v>864</v>
      </c>
      <c r="E415" s="103">
        <v>1800</v>
      </c>
      <c r="F415" s="98" t="s">
        <v>240</v>
      </c>
      <c r="G415" s="98" t="s">
        <v>374</v>
      </c>
      <c r="H415" s="98" t="s">
        <v>516</v>
      </c>
      <c r="I415" s="98" t="s">
        <v>245</v>
      </c>
      <c r="K415" s="100"/>
      <c r="L415" s="108"/>
      <c r="M415" s="100"/>
      <c r="N415" s="100"/>
    </row>
    <row r="416" spans="2:14" s="98" customFormat="1">
      <c r="B416" s="99" t="s">
        <v>816</v>
      </c>
      <c r="C416" s="109">
        <v>46287</v>
      </c>
      <c r="D416" s="98" t="s">
        <v>740</v>
      </c>
      <c r="E416" s="103">
        <v>-71</v>
      </c>
      <c r="F416" s="98" t="s">
        <v>239</v>
      </c>
      <c r="I416" s="98" t="s">
        <v>737</v>
      </c>
      <c r="K416" s="100"/>
      <c r="L416" s="108"/>
      <c r="M416" s="100"/>
      <c r="N416" s="100"/>
    </row>
    <row r="417" spans="2:14" s="98" customFormat="1">
      <c r="B417" s="99" t="s">
        <v>816</v>
      </c>
      <c r="C417" s="109">
        <v>46287</v>
      </c>
      <c r="D417" s="98" t="s">
        <v>864</v>
      </c>
      <c r="E417" s="103">
        <v>14240</v>
      </c>
      <c r="F417" s="98" t="s">
        <v>240</v>
      </c>
      <c r="G417" s="98" t="s">
        <v>374</v>
      </c>
      <c r="H417" s="98" t="s">
        <v>516</v>
      </c>
      <c r="I417" s="98" t="s">
        <v>245</v>
      </c>
      <c r="K417" s="100"/>
      <c r="L417" s="108"/>
      <c r="M417" s="100"/>
      <c r="N417" s="100"/>
    </row>
    <row r="418" spans="2:14" s="98" customFormat="1">
      <c r="B418" s="99" t="s">
        <v>816</v>
      </c>
      <c r="C418" s="109">
        <v>46287</v>
      </c>
      <c r="D418" s="98" t="s">
        <v>740</v>
      </c>
      <c r="E418" s="103">
        <v>-11</v>
      </c>
      <c r="F418" s="98" t="s">
        <v>239</v>
      </c>
      <c r="I418" s="98" t="s">
        <v>737</v>
      </c>
      <c r="K418" s="100"/>
      <c r="L418" s="108"/>
      <c r="M418" s="100"/>
      <c r="N418" s="100"/>
    </row>
    <row r="419" spans="2:14" s="98" customFormat="1">
      <c r="B419" s="99" t="s">
        <v>816</v>
      </c>
      <c r="C419" s="109">
        <v>46287</v>
      </c>
      <c r="D419" s="98" t="s">
        <v>955</v>
      </c>
      <c r="E419" s="103">
        <v>2190</v>
      </c>
      <c r="F419" s="98" t="s">
        <v>240</v>
      </c>
      <c r="G419" s="98" t="s">
        <v>374</v>
      </c>
      <c r="H419" s="98" t="s">
        <v>516</v>
      </c>
      <c r="I419" s="98" t="s">
        <v>247</v>
      </c>
      <c r="K419" s="100"/>
      <c r="L419" s="108"/>
      <c r="M419" s="100"/>
      <c r="N419" s="100"/>
    </row>
    <row r="420" spans="2:14" s="98" customFormat="1">
      <c r="B420" s="99" t="s">
        <v>816</v>
      </c>
      <c r="C420" s="109">
        <v>46287</v>
      </c>
      <c r="D420" s="98" t="s">
        <v>740</v>
      </c>
      <c r="E420" s="103">
        <v>-5</v>
      </c>
      <c r="F420" s="98" t="s">
        <v>239</v>
      </c>
      <c r="I420" s="98" t="s">
        <v>737</v>
      </c>
      <c r="K420" s="100"/>
      <c r="L420" s="108"/>
      <c r="M420" s="100"/>
      <c r="N420" s="100"/>
    </row>
    <row r="421" spans="2:14" s="98" customFormat="1">
      <c r="B421" s="99" t="s">
        <v>816</v>
      </c>
      <c r="C421" s="109">
        <v>46287</v>
      </c>
      <c r="D421" s="98" t="s">
        <v>748</v>
      </c>
      <c r="E421" s="103">
        <v>1000</v>
      </c>
      <c r="F421" s="98" t="s">
        <v>240</v>
      </c>
      <c r="G421" s="98" t="s">
        <v>374</v>
      </c>
      <c r="H421" s="98" t="s">
        <v>516</v>
      </c>
      <c r="I421" s="98" t="s">
        <v>247</v>
      </c>
      <c r="K421" s="100"/>
      <c r="L421" s="108"/>
      <c r="M421" s="100"/>
      <c r="N421" s="100"/>
    </row>
    <row r="422" spans="2:14" s="98" customFormat="1">
      <c r="B422" s="99" t="s">
        <v>816</v>
      </c>
      <c r="C422" s="109">
        <v>46287</v>
      </c>
      <c r="D422" s="98" t="s">
        <v>804</v>
      </c>
      <c r="E422" s="103">
        <v>27589</v>
      </c>
      <c r="F422" s="98" t="s">
        <v>240</v>
      </c>
      <c r="G422" s="98" t="s">
        <v>374</v>
      </c>
      <c r="H422" s="98" t="s">
        <v>513</v>
      </c>
      <c r="I422" s="98" t="s">
        <v>545</v>
      </c>
      <c r="K422" s="100"/>
      <c r="L422" s="108"/>
      <c r="M422" s="100"/>
      <c r="N422" s="100"/>
    </row>
    <row r="423" spans="2:14" s="98" customFormat="1">
      <c r="B423" s="99" t="s">
        <v>816</v>
      </c>
      <c r="C423" s="109">
        <v>46287</v>
      </c>
      <c r="D423" s="98" t="s">
        <v>740</v>
      </c>
      <c r="E423" s="103">
        <v>-6</v>
      </c>
      <c r="F423" s="98" t="s">
        <v>239</v>
      </c>
      <c r="I423" s="98" t="s">
        <v>737</v>
      </c>
      <c r="K423" s="100"/>
      <c r="L423" s="108"/>
      <c r="M423" s="100"/>
      <c r="N423" s="100"/>
    </row>
    <row r="424" spans="2:14" s="98" customFormat="1">
      <c r="B424" s="99" t="s">
        <v>816</v>
      </c>
      <c r="C424" s="109">
        <v>46287</v>
      </c>
      <c r="D424" s="98" t="s">
        <v>748</v>
      </c>
      <c r="E424" s="103">
        <v>1200</v>
      </c>
      <c r="F424" s="98" t="s">
        <v>240</v>
      </c>
      <c r="G424" s="98" t="s">
        <v>374</v>
      </c>
      <c r="H424" s="98" t="s">
        <v>516</v>
      </c>
      <c r="I424" s="98" t="s">
        <v>247</v>
      </c>
      <c r="K424" s="100"/>
      <c r="L424" s="108"/>
      <c r="M424" s="100"/>
      <c r="N424" s="100"/>
    </row>
    <row r="425" spans="2:14" s="98" customFormat="1">
      <c r="B425" s="99" t="s">
        <v>816</v>
      </c>
      <c r="C425" s="109">
        <v>46287</v>
      </c>
      <c r="D425" s="98" t="s">
        <v>740</v>
      </c>
      <c r="E425" s="103">
        <v>-5</v>
      </c>
      <c r="F425" s="98" t="s">
        <v>239</v>
      </c>
      <c r="I425" s="98" t="s">
        <v>737</v>
      </c>
      <c r="K425" s="100"/>
      <c r="L425" s="108"/>
      <c r="M425" s="100"/>
      <c r="N425" s="100"/>
    </row>
    <row r="426" spans="2:14" s="98" customFormat="1">
      <c r="B426" s="99" t="s">
        <v>816</v>
      </c>
      <c r="C426" s="109">
        <v>46287</v>
      </c>
      <c r="D426" s="98" t="s">
        <v>748</v>
      </c>
      <c r="E426" s="103">
        <v>1000</v>
      </c>
      <c r="F426" s="98" t="s">
        <v>240</v>
      </c>
      <c r="G426" s="98" t="s">
        <v>374</v>
      </c>
      <c r="H426" s="98" t="s">
        <v>516</v>
      </c>
      <c r="I426" s="98" t="s">
        <v>247</v>
      </c>
      <c r="K426" s="100"/>
      <c r="L426" s="108"/>
      <c r="M426" s="100"/>
      <c r="N426" s="100"/>
    </row>
    <row r="427" spans="2:14" s="98" customFormat="1">
      <c r="B427" s="99" t="s">
        <v>816</v>
      </c>
      <c r="C427" s="109">
        <v>46286</v>
      </c>
      <c r="D427" s="98" t="s">
        <v>744</v>
      </c>
      <c r="E427" s="103">
        <v>-15</v>
      </c>
      <c r="F427" s="98" t="s">
        <v>239</v>
      </c>
      <c r="I427" s="98" t="s">
        <v>737</v>
      </c>
      <c r="K427" s="100"/>
      <c r="L427" s="108"/>
      <c r="M427" s="100"/>
      <c r="N427" s="100"/>
    </row>
    <row r="428" spans="2:14" s="98" customFormat="1">
      <c r="B428" s="99" t="s">
        <v>816</v>
      </c>
      <c r="C428" s="109">
        <v>46286</v>
      </c>
      <c r="D428" s="98" t="s">
        <v>691</v>
      </c>
      <c r="E428" s="103">
        <v>1790</v>
      </c>
      <c r="F428" s="98" t="s">
        <v>240</v>
      </c>
      <c r="G428" s="98" t="s">
        <v>374</v>
      </c>
      <c r="H428" s="98" t="s">
        <v>513</v>
      </c>
      <c r="I428" s="98" t="s">
        <v>544</v>
      </c>
      <c r="K428" s="100"/>
      <c r="L428" s="108"/>
      <c r="M428" s="100"/>
      <c r="N428" s="100"/>
    </row>
    <row r="429" spans="2:14" s="98" customFormat="1">
      <c r="B429" s="99" t="s">
        <v>816</v>
      </c>
      <c r="C429" s="109">
        <v>46286</v>
      </c>
      <c r="D429" s="98" t="s">
        <v>740</v>
      </c>
      <c r="E429" s="103">
        <v>-13</v>
      </c>
      <c r="F429" s="98" t="s">
        <v>239</v>
      </c>
      <c r="I429" s="98" t="s">
        <v>737</v>
      </c>
      <c r="K429" s="100"/>
      <c r="L429" s="108"/>
      <c r="M429" s="100"/>
      <c r="N429" s="100"/>
    </row>
    <row r="430" spans="2:14" s="98" customFormat="1">
      <c r="B430" s="99" t="s">
        <v>816</v>
      </c>
      <c r="C430" s="109">
        <v>46286</v>
      </c>
      <c r="D430" s="98" t="s">
        <v>936</v>
      </c>
      <c r="E430" s="103">
        <v>2500</v>
      </c>
      <c r="F430" s="98" t="s">
        <v>240</v>
      </c>
      <c r="G430" s="98" t="s">
        <v>374</v>
      </c>
      <c r="H430" s="98" t="s">
        <v>516</v>
      </c>
      <c r="I430" s="98" t="s">
        <v>247</v>
      </c>
      <c r="K430" s="100"/>
      <c r="L430" s="108"/>
      <c r="M430" s="100"/>
      <c r="N430" s="100"/>
    </row>
    <row r="431" spans="2:14" s="98" customFormat="1">
      <c r="B431" s="99" t="s">
        <v>816</v>
      </c>
      <c r="C431" s="109">
        <v>46286</v>
      </c>
      <c r="D431" s="98" t="s">
        <v>740</v>
      </c>
      <c r="E431" s="103">
        <v>-36</v>
      </c>
      <c r="F431" s="98" t="s">
        <v>239</v>
      </c>
      <c r="I431" s="98" t="s">
        <v>737</v>
      </c>
      <c r="K431" s="100"/>
      <c r="L431" s="108"/>
      <c r="M431" s="100"/>
      <c r="N431" s="100"/>
    </row>
    <row r="432" spans="2:14" s="98" customFormat="1">
      <c r="B432" s="99" t="s">
        <v>816</v>
      </c>
      <c r="C432" s="109">
        <v>46286</v>
      </c>
      <c r="D432" s="98" t="s">
        <v>947</v>
      </c>
      <c r="E432" s="103">
        <v>1190</v>
      </c>
      <c r="F432" s="98" t="s">
        <v>240</v>
      </c>
      <c r="G432" s="98" t="s">
        <v>374</v>
      </c>
      <c r="H432" s="98" t="s">
        <v>516</v>
      </c>
      <c r="I432" s="98" t="s">
        <v>247</v>
      </c>
      <c r="K432" s="100"/>
      <c r="L432" s="108"/>
      <c r="M432" s="100"/>
      <c r="N432" s="100"/>
    </row>
    <row r="433" spans="2:14" s="98" customFormat="1">
      <c r="B433" s="99" t="s">
        <v>816</v>
      </c>
      <c r="C433" s="109">
        <v>46286</v>
      </c>
      <c r="D433" s="98" t="s">
        <v>740</v>
      </c>
      <c r="E433" s="103">
        <v>-135</v>
      </c>
      <c r="F433" s="98" t="s">
        <v>239</v>
      </c>
      <c r="I433" s="98" t="s">
        <v>737</v>
      </c>
      <c r="K433" s="100"/>
      <c r="L433" s="108"/>
      <c r="M433" s="100"/>
      <c r="N433" s="100"/>
    </row>
    <row r="434" spans="2:14" s="98" customFormat="1">
      <c r="B434" s="99" t="s">
        <v>816</v>
      </c>
      <c r="C434" s="109">
        <v>46286</v>
      </c>
      <c r="D434" s="98" t="s">
        <v>948</v>
      </c>
      <c r="E434" s="103">
        <v>4500</v>
      </c>
      <c r="F434" s="98" t="s">
        <v>240</v>
      </c>
      <c r="G434" s="98" t="s">
        <v>374</v>
      </c>
      <c r="H434" s="98" t="s">
        <v>516</v>
      </c>
      <c r="I434" s="98" t="s">
        <v>247</v>
      </c>
      <c r="K434" s="100"/>
      <c r="L434" s="108"/>
      <c r="M434" s="100"/>
      <c r="N434" s="100"/>
    </row>
    <row r="435" spans="2:14" s="98" customFormat="1">
      <c r="B435" s="99" t="s">
        <v>816</v>
      </c>
      <c r="C435" s="109">
        <v>46286</v>
      </c>
      <c r="D435" s="98" t="s">
        <v>740</v>
      </c>
      <c r="E435" s="103">
        <v>-111</v>
      </c>
      <c r="F435" s="98" t="s">
        <v>239</v>
      </c>
      <c r="I435" s="98" t="s">
        <v>737</v>
      </c>
      <c r="K435" s="100"/>
      <c r="L435" s="108"/>
      <c r="M435" s="100"/>
      <c r="N435" s="100"/>
    </row>
    <row r="436" spans="2:14" s="98" customFormat="1">
      <c r="B436" s="99" t="s">
        <v>816</v>
      </c>
      <c r="C436" s="109">
        <v>46286</v>
      </c>
      <c r="D436" s="98" t="s">
        <v>948</v>
      </c>
      <c r="E436" s="103">
        <v>3700</v>
      </c>
      <c r="F436" s="98" t="s">
        <v>240</v>
      </c>
      <c r="G436" s="98" t="s">
        <v>374</v>
      </c>
      <c r="H436" s="98" t="s">
        <v>516</v>
      </c>
      <c r="I436" s="98" t="s">
        <v>247</v>
      </c>
      <c r="K436" s="100"/>
      <c r="L436" s="108"/>
      <c r="M436" s="100"/>
      <c r="N436" s="100"/>
    </row>
    <row r="437" spans="2:14" s="98" customFormat="1">
      <c r="B437" s="99" t="s">
        <v>816</v>
      </c>
      <c r="C437" s="109">
        <v>46286</v>
      </c>
      <c r="D437" s="98" t="s">
        <v>709</v>
      </c>
      <c r="E437" s="103">
        <v>2000</v>
      </c>
      <c r="F437" s="98" t="s">
        <v>240</v>
      </c>
      <c r="G437" s="98" t="s">
        <v>374</v>
      </c>
      <c r="H437" s="98" t="s">
        <v>516</v>
      </c>
      <c r="I437" s="98" t="s">
        <v>247</v>
      </c>
      <c r="K437" s="100"/>
      <c r="L437" s="108"/>
      <c r="M437" s="100"/>
      <c r="N437" s="100"/>
    </row>
    <row r="438" spans="2:14" s="98" customFormat="1">
      <c r="B438" s="99" t="s">
        <v>816</v>
      </c>
      <c r="C438" s="109">
        <v>46286</v>
      </c>
      <c r="D438" s="98" t="s">
        <v>740</v>
      </c>
      <c r="E438" s="103">
        <v>-134</v>
      </c>
      <c r="F438" s="98" t="s">
        <v>239</v>
      </c>
      <c r="I438" s="98" t="s">
        <v>737</v>
      </c>
      <c r="K438" s="100"/>
      <c r="L438" s="108"/>
      <c r="M438" s="100"/>
      <c r="N438" s="100"/>
    </row>
    <row r="439" spans="2:14" s="98" customFormat="1">
      <c r="B439" s="99" t="s">
        <v>816</v>
      </c>
      <c r="C439" s="109">
        <v>46286</v>
      </c>
      <c r="D439" s="98" t="s">
        <v>931</v>
      </c>
      <c r="E439" s="103">
        <v>4459</v>
      </c>
      <c r="F439" s="98" t="s">
        <v>240</v>
      </c>
      <c r="G439" s="98" t="s">
        <v>374</v>
      </c>
      <c r="H439" s="98" t="s">
        <v>513</v>
      </c>
      <c r="I439" s="98" t="s">
        <v>242</v>
      </c>
      <c r="K439" s="100"/>
      <c r="L439" s="108"/>
      <c r="M439" s="100"/>
      <c r="N439" s="100"/>
    </row>
    <row r="440" spans="2:14" s="98" customFormat="1">
      <c r="B440" s="99" t="s">
        <v>816</v>
      </c>
      <c r="C440" s="109">
        <v>46285</v>
      </c>
      <c r="D440" s="98" t="s">
        <v>854</v>
      </c>
      <c r="E440" s="103">
        <v>18620</v>
      </c>
      <c r="F440" s="98" t="s">
        <v>240</v>
      </c>
      <c r="G440" s="98" t="s">
        <v>374</v>
      </c>
      <c r="H440" s="98" t="s">
        <v>516</v>
      </c>
      <c r="I440" s="98" t="s">
        <v>270</v>
      </c>
      <c r="K440" s="100"/>
      <c r="L440" s="108"/>
      <c r="M440" s="100"/>
      <c r="N440" s="100"/>
    </row>
    <row r="441" spans="2:14" s="98" customFormat="1">
      <c r="B441" s="99" t="s">
        <v>816</v>
      </c>
      <c r="C441" s="109">
        <v>46285</v>
      </c>
      <c r="D441" s="98" t="s">
        <v>740</v>
      </c>
      <c r="E441" s="103">
        <v>-91</v>
      </c>
      <c r="F441" s="98" t="s">
        <v>239</v>
      </c>
      <c r="I441" s="98" t="s">
        <v>737</v>
      </c>
      <c r="K441" s="100"/>
      <c r="L441" s="108"/>
      <c r="M441" s="100"/>
      <c r="N441" s="100"/>
    </row>
    <row r="442" spans="2:14" s="98" customFormat="1">
      <c r="B442" s="99" t="s">
        <v>816</v>
      </c>
      <c r="C442" s="109">
        <v>46285</v>
      </c>
      <c r="D442" s="98" t="s">
        <v>935</v>
      </c>
      <c r="E442" s="103">
        <v>3020</v>
      </c>
      <c r="F442" s="98" t="s">
        <v>240</v>
      </c>
      <c r="G442" s="98" t="s">
        <v>374</v>
      </c>
      <c r="H442" s="98" t="s">
        <v>516</v>
      </c>
      <c r="I442" s="98" t="s">
        <v>241</v>
      </c>
      <c r="K442" s="100"/>
      <c r="L442" s="108"/>
      <c r="M442" s="100"/>
      <c r="N442" s="100"/>
    </row>
    <row r="443" spans="2:14" s="98" customFormat="1">
      <c r="B443" s="99" t="s">
        <v>816</v>
      </c>
      <c r="C443" s="109">
        <v>46285</v>
      </c>
      <c r="D443" s="98" t="s">
        <v>740</v>
      </c>
      <c r="E443" s="103">
        <v>-75</v>
      </c>
      <c r="F443" s="98" t="s">
        <v>239</v>
      </c>
      <c r="I443" s="98" t="s">
        <v>737</v>
      </c>
      <c r="K443" s="100"/>
      <c r="L443" s="108"/>
      <c r="M443" s="100"/>
      <c r="N443" s="100"/>
    </row>
    <row r="444" spans="2:14" s="98" customFormat="1">
      <c r="B444" s="99" t="s">
        <v>816</v>
      </c>
      <c r="C444" s="109">
        <v>46285</v>
      </c>
      <c r="D444" s="98" t="s">
        <v>936</v>
      </c>
      <c r="E444" s="103">
        <v>2490</v>
      </c>
      <c r="F444" s="98" t="s">
        <v>240</v>
      </c>
      <c r="G444" s="98" t="s">
        <v>374</v>
      </c>
      <c r="H444" s="98" t="s">
        <v>516</v>
      </c>
      <c r="I444" s="98" t="s">
        <v>247</v>
      </c>
      <c r="K444" s="100"/>
      <c r="L444" s="108"/>
      <c r="M444" s="100"/>
      <c r="N444" s="100"/>
    </row>
    <row r="445" spans="2:14" s="98" customFormat="1">
      <c r="B445" s="99" t="s">
        <v>816</v>
      </c>
      <c r="C445" s="109">
        <v>46285</v>
      </c>
      <c r="D445" s="98" t="s">
        <v>740</v>
      </c>
      <c r="E445" s="103">
        <v>-30</v>
      </c>
      <c r="F445" s="98" t="s">
        <v>239</v>
      </c>
      <c r="I445" s="98" t="s">
        <v>737</v>
      </c>
      <c r="K445" s="100"/>
      <c r="L445" s="108"/>
      <c r="M445" s="100"/>
      <c r="N445" s="100"/>
    </row>
    <row r="446" spans="2:14" s="98" customFormat="1">
      <c r="B446" s="99" t="s">
        <v>816</v>
      </c>
      <c r="C446" s="109">
        <v>46285</v>
      </c>
      <c r="D446" s="98" t="s">
        <v>937</v>
      </c>
      <c r="E446" s="103">
        <v>990</v>
      </c>
      <c r="F446" s="98" t="s">
        <v>240</v>
      </c>
      <c r="G446" s="98" t="s">
        <v>374</v>
      </c>
      <c r="H446" s="98" t="s">
        <v>516</v>
      </c>
      <c r="I446" s="98" t="s">
        <v>247</v>
      </c>
      <c r="K446" s="100"/>
      <c r="L446" s="108"/>
      <c r="M446" s="100"/>
      <c r="N446" s="100"/>
    </row>
    <row r="447" spans="2:14" s="98" customFormat="1">
      <c r="B447" s="99" t="s">
        <v>816</v>
      </c>
      <c r="C447" s="109">
        <v>46285</v>
      </c>
      <c r="D447" s="98" t="s">
        <v>740</v>
      </c>
      <c r="E447" s="103">
        <v>-942</v>
      </c>
      <c r="F447" s="98" t="s">
        <v>239</v>
      </c>
      <c r="I447" s="98" t="s">
        <v>737</v>
      </c>
      <c r="K447" s="100"/>
      <c r="L447" s="108"/>
      <c r="M447" s="100"/>
      <c r="N447" s="100"/>
    </row>
    <row r="448" spans="2:14" s="98" customFormat="1">
      <c r="B448" s="99" t="s">
        <v>816</v>
      </c>
      <c r="C448" s="109">
        <v>46285</v>
      </c>
      <c r="D448" s="98" t="s">
        <v>785</v>
      </c>
      <c r="E448" s="103">
        <v>31393</v>
      </c>
      <c r="F448" s="98" t="s">
        <v>240</v>
      </c>
      <c r="G448" s="98" t="s">
        <v>374</v>
      </c>
      <c r="H448" s="98" t="s">
        <v>516</v>
      </c>
      <c r="I448" s="98" t="s">
        <v>245</v>
      </c>
      <c r="K448" s="100"/>
      <c r="L448" s="108"/>
      <c r="M448" s="100"/>
      <c r="N448" s="100"/>
    </row>
    <row r="449" spans="2:14" s="98" customFormat="1">
      <c r="B449" s="99" t="s">
        <v>816</v>
      </c>
      <c r="C449" s="109">
        <v>46285</v>
      </c>
      <c r="D449" s="98" t="s">
        <v>758</v>
      </c>
      <c r="E449" s="103">
        <v>-5584</v>
      </c>
      <c r="F449" s="98" t="s">
        <v>239</v>
      </c>
      <c r="I449" s="98" t="s">
        <v>737</v>
      </c>
      <c r="K449" s="100"/>
      <c r="L449" s="108"/>
      <c r="M449" s="100"/>
      <c r="N449" s="100"/>
    </row>
    <row r="450" spans="2:14" s="98" customFormat="1">
      <c r="B450" s="99" t="s">
        <v>816</v>
      </c>
      <c r="C450" s="109">
        <v>46285</v>
      </c>
      <c r="D450" s="98" t="s">
        <v>740</v>
      </c>
      <c r="E450" s="103">
        <v>-2584</v>
      </c>
      <c r="F450" s="98" t="s">
        <v>239</v>
      </c>
      <c r="I450" s="98" t="s">
        <v>737</v>
      </c>
      <c r="K450" s="100"/>
      <c r="L450" s="108"/>
      <c r="M450" s="100"/>
      <c r="N450" s="100"/>
    </row>
    <row r="451" spans="2:14" s="98" customFormat="1">
      <c r="B451" s="99" t="s">
        <v>816</v>
      </c>
      <c r="C451" s="109">
        <v>46285</v>
      </c>
      <c r="D451" s="98" t="s">
        <v>840</v>
      </c>
      <c r="E451" s="103">
        <v>86140</v>
      </c>
      <c r="F451" s="98" t="s">
        <v>240</v>
      </c>
      <c r="G451" s="98" t="s">
        <v>374</v>
      </c>
      <c r="H451" s="98" t="s">
        <v>516</v>
      </c>
      <c r="I451" s="98" t="s">
        <v>245</v>
      </c>
      <c r="K451" s="100"/>
      <c r="L451" s="108"/>
      <c r="M451" s="100"/>
      <c r="N451" s="100"/>
    </row>
    <row r="452" spans="2:14" s="98" customFormat="1">
      <c r="B452" s="99" t="s">
        <v>816</v>
      </c>
      <c r="C452" s="109">
        <v>46285</v>
      </c>
      <c r="D452" s="98" t="s">
        <v>854</v>
      </c>
      <c r="E452" s="103">
        <v>3490</v>
      </c>
      <c r="F452" s="98" t="s">
        <v>240</v>
      </c>
      <c r="G452" s="98" t="s">
        <v>374</v>
      </c>
      <c r="H452" s="98" t="s">
        <v>516</v>
      </c>
      <c r="I452" s="98" t="s">
        <v>247</v>
      </c>
      <c r="K452" s="100"/>
      <c r="L452" s="108"/>
      <c r="M452" s="100"/>
      <c r="N452" s="100"/>
    </row>
    <row r="453" spans="2:14" s="98" customFormat="1">
      <c r="B453" s="99" t="s">
        <v>816</v>
      </c>
      <c r="C453" s="109">
        <v>46284</v>
      </c>
      <c r="D453" s="98" t="s">
        <v>740</v>
      </c>
      <c r="E453" s="103">
        <v>-134</v>
      </c>
      <c r="F453" s="98" t="s">
        <v>239</v>
      </c>
      <c r="I453" s="98" t="s">
        <v>737</v>
      </c>
      <c r="K453" s="100"/>
      <c r="L453" s="108"/>
      <c r="M453" s="100"/>
      <c r="N453" s="100"/>
    </row>
    <row r="454" spans="2:14" s="98" customFormat="1">
      <c r="B454" s="99" t="s">
        <v>816</v>
      </c>
      <c r="C454" s="109">
        <v>46284</v>
      </c>
      <c r="D454" s="98" t="s">
        <v>938</v>
      </c>
      <c r="E454" s="103">
        <v>4480</v>
      </c>
      <c r="F454" s="98" t="s">
        <v>240</v>
      </c>
      <c r="G454" s="98" t="s">
        <v>374</v>
      </c>
      <c r="H454" s="98" t="s">
        <v>516</v>
      </c>
      <c r="I454" s="98" t="s">
        <v>247</v>
      </c>
      <c r="K454" s="100"/>
      <c r="L454" s="108"/>
      <c r="M454" s="100"/>
      <c r="N454" s="100"/>
    </row>
    <row r="455" spans="2:14" s="98" customFormat="1">
      <c r="B455" s="99" t="s">
        <v>816</v>
      </c>
      <c r="C455" s="109">
        <v>46284</v>
      </c>
      <c r="D455" s="98" t="s">
        <v>740</v>
      </c>
      <c r="E455" s="103">
        <v>-105</v>
      </c>
      <c r="F455" s="98" t="s">
        <v>239</v>
      </c>
      <c r="I455" s="98" t="s">
        <v>737</v>
      </c>
      <c r="K455" s="100"/>
      <c r="L455" s="108"/>
      <c r="M455" s="100"/>
      <c r="N455" s="100"/>
    </row>
    <row r="456" spans="2:14" s="98" customFormat="1">
      <c r="B456" s="99" t="s">
        <v>816</v>
      </c>
      <c r="C456" s="109">
        <v>46284</v>
      </c>
      <c r="D456" s="98" t="s">
        <v>939</v>
      </c>
      <c r="E456" s="103">
        <v>3500</v>
      </c>
      <c r="F456" s="98" t="s">
        <v>240</v>
      </c>
      <c r="G456" s="98" t="s">
        <v>374</v>
      </c>
      <c r="H456" s="98" t="s">
        <v>516</v>
      </c>
      <c r="I456" s="98" t="s">
        <v>638</v>
      </c>
      <c r="K456" s="100"/>
      <c r="L456" s="108"/>
      <c r="M456" s="100"/>
      <c r="N456" s="100"/>
    </row>
    <row r="457" spans="2:14" s="98" customFormat="1">
      <c r="B457" s="99" t="s">
        <v>816</v>
      </c>
      <c r="C457" s="109">
        <v>46284</v>
      </c>
      <c r="D457" s="98" t="s">
        <v>740</v>
      </c>
      <c r="E457" s="103">
        <v>-180</v>
      </c>
      <c r="F457" s="98" t="s">
        <v>239</v>
      </c>
      <c r="I457" s="98" t="s">
        <v>737</v>
      </c>
      <c r="K457" s="100"/>
      <c r="L457" s="108"/>
      <c r="M457" s="100"/>
      <c r="N457" s="100"/>
    </row>
    <row r="458" spans="2:14" s="98" customFormat="1">
      <c r="B458" s="99" t="s">
        <v>816</v>
      </c>
      <c r="C458" s="109">
        <v>46284</v>
      </c>
      <c r="D458" s="98" t="s">
        <v>940</v>
      </c>
      <c r="E458" s="103">
        <v>6000</v>
      </c>
      <c r="F458" s="98" t="s">
        <v>240</v>
      </c>
      <c r="G458" s="98" t="s">
        <v>374</v>
      </c>
      <c r="H458" s="98" t="s">
        <v>516</v>
      </c>
      <c r="I458" s="98" t="s">
        <v>638</v>
      </c>
      <c r="K458" s="100"/>
      <c r="L458" s="108"/>
      <c r="M458" s="100"/>
      <c r="N458" s="100"/>
    </row>
    <row r="459" spans="2:14" s="98" customFormat="1">
      <c r="B459" s="99" t="s">
        <v>816</v>
      </c>
      <c r="C459" s="109">
        <v>46284</v>
      </c>
      <c r="D459" s="98" t="s">
        <v>740</v>
      </c>
      <c r="E459" s="103">
        <v>-150</v>
      </c>
      <c r="F459" s="98" t="s">
        <v>239</v>
      </c>
      <c r="I459" s="98" t="s">
        <v>737</v>
      </c>
      <c r="K459" s="100"/>
      <c r="L459" s="108"/>
      <c r="M459" s="100"/>
      <c r="N459" s="100"/>
    </row>
    <row r="460" spans="2:14" s="98" customFormat="1">
      <c r="B460" s="99" t="s">
        <v>816</v>
      </c>
      <c r="C460" s="109">
        <v>46284</v>
      </c>
      <c r="D460" s="98" t="s">
        <v>941</v>
      </c>
      <c r="E460" s="103">
        <v>5000</v>
      </c>
      <c r="F460" s="98" t="s">
        <v>240</v>
      </c>
      <c r="G460" s="98" t="s">
        <v>374</v>
      </c>
      <c r="H460" s="98" t="s">
        <v>516</v>
      </c>
      <c r="I460" s="98" t="s">
        <v>638</v>
      </c>
      <c r="K460" s="100"/>
      <c r="L460" s="108"/>
      <c r="M460" s="100"/>
      <c r="N460" s="100"/>
    </row>
    <row r="461" spans="2:14" s="98" customFormat="1">
      <c r="B461" s="99" t="s">
        <v>816</v>
      </c>
      <c r="C461" s="109">
        <v>46284</v>
      </c>
      <c r="D461" s="98" t="s">
        <v>740</v>
      </c>
      <c r="E461" s="103">
        <v>-90</v>
      </c>
      <c r="F461" s="98" t="s">
        <v>239</v>
      </c>
      <c r="I461" s="98" t="s">
        <v>737</v>
      </c>
      <c r="K461" s="100"/>
      <c r="L461" s="108"/>
      <c r="M461" s="100"/>
      <c r="N461" s="100"/>
    </row>
    <row r="462" spans="2:14" s="98" customFormat="1">
      <c r="B462" s="99" t="s">
        <v>816</v>
      </c>
      <c r="C462" s="109">
        <v>46284</v>
      </c>
      <c r="D462" s="98" t="s">
        <v>942</v>
      </c>
      <c r="E462" s="103">
        <v>3000</v>
      </c>
      <c r="F462" s="98" t="s">
        <v>240</v>
      </c>
      <c r="G462" s="98" t="s">
        <v>374</v>
      </c>
      <c r="H462" s="98" t="s">
        <v>516</v>
      </c>
      <c r="I462" s="98" t="s">
        <v>638</v>
      </c>
      <c r="K462" s="100"/>
      <c r="L462" s="108"/>
      <c r="M462" s="100"/>
      <c r="N462" s="100"/>
    </row>
    <row r="463" spans="2:14" s="98" customFormat="1">
      <c r="B463" s="99" t="s">
        <v>816</v>
      </c>
      <c r="C463" s="109">
        <v>46284</v>
      </c>
      <c r="D463" s="98" t="s">
        <v>740</v>
      </c>
      <c r="E463" s="103">
        <v>-90</v>
      </c>
      <c r="F463" s="98" t="s">
        <v>239</v>
      </c>
      <c r="I463" s="98" t="s">
        <v>737</v>
      </c>
      <c r="K463" s="100"/>
      <c r="L463" s="108"/>
      <c r="M463" s="100"/>
      <c r="N463" s="100"/>
    </row>
    <row r="464" spans="2:14" s="98" customFormat="1">
      <c r="B464" s="99" t="s">
        <v>816</v>
      </c>
      <c r="C464" s="109">
        <v>46284</v>
      </c>
      <c r="D464" s="98" t="s">
        <v>942</v>
      </c>
      <c r="E464" s="103">
        <v>3000</v>
      </c>
      <c r="F464" s="98" t="s">
        <v>240</v>
      </c>
      <c r="G464" s="98" t="s">
        <v>374</v>
      </c>
      <c r="H464" s="98" t="s">
        <v>516</v>
      </c>
      <c r="I464" s="98" t="s">
        <v>638</v>
      </c>
      <c r="K464" s="100"/>
      <c r="L464" s="108"/>
      <c r="M464" s="100"/>
      <c r="N464" s="100"/>
    </row>
    <row r="465" spans="2:14" s="98" customFormat="1">
      <c r="B465" s="99" t="s">
        <v>816</v>
      </c>
      <c r="C465" s="109">
        <v>46284</v>
      </c>
      <c r="D465" s="98" t="s">
        <v>740</v>
      </c>
      <c r="E465" s="103">
        <v>-120</v>
      </c>
      <c r="F465" s="98" t="s">
        <v>239</v>
      </c>
      <c r="I465" s="98" t="s">
        <v>737</v>
      </c>
      <c r="K465" s="100"/>
      <c r="L465" s="108"/>
      <c r="M465" s="100"/>
      <c r="N465" s="100"/>
    </row>
    <row r="466" spans="2:14" s="98" customFormat="1">
      <c r="B466" s="99" t="s">
        <v>816</v>
      </c>
      <c r="C466" s="109">
        <v>46284</v>
      </c>
      <c r="D466" s="98" t="s">
        <v>943</v>
      </c>
      <c r="E466" s="103">
        <v>4000</v>
      </c>
      <c r="F466" s="98" t="s">
        <v>240</v>
      </c>
      <c r="G466" s="98" t="s">
        <v>374</v>
      </c>
      <c r="H466" s="98" t="s">
        <v>516</v>
      </c>
      <c r="I466" s="98" t="s">
        <v>638</v>
      </c>
      <c r="K466" s="100"/>
      <c r="L466" s="108"/>
      <c r="M466" s="100"/>
      <c r="N466" s="100"/>
    </row>
    <row r="467" spans="2:14" s="98" customFormat="1">
      <c r="B467" s="99" t="s">
        <v>816</v>
      </c>
      <c r="C467" s="109">
        <v>46284</v>
      </c>
      <c r="D467" s="98" t="s">
        <v>740</v>
      </c>
      <c r="E467" s="103">
        <v>-120</v>
      </c>
      <c r="F467" s="98" t="s">
        <v>239</v>
      </c>
      <c r="I467" s="98" t="s">
        <v>737</v>
      </c>
      <c r="K467" s="100"/>
      <c r="L467" s="108"/>
      <c r="M467" s="100"/>
      <c r="N467" s="100"/>
    </row>
    <row r="468" spans="2:14" s="98" customFormat="1">
      <c r="B468" s="99" t="s">
        <v>816</v>
      </c>
      <c r="C468" s="109">
        <v>46284</v>
      </c>
      <c r="D468" s="98" t="s">
        <v>944</v>
      </c>
      <c r="E468" s="103">
        <v>4000</v>
      </c>
      <c r="F468" s="98" t="s">
        <v>240</v>
      </c>
      <c r="G468" s="98" t="s">
        <v>374</v>
      </c>
      <c r="H468" s="98" t="s">
        <v>516</v>
      </c>
      <c r="I468" s="98" t="s">
        <v>638</v>
      </c>
      <c r="K468" s="100"/>
      <c r="L468" s="108"/>
      <c r="M468" s="100"/>
      <c r="N468" s="100"/>
    </row>
    <row r="469" spans="2:14" s="98" customFormat="1">
      <c r="B469" s="99" t="s">
        <v>816</v>
      </c>
      <c r="C469" s="109">
        <v>46283</v>
      </c>
      <c r="D469" s="98" t="s">
        <v>740</v>
      </c>
      <c r="E469" s="103">
        <v>-100</v>
      </c>
      <c r="F469" s="98" t="s">
        <v>239</v>
      </c>
      <c r="I469" s="98" t="s">
        <v>737</v>
      </c>
      <c r="K469" s="100"/>
      <c r="L469" s="108"/>
      <c r="M469" s="100"/>
      <c r="N469" s="100"/>
    </row>
    <row r="470" spans="2:14" s="98" customFormat="1">
      <c r="B470" s="99" t="s">
        <v>816</v>
      </c>
      <c r="C470" s="109">
        <v>46283</v>
      </c>
      <c r="D470" s="98" t="s">
        <v>945</v>
      </c>
      <c r="E470" s="103">
        <v>20000</v>
      </c>
      <c r="F470" s="98" t="s">
        <v>240</v>
      </c>
      <c r="G470" s="98" t="s">
        <v>374</v>
      </c>
      <c r="H470" s="98" t="s">
        <v>516</v>
      </c>
      <c r="I470" s="98" t="s">
        <v>638</v>
      </c>
      <c r="K470" s="100"/>
      <c r="L470" s="108"/>
      <c r="M470" s="100"/>
      <c r="N470" s="100"/>
    </row>
    <row r="471" spans="2:14" s="98" customFormat="1">
      <c r="B471" s="99" t="s">
        <v>816</v>
      </c>
      <c r="C471" s="109">
        <v>46283</v>
      </c>
      <c r="D471" s="98" t="s">
        <v>740</v>
      </c>
      <c r="E471" s="103">
        <v>-200</v>
      </c>
      <c r="F471" s="98" t="s">
        <v>239</v>
      </c>
      <c r="I471" s="98" t="s">
        <v>737</v>
      </c>
      <c r="K471" s="100"/>
      <c r="L471" s="108"/>
      <c r="M471" s="100"/>
      <c r="N471" s="100"/>
    </row>
    <row r="472" spans="2:14" s="98" customFormat="1">
      <c r="B472" s="99" t="s">
        <v>816</v>
      </c>
      <c r="C472" s="109">
        <v>46283</v>
      </c>
      <c r="D472" s="98" t="s">
        <v>945</v>
      </c>
      <c r="E472" s="103">
        <v>40000</v>
      </c>
      <c r="F472" s="98" t="s">
        <v>240</v>
      </c>
      <c r="G472" s="98" t="s">
        <v>374</v>
      </c>
      <c r="H472" s="98" t="s">
        <v>516</v>
      </c>
      <c r="I472" s="98" t="s">
        <v>638</v>
      </c>
      <c r="K472" s="100"/>
      <c r="L472" s="108"/>
      <c r="M472" s="100"/>
      <c r="N472" s="100"/>
    </row>
    <row r="473" spans="2:14" s="98" customFormat="1">
      <c r="B473" s="99" t="s">
        <v>816</v>
      </c>
      <c r="C473" s="109">
        <v>46283</v>
      </c>
      <c r="D473" s="98" t="s">
        <v>740</v>
      </c>
      <c r="E473" s="103">
        <v>-100</v>
      </c>
      <c r="F473" s="98" t="s">
        <v>239</v>
      </c>
      <c r="I473" s="98" t="s">
        <v>737</v>
      </c>
      <c r="K473" s="100"/>
      <c r="L473" s="108"/>
      <c r="M473" s="100"/>
      <c r="N473" s="100"/>
    </row>
    <row r="474" spans="2:14" s="98" customFormat="1">
      <c r="B474" s="99" t="s">
        <v>816</v>
      </c>
      <c r="C474" s="109">
        <v>46283</v>
      </c>
      <c r="D474" s="98" t="s">
        <v>945</v>
      </c>
      <c r="E474" s="103">
        <v>20000</v>
      </c>
      <c r="F474" s="98" t="s">
        <v>240</v>
      </c>
      <c r="G474" s="98" t="s">
        <v>374</v>
      </c>
      <c r="H474" s="98" t="s">
        <v>516</v>
      </c>
      <c r="I474" s="98" t="s">
        <v>638</v>
      </c>
      <c r="K474" s="100"/>
      <c r="L474" s="108"/>
      <c r="M474" s="100"/>
      <c r="N474" s="100"/>
    </row>
    <row r="475" spans="2:14" s="98" customFormat="1">
      <c r="B475" s="99" t="s">
        <v>816</v>
      </c>
      <c r="C475" s="109">
        <v>46282</v>
      </c>
      <c r="D475" s="98" t="s">
        <v>932</v>
      </c>
      <c r="E475" s="103">
        <v>-47358</v>
      </c>
      <c r="F475" s="98" t="s">
        <v>239</v>
      </c>
      <c r="I475" s="98" t="s">
        <v>738</v>
      </c>
      <c r="K475" s="100"/>
      <c r="L475" s="108"/>
      <c r="M475" s="100"/>
      <c r="N475" s="100"/>
    </row>
    <row r="476" spans="2:14" s="98" customFormat="1">
      <c r="B476" s="99" t="s">
        <v>816</v>
      </c>
      <c r="C476" s="109">
        <v>46282</v>
      </c>
      <c r="D476" s="98" t="s">
        <v>740</v>
      </c>
      <c r="E476" s="103">
        <v>-10</v>
      </c>
      <c r="F476" s="98" t="s">
        <v>239</v>
      </c>
      <c r="I476" s="98" t="s">
        <v>737</v>
      </c>
      <c r="K476" s="100"/>
      <c r="L476" s="108"/>
      <c r="M476" s="100"/>
      <c r="N476" s="100"/>
    </row>
    <row r="477" spans="2:14" s="98" customFormat="1">
      <c r="B477" s="99" t="s">
        <v>816</v>
      </c>
      <c r="C477" s="109">
        <v>46282</v>
      </c>
      <c r="D477" s="98" t="s">
        <v>935</v>
      </c>
      <c r="E477" s="103">
        <v>2050</v>
      </c>
      <c r="F477" s="98" t="s">
        <v>240</v>
      </c>
      <c r="G477" s="98" t="s">
        <v>374</v>
      </c>
      <c r="H477" s="98" t="s">
        <v>516</v>
      </c>
      <c r="I477" s="98" t="s">
        <v>241</v>
      </c>
      <c r="K477" s="100"/>
      <c r="L477" s="108"/>
      <c r="M477" s="100"/>
      <c r="N477" s="100"/>
    </row>
    <row r="478" spans="2:14" s="98" customFormat="1">
      <c r="B478" s="99" t="s">
        <v>816</v>
      </c>
      <c r="C478" s="109">
        <v>46282</v>
      </c>
      <c r="D478" s="98" t="s">
        <v>709</v>
      </c>
      <c r="E478" s="103">
        <v>30000</v>
      </c>
      <c r="F478" s="98" t="s">
        <v>240</v>
      </c>
      <c r="G478" s="98" t="s">
        <v>374</v>
      </c>
      <c r="H478" s="98" t="s">
        <v>516</v>
      </c>
      <c r="I478" s="98" t="s">
        <v>638</v>
      </c>
      <c r="K478" s="100"/>
      <c r="L478" s="108"/>
      <c r="M478" s="100"/>
      <c r="N478" s="100"/>
    </row>
    <row r="479" spans="2:14" s="98" customFormat="1">
      <c r="B479" s="99" t="s">
        <v>816</v>
      </c>
      <c r="C479" s="109">
        <v>46282</v>
      </c>
      <c r="D479" s="98" t="s">
        <v>740</v>
      </c>
      <c r="E479" s="103">
        <v>-4</v>
      </c>
      <c r="F479" s="98" t="s">
        <v>239</v>
      </c>
      <c r="I479" s="98" t="s">
        <v>737</v>
      </c>
      <c r="K479" s="100"/>
      <c r="L479" s="108"/>
      <c r="M479" s="100"/>
      <c r="N479" s="100"/>
    </row>
    <row r="480" spans="2:14" s="98" customFormat="1">
      <c r="B480" s="99" t="s">
        <v>816</v>
      </c>
      <c r="C480" s="109">
        <v>46282</v>
      </c>
      <c r="D480" s="98" t="s">
        <v>936</v>
      </c>
      <c r="E480" s="103">
        <v>890</v>
      </c>
      <c r="F480" s="98" t="s">
        <v>240</v>
      </c>
      <c r="G480" s="98" t="s">
        <v>374</v>
      </c>
      <c r="H480" s="98" t="s">
        <v>516</v>
      </c>
      <c r="I480" s="98" t="s">
        <v>247</v>
      </c>
      <c r="K480" s="100"/>
      <c r="L480" s="108"/>
      <c r="M480" s="100"/>
      <c r="N480" s="100"/>
    </row>
    <row r="481" spans="2:14" s="98" customFormat="1">
      <c r="B481" s="99" t="s">
        <v>816</v>
      </c>
      <c r="C481" s="109">
        <v>46282</v>
      </c>
      <c r="D481" s="98" t="s">
        <v>744</v>
      </c>
      <c r="E481" s="103">
        <v>-64</v>
      </c>
      <c r="F481" s="98" t="s">
        <v>239</v>
      </c>
      <c r="I481" s="98" t="s">
        <v>737</v>
      </c>
      <c r="K481" s="100"/>
      <c r="L481" s="108"/>
      <c r="M481" s="100"/>
      <c r="N481" s="100"/>
    </row>
    <row r="482" spans="2:14" s="98" customFormat="1">
      <c r="B482" s="99" t="s">
        <v>816</v>
      </c>
      <c r="C482" s="109">
        <v>46282</v>
      </c>
      <c r="D482" s="98" t="s">
        <v>740</v>
      </c>
      <c r="E482" s="103">
        <v>-13</v>
      </c>
      <c r="F482" s="98" t="s">
        <v>239</v>
      </c>
      <c r="I482" s="98" t="s">
        <v>737</v>
      </c>
      <c r="K482" s="100"/>
      <c r="L482" s="108"/>
      <c r="M482" s="100"/>
      <c r="N482" s="100"/>
    </row>
    <row r="483" spans="2:14" s="98" customFormat="1">
      <c r="B483" s="99" t="s">
        <v>816</v>
      </c>
      <c r="C483" s="109">
        <v>46282</v>
      </c>
      <c r="D483" s="98" t="s">
        <v>936</v>
      </c>
      <c r="E483" s="103">
        <v>2500</v>
      </c>
      <c r="F483" s="98" t="s">
        <v>240</v>
      </c>
      <c r="G483" s="98" t="s">
        <v>374</v>
      </c>
      <c r="H483" s="98" t="s">
        <v>516</v>
      </c>
      <c r="I483" s="98" t="s">
        <v>247</v>
      </c>
      <c r="K483" s="100"/>
      <c r="L483" s="108"/>
      <c r="M483" s="100"/>
      <c r="N483" s="100"/>
    </row>
    <row r="484" spans="2:14" s="98" customFormat="1">
      <c r="B484" s="99" t="s">
        <v>816</v>
      </c>
      <c r="C484" s="109">
        <v>46282</v>
      </c>
      <c r="D484" s="98" t="s">
        <v>740</v>
      </c>
      <c r="E484" s="103">
        <v>-4</v>
      </c>
      <c r="F484" s="98" t="s">
        <v>239</v>
      </c>
      <c r="I484" s="98" t="s">
        <v>737</v>
      </c>
      <c r="K484" s="100"/>
      <c r="L484" s="108"/>
      <c r="M484" s="100"/>
      <c r="N484" s="100"/>
    </row>
    <row r="485" spans="2:14" s="98" customFormat="1">
      <c r="B485" s="99" t="s">
        <v>816</v>
      </c>
      <c r="C485" s="109">
        <v>46282</v>
      </c>
      <c r="D485" s="98" t="s">
        <v>702</v>
      </c>
      <c r="E485" s="103">
        <v>700</v>
      </c>
      <c r="F485" s="98" t="s">
        <v>240</v>
      </c>
      <c r="G485" s="98" t="s">
        <v>374</v>
      </c>
      <c r="H485" s="98" t="s">
        <v>516</v>
      </c>
      <c r="I485" s="98" t="s">
        <v>247</v>
      </c>
      <c r="K485" s="100"/>
      <c r="L485" s="108"/>
      <c r="M485" s="100"/>
      <c r="N485" s="100"/>
    </row>
    <row r="486" spans="2:14" s="98" customFormat="1">
      <c r="B486" s="99" t="s">
        <v>816</v>
      </c>
      <c r="C486" s="109">
        <v>46282</v>
      </c>
      <c r="D486" s="98" t="s">
        <v>711</v>
      </c>
      <c r="E486" s="103">
        <v>20000</v>
      </c>
      <c r="F486" s="98" t="s">
        <v>240</v>
      </c>
      <c r="G486" s="98" t="s">
        <v>374</v>
      </c>
      <c r="H486" s="98" t="s">
        <v>516</v>
      </c>
      <c r="I486" s="98" t="s">
        <v>270</v>
      </c>
      <c r="K486" s="100"/>
      <c r="L486" s="108"/>
      <c r="M486" s="100"/>
      <c r="N486" s="100"/>
    </row>
    <row r="487" spans="2:14" s="98" customFormat="1">
      <c r="B487" s="99" t="s">
        <v>816</v>
      </c>
      <c r="C487" s="109">
        <v>46282</v>
      </c>
      <c r="D487" s="98" t="s">
        <v>770</v>
      </c>
      <c r="E487" s="103">
        <v>-70000</v>
      </c>
      <c r="F487" s="98" t="s">
        <v>239</v>
      </c>
      <c r="I487" s="98" t="s">
        <v>946</v>
      </c>
      <c r="K487" s="100"/>
      <c r="L487" s="108"/>
      <c r="M487" s="100"/>
      <c r="N487" s="100"/>
    </row>
    <row r="488" spans="2:14" s="98" customFormat="1">
      <c r="B488" s="99" t="s">
        <v>816</v>
      </c>
      <c r="C488" s="109">
        <v>46282</v>
      </c>
      <c r="D488" s="98" t="s">
        <v>740</v>
      </c>
      <c r="E488" s="103">
        <v>-22</v>
      </c>
      <c r="F488" s="98" t="s">
        <v>239</v>
      </c>
      <c r="I488" s="98" t="s">
        <v>737</v>
      </c>
      <c r="K488" s="100"/>
      <c r="L488" s="108"/>
      <c r="M488" s="100"/>
      <c r="N488" s="100"/>
    </row>
    <row r="489" spans="2:14" s="98" customFormat="1">
      <c r="B489" s="99" t="s">
        <v>816</v>
      </c>
      <c r="C489" s="109">
        <v>46282</v>
      </c>
      <c r="D489" s="98" t="s">
        <v>931</v>
      </c>
      <c r="E489" s="103">
        <v>4459</v>
      </c>
      <c r="F489" s="98" t="s">
        <v>240</v>
      </c>
      <c r="G489" s="98" t="s">
        <v>374</v>
      </c>
      <c r="H489" s="98" t="s">
        <v>513</v>
      </c>
      <c r="I489" s="98" t="s">
        <v>242</v>
      </c>
      <c r="K489" s="100"/>
      <c r="L489" s="108"/>
      <c r="M489" s="100"/>
      <c r="N489" s="100"/>
    </row>
    <row r="490" spans="2:14" s="98" customFormat="1">
      <c r="B490" s="99" t="s">
        <v>816</v>
      </c>
      <c r="C490" s="109">
        <v>46282</v>
      </c>
      <c r="D490" s="98" t="s">
        <v>759</v>
      </c>
      <c r="E490" s="103">
        <v>41398</v>
      </c>
      <c r="F490" s="98" t="s">
        <v>240</v>
      </c>
      <c r="G490" s="98" t="s">
        <v>374</v>
      </c>
      <c r="H490" s="98" t="s">
        <v>516</v>
      </c>
      <c r="I490" s="98" t="s">
        <v>245</v>
      </c>
      <c r="K490" s="100"/>
      <c r="L490" s="108"/>
      <c r="M490" s="100"/>
      <c r="N490" s="100"/>
    </row>
    <row r="491" spans="2:14" s="98" customFormat="1">
      <c r="B491" s="99" t="s">
        <v>816</v>
      </c>
      <c r="C491" s="109">
        <v>46281</v>
      </c>
      <c r="D491" s="98" t="s">
        <v>770</v>
      </c>
      <c r="E491" s="103">
        <v>-10500</v>
      </c>
      <c r="F491" s="98" t="s">
        <v>239</v>
      </c>
      <c r="I491" s="98" t="s">
        <v>738</v>
      </c>
      <c r="K491" s="100"/>
      <c r="L491" s="108"/>
      <c r="M491" s="100"/>
      <c r="N491" s="100"/>
    </row>
    <row r="492" spans="2:14" s="98" customFormat="1">
      <c r="B492" s="99" t="s">
        <v>816</v>
      </c>
      <c r="C492" s="109">
        <v>46281</v>
      </c>
      <c r="D492" s="98" t="s">
        <v>744</v>
      </c>
      <c r="E492" s="103">
        <v>-16</v>
      </c>
      <c r="F492" s="98" t="s">
        <v>239</v>
      </c>
      <c r="I492" s="98" t="s">
        <v>737</v>
      </c>
      <c r="K492" s="100"/>
      <c r="L492" s="108"/>
      <c r="M492" s="100"/>
      <c r="N492" s="100"/>
    </row>
    <row r="493" spans="2:14" s="98" customFormat="1">
      <c r="B493" s="99" t="s">
        <v>816</v>
      </c>
      <c r="C493" s="109">
        <v>46281</v>
      </c>
      <c r="D493" s="98" t="s">
        <v>711</v>
      </c>
      <c r="E493" s="103">
        <v>20000</v>
      </c>
      <c r="F493" s="98" t="s">
        <v>240</v>
      </c>
      <c r="G493" s="98" t="s">
        <v>374</v>
      </c>
      <c r="H493" s="98" t="s">
        <v>516</v>
      </c>
      <c r="I493" s="98" t="s">
        <v>270</v>
      </c>
      <c r="K493" s="100"/>
      <c r="L493" s="108"/>
      <c r="M493" s="100"/>
      <c r="N493" s="100"/>
    </row>
    <row r="494" spans="2:14" s="98" customFormat="1">
      <c r="B494" s="99" t="s">
        <v>816</v>
      </c>
      <c r="C494" s="109">
        <v>46281</v>
      </c>
      <c r="D494" s="98" t="s">
        <v>740</v>
      </c>
      <c r="E494" s="103">
        <v>-6</v>
      </c>
      <c r="F494" s="98" t="s">
        <v>239</v>
      </c>
      <c r="I494" s="98" t="s">
        <v>737</v>
      </c>
      <c r="K494" s="100"/>
      <c r="L494" s="108"/>
      <c r="M494" s="100"/>
      <c r="N494" s="100"/>
    </row>
    <row r="495" spans="2:14" s="98" customFormat="1">
      <c r="B495" s="99" t="s">
        <v>816</v>
      </c>
      <c r="C495" s="109">
        <v>46281</v>
      </c>
      <c r="D495" s="98" t="s">
        <v>748</v>
      </c>
      <c r="E495" s="103">
        <v>1200</v>
      </c>
      <c r="F495" s="98" t="s">
        <v>240</v>
      </c>
      <c r="G495" s="98" t="s">
        <v>374</v>
      </c>
      <c r="H495" s="98" t="s">
        <v>516</v>
      </c>
      <c r="I495" s="98" t="s">
        <v>247</v>
      </c>
      <c r="K495" s="100"/>
      <c r="L495" s="108"/>
      <c r="M495" s="100"/>
      <c r="N495" s="100"/>
    </row>
    <row r="496" spans="2:14" s="98" customFormat="1">
      <c r="B496" s="99" t="s">
        <v>816</v>
      </c>
      <c r="C496" s="109">
        <v>46281</v>
      </c>
      <c r="D496" s="98" t="s">
        <v>740</v>
      </c>
      <c r="E496" s="103">
        <v>-22</v>
      </c>
      <c r="F496" s="98" t="s">
        <v>239</v>
      </c>
      <c r="I496" s="98" t="s">
        <v>737</v>
      </c>
      <c r="K496" s="100"/>
      <c r="L496" s="108"/>
      <c r="M496" s="100"/>
      <c r="N496" s="100"/>
    </row>
    <row r="497" spans="2:14" s="98" customFormat="1">
      <c r="B497" s="99" t="s">
        <v>816</v>
      </c>
      <c r="C497" s="109">
        <v>46281</v>
      </c>
      <c r="D497" s="98" t="s">
        <v>931</v>
      </c>
      <c r="E497" s="103">
        <v>4459</v>
      </c>
      <c r="F497" s="98" t="s">
        <v>240</v>
      </c>
      <c r="G497" s="98" t="s">
        <v>374</v>
      </c>
      <c r="H497" s="98" t="s">
        <v>513</v>
      </c>
      <c r="I497" s="98" t="s">
        <v>242</v>
      </c>
      <c r="K497" s="100"/>
      <c r="L497" s="108"/>
      <c r="M497" s="100"/>
      <c r="N497" s="100"/>
    </row>
    <row r="498" spans="2:14" s="98" customFormat="1">
      <c r="B498" s="99" t="s">
        <v>816</v>
      </c>
      <c r="C498" s="109">
        <v>46281</v>
      </c>
      <c r="D498" s="98" t="s">
        <v>759</v>
      </c>
      <c r="E498" s="103">
        <v>24131</v>
      </c>
      <c r="F498" s="98" t="s">
        <v>240</v>
      </c>
      <c r="G498" s="98" t="s">
        <v>374</v>
      </c>
      <c r="H498" s="98" t="s">
        <v>516</v>
      </c>
      <c r="I498" s="98" t="s">
        <v>245</v>
      </c>
      <c r="K498" s="100"/>
      <c r="L498" s="108"/>
      <c r="M498" s="100"/>
      <c r="N498" s="100"/>
    </row>
    <row r="499" spans="2:14" s="98" customFormat="1">
      <c r="B499" s="99" t="s">
        <v>816</v>
      </c>
      <c r="C499" s="109">
        <v>46281</v>
      </c>
      <c r="D499" s="98" t="s">
        <v>740</v>
      </c>
      <c r="E499" s="103">
        <v>-5</v>
      </c>
      <c r="F499" s="98" t="s">
        <v>239</v>
      </c>
      <c r="I499" s="98" t="s">
        <v>737</v>
      </c>
      <c r="K499" s="100"/>
      <c r="L499" s="108"/>
      <c r="M499" s="100"/>
      <c r="N499" s="100"/>
    </row>
    <row r="500" spans="2:14" s="98" customFormat="1">
      <c r="B500" s="99" t="s">
        <v>816</v>
      </c>
      <c r="C500" s="109">
        <v>46281</v>
      </c>
      <c r="D500" s="98" t="s">
        <v>748</v>
      </c>
      <c r="E500" s="103">
        <v>1000</v>
      </c>
      <c r="F500" s="98" t="s">
        <v>240</v>
      </c>
      <c r="G500" s="98" t="s">
        <v>374</v>
      </c>
      <c r="H500" s="98" t="s">
        <v>516</v>
      </c>
      <c r="I500" s="98" t="s">
        <v>247</v>
      </c>
      <c r="K500" s="100"/>
      <c r="L500" s="108"/>
      <c r="M500" s="100"/>
      <c r="N500" s="100"/>
    </row>
    <row r="501" spans="2:14" s="98" customFormat="1">
      <c r="B501" s="99" t="s">
        <v>816</v>
      </c>
      <c r="C501" s="109">
        <v>46280</v>
      </c>
      <c r="D501" s="98" t="s">
        <v>932</v>
      </c>
      <c r="E501" s="103">
        <v>-108500</v>
      </c>
      <c r="F501" s="98" t="s">
        <v>239</v>
      </c>
      <c r="I501" s="98" t="s">
        <v>738</v>
      </c>
      <c r="K501" s="100"/>
      <c r="L501" s="108"/>
      <c r="M501" s="100"/>
      <c r="N501" s="100"/>
    </row>
    <row r="502" spans="2:14" s="98" customFormat="1">
      <c r="B502" s="99" t="s">
        <v>816</v>
      </c>
      <c r="C502" s="109">
        <v>46280</v>
      </c>
      <c r="D502" s="98" t="s">
        <v>864</v>
      </c>
      <c r="E502" s="103">
        <v>3900</v>
      </c>
      <c r="F502" s="98" t="s">
        <v>240</v>
      </c>
      <c r="G502" s="98" t="s">
        <v>374</v>
      </c>
      <c r="H502" s="98" t="s">
        <v>516</v>
      </c>
      <c r="I502" s="98" t="s">
        <v>245</v>
      </c>
      <c r="K502" s="100"/>
      <c r="L502" s="108"/>
      <c r="M502" s="100"/>
      <c r="N502" s="100"/>
    </row>
    <row r="503" spans="2:14" s="98" customFormat="1">
      <c r="B503" s="99" t="s">
        <v>816</v>
      </c>
      <c r="C503" s="109">
        <v>46280</v>
      </c>
      <c r="D503" s="98" t="s">
        <v>864</v>
      </c>
      <c r="E503" s="103">
        <v>12930</v>
      </c>
      <c r="F503" s="98" t="s">
        <v>240</v>
      </c>
      <c r="G503" s="98" t="s">
        <v>374</v>
      </c>
      <c r="H503" s="98" t="s">
        <v>516</v>
      </c>
      <c r="I503" s="98" t="s">
        <v>245</v>
      </c>
      <c r="K503" s="100"/>
      <c r="L503" s="108"/>
      <c r="M503" s="100"/>
      <c r="N503" s="100"/>
    </row>
    <row r="504" spans="2:14" s="98" customFormat="1">
      <c r="B504" s="99" t="s">
        <v>816</v>
      </c>
      <c r="C504" s="109">
        <v>46280</v>
      </c>
      <c r="D504" s="98" t="s">
        <v>744</v>
      </c>
      <c r="E504" s="103">
        <v>-16</v>
      </c>
      <c r="F504" s="98" t="s">
        <v>239</v>
      </c>
      <c r="I504" s="98" t="s">
        <v>737</v>
      </c>
      <c r="K504" s="100"/>
      <c r="L504" s="108"/>
      <c r="M504" s="100"/>
      <c r="N504" s="100"/>
    </row>
    <row r="505" spans="2:14" s="98" customFormat="1">
      <c r="B505" s="99" t="s">
        <v>816</v>
      </c>
      <c r="C505" s="109">
        <v>46280</v>
      </c>
      <c r="D505" s="98" t="s">
        <v>740</v>
      </c>
      <c r="E505" s="103">
        <v>-5</v>
      </c>
      <c r="F505" s="98" t="s">
        <v>239</v>
      </c>
      <c r="I505" s="98" t="s">
        <v>737</v>
      </c>
      <c r="K505" s="100"/>
      <c r="L505" s="108"/>
      <c r="M505" s="100"/>
      <c r="N505" s="100"/>
    </row>
    <row r="506" spans="2:14" s="98" customFormat="1">
      <c r="B506" s="99" t="s">
        <v>816</v>
      </c>
      <c r="C506" s="109">
        <v>46280</v>
      </c>
      <c r="D506" s="98" t="s">
        <v>748</v>
      </c>
      <c r="E506" s="103">
        <v>1000</v>
      </c>
      <c r="F506" s="98" t="s">
        <v>240</v>
      </c>
      <c r="G506" s="98" t="s">
        <v>374</v>
      </c>
      <c r="H506" s="98" t="s">
        <v>516</v>
      </c>
      <c r="I506" s="98" t="s">
        <v>247</v>
      </c>
      <c r="K506" s="100"/>
      <c r="L506" s="108"/>
      <c r="M506" s="100"/>
      <c r="N506" s="100"/>
    </row>
    <row r="507" spans="2:14" s="98" customFormat="1">
      <c r="B507" s="99" t="s">
        <v>816</v>
      </c>
      <c r="C507" s="109">
        <v>46280</v>
      </c>
      <c r="D507" s="98" t="s">
        <v>740</v>
      </c>
      <c r="E507" s="103">
        <v>-6</v>
      </c>
      <c r="F507" s="98" t="s">
        <v>239</v>
      </c>
      <c r="I507" s="98" t="s">
        <v>737</v>
      </c>
      <c r="K507" s="100"/>
      <c r="L507" s="108"/>
      <c r="M507" s="100"/>
      <c r="N507" s="100"/>
    </row>
    <row r="508" spans="2:14" s="98" customFormat="1">
      <c r="B508" s="99" t="s">
        <v>816</v>
      </c>
      <c r="C508" s="109">
        <v>46280</v>
      </c>
      <c r="D508" s="98" t="s">
        <v>748</v>
      </c>
      <c r="E508" s="103">
        <v>1200</v>
      </c>
      <c r="F508" s="98" t="s">
        <v>240</v>
      </c>
      <c r="G508" s="98" t="s">
        <v>374</v>
      </c>
      <c r="H508" s="98" t="s">
        <v>516</v>
      </c>
      <c r="I508" s="98" t="s">
        <v>247</v>
      </c>
      <c r="K508" s="100"/>
      <c r="L508" s="108"/>
      <c r="M508" s="100"/>
      <c r="N508" s="100"/>
    </row>
    <row r="509" spans="2:14" s="98" customFormat="1">
      <c r="B509" s="99" t="s">
        <v>816</v>
      </c>
      <c r="C509" s="109">
        <v>46279</v>
      </c>
      <c r="D509" s="98" t="s">
        <v>709</v>
      </c>
      <c r="E509" s="103">
        <v>20000</v>
      </c>
      <c r="F509" s="98" t="s">
        <v>240</v>
      </c>
      <c r="G509" s="98" t="s">
        <v>374</v>
      </c>
      <c r="H509" s="98" t="s">
        <v>516</v>
      </c>
      <c r="I509" s="98" t="s">
        <v>263</v>
      </c>
      <c r="K509" s="100"/>
      <c r="L509" s="108"/>
      <c r="M509" s="100"/>
      <c r="N509" s="100"/>
    </row>
    <row r="510" spans="2:14" s="98" customFormat="1">
      <c r="B510" s="99" t="s">
        <v>816</v>
      </c>
      <c r="C510" s="109">
        <v>46279</v>
      </c>
      <c r="D510" s="98" t="s">
        <v>744</v>
      </c>
      <c r="E510" s="103">
        <v>-19</v>
      </c>
      <c r="F510" s="98" t="s">
        <v>239</v>
      </c>
      <c r="I510" s="98" t="s">
        <v>737</v>
      </c>
      <c r="K510" s="100"/>
      <c r="L510" s="108"/>
      <c r="M510" s="100"/>
      <c r="N510" s="100"/>
    </row>
    <row r="511" spans="2:14" s="98" customFormat="1">
      <c r="B511" s="99" t="s">
        <v>816</v>
      </c>
      <c r="C511" s="109">
        <v>46279</v>
      </c>
      <c r="D511" s="98" t="s">
        <v>740</v>
      </c>
      <c r="E511" s="103">
        <v>-233</v>
      </c>
      <c r="F511" s="98" t="s">
        <v>239</v>
      </c>
      <c r="I511" s="98" t="s">
        <v>737</v>
      </c>
      <c r="K511" s="100"/>
      <c r="L511" s="108"/>
      <c r="M511" s="100"/>
      <c r="N511" s="100"/>
    </row>
    <row r="512" spans="2:14" s="98" customFormat="1">
      <c r="B512" s="99" t="s">
        <v>816</v>
      </c>
      <c r="C512" s="109">
        <v>46279</v>
      </c>
      <c r="D512" s="98" t="s">
        <v>933</v>
      </c>
      <c r="E512" s="103">
        <v>46650</v>
      </c>
      <c r="F512" s="98" t="s">
        <v>240</v>
      </c>
      <c r="G512" s="98" t="s">
        <v>374</v>
      </c>
      <c r="H512" s="98" t="s">
        <v>516</v>
      </c>
      <c r="I512" s="98" t="s">
        <v>244</v>
      </c>
      <c r="K512" s="100"/>
      <c r="L512" s="108"/>
      <c r="M512" s="100"/>
      <c r="N512" s="100"/>
    </row>
    <row r="513" spans="2:14" s="98" customFormat="1">
      <c r="B513" s="99" t="s">
        <v>816</v>
      </c>
      <c r="C513" s="109">
        <v>46279</v>
      </c>
      <c r="D513" s="98" t="s">
        <v>740</v>
      </c>
      <c r="E513" s="103">
        <v>-22</v>
      </c>
      <c r="F513" s="98" t="s">
        <v>239</v>
      </c>
      <c r="I513" s="98" t="s">
        <v>737</v>
      </c>
      <c r="K513" s="100"/>
      <c r="L513" s="108"/>
      <c r="M513" s="100"/>
      <c r="N513" s="100"/>
    </row>
    <row r="514" spans="2:14" s="98" customFormat="1">
      <c r="B514" s="99" t="s">
        <v>816</v>
      </c>
      <c r="C514" s="109">
        <v>46279</v>
      </c>
      <c r="D514" s="98" t="s">
        <v>931</v>
      </c>
      <c r="E514" s="103">
        <v>4459</v>
      </c>
      <c r="F514" s="98" t="s">
        <v>240</v>
      </c>
      <c r="G514" s="98" t="s">
        <v>374</v>
      </c>
      <c r="H514" s="98" t="s">
        <v>513</v>
      </c>
      <c r="I514" s="98" t="s">
        <v>242</v>
      </c>
      <c r="K514" s="100"/>
      <c r="L514" s="108"/>
      <c r="M514" s="100"/>
      <c r="N514" s="100"/>
    </row>
    <row r="515" spans="2:14" s="98" customFormat="1">
      <c r="B515" s="99" t="s">
        <v>816</v>
      </c>
      <c r="C515" s="109">
        <v>46279</v>
      </c>
      <c r="D515" s="98" t="s">
        <v>820</v>
      </c>
      <c r="E515" s="103">
        <v>1000</v>
      </c>
      <c r="F515" s="98" t="s">
        <v>240</v>
      </c>
      <c r="G515" s="98" t="s">
        <v>374</v>
      </c>
      <c r="H515" s="98" t="s">
        <v>516</v>
      </c>
      <c r="I515" s="98" t="s">
        <v>247</v>
      </c>
      <c r="K515" s="100"/>
      <c r="L515" s="108"/>
      <c r="M515" s="100"/>
      <c r="N515" s="100"/>
    </row>
    <row r="516" spans="2:14" s="98" customFormat="1">
      <c r="B516" s="99" t="s">
        <v>816</v>
      </c>
      <c r="C516" s="109">
        <v>46279</v>
      </c>
      <c r="D516" s="98" t="s">
        <v>740</v>
      </c>
      <c r="E516" s="103">
        <v>-9</v>
      </c>
      <c r="F516" s="98" t="s">
        <v>239</v>
      </c>
      <c r="I516" s="98" t="s">
        <v>737</v>
      </c>
      <c r="K516" s="100"/>
      <c r="L516" s="108"/>
      <c r="M516" s="100"/>
      <c r="N516" s="100"/>
    </row>
    <row r="517" spans="2:14" s="98" customFormat="1">
      <c r="B517" s="99" t="s">
        <v>816</v>
      </c>
      <c r="C517" s="109">
        <v>46279</v>
      </c>
      <c r="D517" s="98" t="s">
        <v>745</v>
      </c>
      <c r="E517" s="103">
        <v>1700</v>
      </c>
      <c r="F517" s="98" t="s">
        <v>240</v>
      </c>
      <c r="G517" s="98" t="s">
        <v>374</v>
      </c>
      <c r="H517" s="98" t="s">
        <v>516</v>
      </c>
      <c r="I517" s="98" t="s">
        <v>247</v>
      </c>
      <c r="K517" s="100"/>
      <c r="L517" s="108"/>
      <c r="M517" s="100"/>
      <c r="N517" s="100"/>
    </row>
    <row r="518" spans="2:14" s="98" customFormat="1">
      <c r="B518" s="99" t="s">
        <v>816</v>
      </c>
      <c r="C518" s="109">
        <v>46279</v>
      </c>
      <c r="D518" s="98" t="s">
        <v>711</v>
      </c>
      <c r="E518" s="103">
        <v>24655</v>
      </c>
      <c r="F518" s="98" t="s">
        <v>240</v>
      </c>
      <c r="G518" s="98" t="s">
        <v>374</v>
      </c>
      <c r="H518" s="98" t="s">
        <v>516</v>
      </c>
      <c r="I518" s="98" t="s">
        <v>270</v>
      </c>
      <c r="K518" s="100"/>
      <c r="L518" s="108"/>
      <c r="M518" s="100"/>
      <c r="N518" s="100"/>
    </row>
    <row r="519" spans="2:14" s="98" customFormat="1">
      <c r="B519" s="99" t="s">
        <v>816</v>
      </c>
      <c r="C519" s="109">
        <v>46278</v>
      </c>
      <c r="D519" s="98" t="s">
        <v>770</v>
      </c>
      <c r="E519" s="103">
        <v>-6100</v>
      </c>
      <c r="F519" s="98" t="s">
        <v>239</v>
      </c>
      <c r="I519" s="98" t="s">
        <v>738</v>
      </c>
      <c r="K519" s="100"/>
      <c r="L519" s="108"/>
      <c r="M519" s="100"/>
      <c r="N519" s="100"/>
    </row>
    <row r="520" spans="2:14" s="98" customFormat="1">
      <c r="B520" s="99" t="s">
        <v>816</v>
      </c>
      <c r="C520" s="109">
        <v>46278</v>
      </c>
      <c r="D520" s="98" t="s">
        <v>770</v>
      </c>
      <c r="E520" s="103">
        <v>-60000</v>
      </c>
      <c r="F520" s="98" t="s">
        <v>239</v>
      </c>
      <c r="I520" s="98" t="s">
        <v>934</v>
      </c>
      <c r="K520" s="100"/>
      <c r="L520" s="108"/>
      <c r="M520" s="100"/>
      <c r="N520" s="100"/>
    </row>
    <row r="521" spans="2:14" s="98" customFormat="1">
      <c r="B521" s="99" t="s">
        <v>816</v>
      </c>
      <c r="C521" s="109">
        <v>46278</v>
      </c>
      <c r="D521" s="98" t="s">
        <v>759</v>
      </c>
      <c r="E521" s="103">
        <v>13552</v>
      </c>
      <c r="F521" s="98" t="s">
        <v>240</v>
      </c>
      <c r="G521" s="98" t="s">
        <v>374</v>
      </c>
      <c r="H521" s="98" t="s">
        <v>516</v>
      </c>
      <c r="I521" s="98" t="s">
        <v>245</v>
      </c>
      <c r="K521" s="100"/>
      <c r="L521" s="108"/>
      <c r="M521" s="100"/>
      <c r="N521" s="100"/>
    </row>
    <row r="522" spans="2:14" s="98" customFormat="1">
      <c r="B522" s="99" t="s">
        <v>816</v>
      </c>
      <c r="C522" s="109">
        <v>46278</v>
      </c>
      <c r="D522" s="98" t="s">
        <v>854</v>
      </c>
      <c r="E522" s="103">
        <v>7080</v>
      </c>
      <c r="F522" s="98" t="s">
        <v>240</v>
      </c>
      <c r="G522" s="98" t="s">
        <v>374</v>
      </c>
      <c r="H522" s="98" t="s">
        <v>516</v>
      </c>
      <c r="I522" s="98" t="s">
        <v>247</v>
      </c>
      <c r="K522" s="100"/>
      <c r="L522" s="108"/>
      <c r="M522" s="100"/>
      <c r="N522" s="100"/>
    </row>
    <row r="523" spans="2:14" s="98" customFormat="1">
      <c r="B523" s="99" t="s">
        <v>816</v>
      </c>
      <c r="C523" s="109">
        <v>46278</v>
      </c>
      <c r="D523" s="98" t="s">
        <v>740</v>
      </c>
      <c r="E523" s="103">
        <v>-25</v>
      </c>
      <c r="F523" s="98" t="s">
        <v>239</v>
      </c>
      <c r="I523" s="98" t="s">
        <v>737</v>
      </c>
      <c r="K523" s="100"/>
      <c r="L523" s="108"/>
      <c r="M523" s="100"/>
      <c r="N523" s="100"/>
    </row>
    <row r="524" spans="2:14" s="98" customFormat="1">
      <c r="B524" s="99" t="s">
        <v>816</v>
      </c>
      <c r="C524" s="109">
        <v>46278</v>
      </c>
      <c r="D524" s="98" t="s">
        <v>855</v>
      </c>
      <c r="E524" s="103">
        <v>5000</v>
      </c>
      <c r="F524" s="98" t="s">
        <v>240</v>
      </c>
      <c r="G524" s="98" t="s">
        <v>374</v>
      </c>
      <c r="H524" s="98" t="s">
        <v>516</v>
      </c>
      <c r="I524" s="98" t="s">
        <v>264</v>
      </c>
      <c r="K524" s="100"/>
      <c r="L524" s="108"/>
      <c r="M524" s="100"/>
      <c r="N524" s="100"/>
    </row>
    <row r="525" spans="2:14" s="98" customFormat="1">
      <c r="B525" s="99" t="s">
        <v>816</v>
      </c>
      <c r="C525" s="109">
        <v>46278</v>
      </c>
      <c r="D525" s="98" t="s">
        <v>740</v>
      </c>
      <c r="E525" s="103">
        <v>-38</v>
      </c>
      <c r="F525" s="98" t="s">
        <v>239</v>
      </c>
      <c r="I525" s="98" t="s">
        <v>737</v>
      </c>
      <c r="K525" s="100"/>
      <c r="L525" s="108"/>
      <c r="M525" s="100"/>
      <c r="N525" s="100"/>
    </row>
    <row r="526" spans="2:14" s="98" customFormat="1">
      <c r="B526" s="99" t="s">
        <v>816</v>
      </c>
      <c r="C526" s="109">
        <v>46278</v>
      </c>
      <c r="D526" s="98" t="s">
        <v>856</v>
      </c>
      <c r="E526" s="103">
        <v>7500</v>
      </c>
      <c r="F526" s="98" t="s">
        <v>240</v>
      </c>
      <c r="G526" s="98" t="s">
        <v>374</v>
      </c>
      <c r="H526" s="98" t="s">
        <v>516</v>
      </c>
      <c r="I526" s="98" t="s">
        <v>248</v>
      </c>
      <c r="K526" s="100"/>
      <c r="L526" s="108"/>
      <c r="M526" s="100"/>
      <c r="N526" s="100"/>
    </row>
    <row r="527" spans="2:14" s="98" customFormat="1">
      <c r="B527" s="99" t="s">
        <v>816</v>
      </c>
      <c r="C527" s="109">
        <v>46278</v>
      </c>
      <c r="D527" s="98" t="s">
        <v>740</v>
      </c>
      <c r="E527" s="103">
        <v>-75</v>
      </c>
      <c r="F527" s="98" t="s">
        <v>239</v>
      </c>
      <c r="I527" s="98" t="s">
        <v>737</v>
      </c>
      <c r="K527" s="100"/>
      <c r="L527" s="108"/>
      <c r="M527" s="100"/>
      <c r="N527" s="100"/>
    </row>
    <row r="528" spans="2:14" s="98" customFormat="1">
      <c r="B528" s="99" t="s">
        <v>816</v>
      </c>
      <c r="C528" s="109">
        <v>46278</v>
      </c>
      <c r="D528" s="98" t="s">
        <v>811</v>
      </c>
      <c r="E528" s="103">
        <v>15000</v>
      </c>
      <c r="F528" s="98" t="s">
        <v>240</v>
      </c>
      <c r="G528" s="98" t="s">
        <v>374</v>
      </c>
      <c r="H528" s="98" t="s">
        <v>516</v>
      </c>
      <c r="I528" s="98" t="s">
        <v>270</v>
      </c>
      <c r="K528" s="100"/>
      <c r="L528" s="108"/>
      <c r="M528" s="100"/>
      <c r="N528" s="100"/>
    </row>
    <row r="529" spans="2:14" s="98" customFormat="1">
      <c r="B529" s="99" t="s">
        <v>816</v>
      </c>
      <c r="C529" s="109">
        <v>46278</v>
      </c>
      <c r="D529" s="98" t="s">
        <v>740</v>
      </c>
      <c r="E529" s="103">
        <v>-8</v>
      </c>
      <c r="F529" s="98" t="s">
        <v>239</v>
      </c>
      <c r="I529" s="98" t="s">
        <v>737</v>
      </c>
      <c r="K529" s="100"/>
      <c r="L529" s="108"/>
      <c r="M529" s="100"/>
      <c r="N529" s="100"/>
    </row>
    <row r="530" spans="2:14" s="98" customFormat="1">
      <c r="B530" s="99" t="s">
        <v>816</v>
      </c>
      <c r="C530" s="109">
        <v>46278</v>
      </c>
      <c r="D530" s="98" t="s">
        <v>857</v>
      </c>
      <c r="E530" s="103">
        <v>1600</v>
      </c>
      <c r="F530" s="98" t="s">
        <v>240</v>
      </c>
      <c r="G530" s="98" t="s">
        <v>374</v>
      </c>
      <c r="H530" s="98" t="s">
        <v>516</v>
      </c>
      <c r="I530" s="98" t="s">
        <v>247</v>
      </c>
      <c r="K530" s="100"/>
      <c r="L530" s="108"/>
      <c r="M530" s="100"/>
      <c r="N530" s="100"/>
    </row>
    <row r="531" spans="2:14" s="98" customFormat="1">
      <c r="B531" s="99" t="s">
        <v>816</v>
      </c>
      <c r="C531" s="109">
        <v>46278</v>
      </c>
      <c r="D531" s="98" t="s">
        <v>740</v>
      </c>
      <c r="E531" s="103">
        <v>-31</v>
      </c>
      <c r="F531" s="98" t="s">
        <v>239</v>
      </c>
      <c r="I531" s="98" t="s">
        <v>737</v>
      </c>
      <c r="K531" s="100"/>
      <c r="L531" s="108"/>
      <c r="M531" s="100"/>
      <c r="N531" s="100"/>
    </row>
    <row r="532" spans="2:14" s="98" customFormat="1">
      <c r="B532" s="99" t="s">
        <v>816</v>
      </c>
      <c r="C532" s="109">
        <v>46278</v>
      </c>
      <c r="D532" s="98" t="s">
        <v>858</v>
      </c>
      <c r="E532" s="103">
        <v>6200</v>
      </c>
      <c r="F532" s="98" t="s">
        <v>240</v>
      </c>
      <c r="G532" s="98" t="s">
        <v>374</v>
      </c>
      <c r="H532" s="98" t="s">
        <v>516</v>
      </c>
      <c r="I532" s="98" t="s">
        <v>264</v>
      </c>
      <c r="K532" s="100"/>
      <c r="L532" s="108"/>
      <c r="M532" s="100"/>
      <c r="N532" s="100"/>
    </row>
    <row r="533" spans="2:14" s="98" customFormat="1">
      <c r="B533" s="99" t="s">
        <v>816</v>
      </c>
      <c r="C533" s="109">
        <v>46277</v>
      </c>
      <c r="D533" s="98" t="s">
        <v>740</v>
      </c>
      <c r="E533" s="103">
        <v>-74</v>
      </c>
      <c r="F533" s="98" t="s">
        <v>239</v>
      </c>
      <c r="I533" s="98" t="s">
        <v>737</v>
      </c>
      <c r="K533" s="100"/>
      <c r="L533" s="108"/>
      <c r="M533" s="100"/>
      <c r="N533" s="100"/>
    </row>
    <row r="534" spans="2:14" s="98" customFormat="1">
      <c r="B534" s="99" t="s">
        <v>816</v>
      </c>
      <c r="C534" s="109">
        <v>46277</v>
      </c>
      <c r="D534" s="98" t="s">
        <v>859</v>
      </c>
      <c r="E534" s="103">
        <v>14800</v>
      </c>
      <c r="F534" s="98" t="s">
        <v>240</v>
      </c>
      <c r="G534" s="98" t="s">
        <v>374</v>
      </c>
      <c r="H534" s="98" t="s">
        <v>516</v>
      </c>
      <c r="I534" s="98" t="s">
        <v>268</v>
      </c>
      <c r="K534" s="100"/>
      <c r="L534" s="108"/>
      <c r="M534" s="100"/>
      <c r="N534" s="100"/>
    </row>
    <row r="535" spans="2:14" s="98" customFormat="1">
      <c r="B535" s="99" t="s">
        <v>816</v>
      </c>
      <c r="C535" s="109">
        <v>46277</v>
      </c>
      <c r="D535" s="98" t="s">
        <v>860</v>
      </c>
      <c r="E535" s="103">
        <v>11600</v>
      </c>
      <c r="F535" s="98" t="s">
        <v>240</v>
      </c>
      <c r="G535" s="98" t="s">
        <v>374</v>
      </c>
      <c r="H535" s="98" t="s">
        <v>516</v>
      </c>
      <c r="I535" s="98" t="s">
        <v>268</v>
      </c>
      <c r="K535" s="100"/>
      <c r="L535" s="108"/>
      <c r="M535" s="100"/>
      <c r="N535" s="100"/>
    </row>
    <row r="536" spans="2:14" s="98" customFormat="1">
      <c r="B536" s="99" t="s">
        <v>816</v>
      </c>
      <c r="C536" s="109">
        <v>46277</v>
      </c>
      <c r="D536" s="98" t="s">
        <v>861</v>
      </c>
      <c r="E536" s="103">
        <v>15</v>
      </c>
      <c r="F536" s="98" t="s">
        <v>240</v>
      </c>
      <c r="G536" s="98" t="s">
        <v>374</v>
      </c>
      <c r="H536" s="98" t="s">
        <v>516</v>
      </c>
      <c r="I536" s="98" t="s">
        <v>247</v>
      </c>
      <c r="K536" s="100"/>
      <c r="L536" s="108"/>
      <c r="M536" s="100"/>
      <c r="N536" s="100"/>
    </row>
    <row r="537" spans="2:14" s="98" customFormat="1">
      <c r="B537" s="99" t="s">
        <v>816</v>
      </c>
      <c r="C537" s="109">
        <v>46277</v>
      </c>
      <c r="D537" s="98" t="s">
        <v>861</v>
      </c>
      <c r="E537" s="103">
        <v>1990</v>
      </c>
      <c r="F537" s="98" t="s">
        <v>240</v>
      </c>
      <c r="G537" s="98" t="s">
        <v>374</v>
      </c>
      <c r="H537" s="98" t="s">
        <v>516</v>
      </c>
      <c r="I537" s="98" t="s">
        <v>247</v>
      </c>
      <c r="K537" s="100"/>
      <c r="L537" s="108"/>
      <c r="M537" s="100"/>
      <c r="N537" s="100"/>
    </row>
    <row r="538" spans="2:14" s="98" customFormat="1">
      <c r="B538" s="99" t="s">
        <v>816</v>
      </c>
      <c r="C538" s="109">
        <v>46277</v>
      </c>
      <c r="D538" s="98" t="s">
        <v>711</v>
      </c>
      <c r="E538" s="103">
        <v>19728</v>
      </c>
      <c r="F538" s="98" t="s">
        <v>240</v>
      </c>
      <c r="G538" s="98" t="s">
        <v>374</v>
      </c>
      <c r="H538" s="98" t="s">
        <v>516</v>
      </c>
      <c r="I538" s="98" t="s">
        <v>270</v>
      </c>
      <c r="K538" s="100"/>
      <c r="L538" s="108"/>
      <c r="M538" s="100"/>
      <c r="N538" s="100"/>
    </row>
    <row r="539" spans="2:14" s="98" customFormat="1">
      <c r="B539" s="99" t="s">
        <v>816</v>
      </c>
      <c r="C539" s="109">
        <v>46276</v>
      </c>
      <c r="D539" s="98" t="s">
        <v>740</v>
      </c>
      <c r="E539" s="103">
        <v>-10</v>
      </c>
      <c r="F539" s="98" t="s">
        <v>239</v>
      </c>
      <c r="I539" s="98" t="s">
        <v>737</v>
      </c>
      <c r="K539" s="100"/>
      <c r="L539" s="108"/>
      <c r="M539" s="100"/>
      <c r="N539" s="100"/>
    </row>
    <row r="540" spans="2:14" s="98" customFormat="1">
      <c r="B540" s="99" t="s">
        <v>816</v>
      </c>
      <c r="C540" s="109">
        <v>46276</v>
      </c>
      <c r="D540" s="98" t="s">
        <v>841</v>
      </c>
      <c r="E540" s="103">
        <v>1989</v>
      </c>
      <c r="F540" s="98" t="s">
        <v>240</v>
      </c>
      <c r="G540" s="98" t="s">
        <v>374</v>
      </c>
      <c r="H540" s="98" t="s">
        <v>516</v>
      </c>
      <c r="I540" s="98" t="s">
        <v>244</v>
      </c>
      <c r="K540" s="100"/>
      <c r="L540" s="108"/>
      <c r="M540" s="100"/>
      <c r="N540" s="100"/>
    </row>
    <row r="541" spans="2:14" s="98" customFormat="1">
      <c r="B541" s="99" t="s">
        <v>816</v>
      </c>
      <c r="C541" s="109">
        <v>46276</v>
      </c>
      <c r="D541" s="98" t="s">
        <v>740</v>
      </c>
      <c r="E541" s="103">
        <v>-1</v>
      </c>
      <c r="F541" s="98" t="s">
        <v>239</v>
      </c>
      <c r="I541" s="98" t="s">
        <v>737</v>
      </c>
      <c r="K541" s="100"/>
      <c r="L541" s="108"/>
      <c r="M541" s="100"/>
      <c r="N541" s="100"/>
    </row>
    <row r="542" spans="2:14" s="98" customFormat="1">
      <c r="B542" s="99" t="s">
        <v>816</v>
      </c>
      <c r="C542" s="109">
        <v>46276</v>
      </c>
      <c r="D542" s="98" t="s">
        <v>839</v>
      </c>
      <c r="E542" s="103">
        <v>200</v>
      </c>
      <c r="F542" s="98" t="s">
        <v>240</v>
      </c>
      <c r="G542" s="98" t="s">
        <v>374</v>
      </c>
      <c r="H542" s="98" t="s">
        <v>516</v>
      </c>
      <c r="I542" s="98" t="s">
        <v>241</v>
      </c>
      <c r="K542" s="100"/>
      <c r="L542" s="108"/>
      <c r="M542" s="100"/>
      <c r="N542" s="100"/>
    </row>
    <row r="543" spans="2:14" s="98" customFormat="1">
      <c r="B543" s="99" t="s">
        <v>816</v>
      </c>
      <c r="C543" s="109">
        <v>46276</v>
      </c>
      <c r="D543" s="98" t="s">
        <v>740</v>
      </c>
      <c r="E543" s="103">
        <v>-70</v>
      </c>
      <c r="F543" s="98" t="s">
        <v>239</v>
      </c>
      <c r="I543" s="98" t="s">
        <v>737</v>
      </c>
      <c r="K543" s="100"/>
      <c r="L543" s="108"/>
      <c r="M543" s="100"/>
      <c r="N543" s="100"/>
    </row>
    <row r="544" spans="2:14" s="98" customFormat="1">
      <c r="B544" s="99" t="s">
        <v>816</v>
      </c>
      <c r="C544" s="109">
        <v>46276</v>
      </c>
      <c r="D544" s="98" t="s">
        <v>784</v>
      </c>
      <c r="E544" s="103">
        <v>13990</v>
      </c>
      <c r="F544" s="98" t="s">
        <v>240</v>
      </c>
      <c r="G544" s="98" t="s">
        <v>374</v>
      </c>
      <c r="H544" s="98" t="s">
        <v>516</v>
      </c>
      <c r="I544" s="98" t="s">
        <v>245</v>
      </c>
      <c r="K544" s="100"/>
      <c r="L544" s="108"/>
      <c r="M544" s="100"/>
      <c r="N544" s="100"/>
    </row>
    <row r="545" spans="2:14" s="98" customFormat="1">
      <c r="B545" s="99" t="s">
        <v>816</v>
      </c>
      <c r="C545" s="109">
        <v>46276</v>
      </c>
      <c r="D545" s="98" t="s">
        <v>744</v>
      </c>
      <c r="E545" s="103">
        <v>-67</v>
      </c>
      <c r="F545" s="98" t="s">
        <v>239</v>
      </c>
      <c r="I545" s="98" t="s">
        <v>737</v>
      </c>
      <c r="K545" s="100"/>
      <c r="L545" s="108"/>
      <c r="M545" s="100"/>
      <c r="N545" s="100"/>
    </row>
    <row r="546" spans="2:14" s="98" customFormat="1">
      <c r="B546" s="99" t="s">
        <v>816</v>
      </c>
      <c r="C546" s="109">
        <v>46276</v>
      </c>
      <c r="D546" s="98" t="s">
        <v>740</v>
      </c>
      <c r="E546" s="103">
        <v>-4</v>
      </c>
      <c r="F546" s="98" t="s">
        <v>239</v>
      </c>
      <c r="I546" s="98" t="s">
        <v>737</v>
      </c>
      <c r="K546" s="100"/>
      <c r="L546" s="108"/>
      <c r="M546" s="100"/>
      <c r="N546" s="100"/>
    </row>
    <row r="547" spans="2:14" s="98" customFormat="1">
      <c r="B547" s="99" t="s">
        <v>816</v>
      </c>
      <c r="C547" s="109">
        <v>46276</v>
      </c>
      <c r="D547" s="98" t="s">
        <v>778</v>
      </c>
      <c r="E547" s="103">
        <v>850</v>
      </c>
      <c r="F547" s="98" t="s">
        <v>240</v>
      </c>
      <c r="G547" s="98" t="s">
        <v>374</v>
      </c>
      <c r="H547" s="98" t="s">
        <v>516</v>
      </c>
      <c r="I547" s="98" t="s">
        <v>241</v>
      </c>
      <c r="K547" s="100"/>
      <c r="L547" s="108"/>
      <c r="M547" s="100"/>
      <c r="N547" s="100"/>
    </row>
    <row r="548" spans="2:14" s="98" customFormat="1">
      <c r="B548" s="99" t="s">
        <v>816</v>
      </c>
      <c r="C548" s="109">
        <v>46276</v>
      </c>
      <c r="D548" s="98" t="s">
        <v>740</v>
      </c>
      <c r="E548" s="103">
        <v>-82</v>
      </c>
      <c r="F548" s="98" t="s">
        <v>239</v>
      </c>
      <c r="I548" s="98" t="s">
        <v>737</v>
      </c>
      <c r="K548" s="100"/>
      <c r="L548" s="108"/>
      <c r="M548" s="100"/>
      <c r="N548" s="100"/>
    </row>
    <row r="549" spans="2:14" s="98" customFormat="1">
      <c r="B549" s="99" t="s">
        <v>816</v>
      </c>
      <c r="C549" s="109">
        <v>46276</v>
      </c>
      <c r="D549" s="98" t="s">
        <v>862</v>
      </c>
      <c r="E549" s="103">
        <v>16375</v>
      </c>
      <c r="F549" s="98" t="s">
        <v>240</v>
      </c>
      <c r="G549" s="98" t="s">
        <v>374</v>
      </c>
      <c r="H549" s="98" t="s">
        <v>516</v>
      </c>
      <c r="I549" s="98" t="s">
        <v>269</v>
      </c>
      <c r="K549" s="100"/>
      <c r="L549" s="108"/>
      <c r="M549" s="100"/>
      <c r="N549" s="100"/>
    </row>
    <row r="550" spans="2:14" s="98" customFormat="1">
      <c r="B550" s="99" t="s">
        <v>816</v>
      </c>
      <c r="C550" s="109">
        <v>46276</v>
      </c>
      <c r="D550" s="98" t="s">
        <v>740</v>
      </c>
      <c r="E550" s="103">
        <v>-75</v>
      </c>
      <c r="F550" s="98" t="s">
        <v>239</v>
      </c>
      <c r="I550" s="98" t="s">
        <v>737</v>
      </c>
      <c r="K550" s="100"/>
      <c r="L550" s="108"/>
      <c r="M550" s="100"/>
      <c r="N550" s="100"/>
    </row>
    <row r="551" spans="2:14" s="98" customFormat="1">
      <c r="B551" s="99" t="s">
        <v>816</v>
      </c>
      <c r="C551" s="109">
        <v>46276</v>
      </c>
      <c r="D551" s="98" t="s">
        <v>750</v>
      </c>
      <c r="E551" s="103">
        <v>15004</v>
      </c>
      <c r="F551" s="98" t="s">
        <v>240</v>
      </c>
      <c r="G551" s="98" t="s">
        <v>374</v>
      </c>
      <c r="H551" s="98" t="s">
        <v>516</v>
      </c>
      <c r="I551" s="98" t="s">
        <v>273</v>
      </c>
      <c r="K551" s="100"/>
      <c r="L551" s="108"/>
      <c r="M551" s="100"/>
      <c r="N551" s="100"/>
    </row>
    <row r="552" spans="2:14" s="98" customFormat="1">
      <c r="B552" s="99" t="s">
        <v>816</v>
      </c>
      <c r="C552" s="109">
        <v>46276</v>
      </c>
      <c r="D552" s="98" t="s">
        <v>711</v>
      </c>
      <c r="E552" s="103">
        <v>9865</v>
      </c>
      <c r="F552" s="98" t="s">
        <v>240</v>
      </c>
      <c r="G552" s="98" t="s">
        <v>374</v>
      </c>
      <c r="H552" s="98" t="s">
        <v>516</v>
      </c>
      <c r="I552" s="98" t="s">
        <v>270</v>
      </c>
      <c r="K552" s="100"/>
      <c r="L552" s="108"/>
      <c r="M552" s="100"/>
      <c r="N552" s="100"/>
    </row>
    <row r="553" spans="2:14" s="98" customFormat="1">
      <c r="B553" s="99" t="s">
        <v>816</v>
      </c>
      <c r="C553" s="109">
        <v>46276</v>
      </c>
      <c r="D553" s="98" t="s">
        <v>740</v>
      </c>
      <c r="E553" s="103">
        <v>-4</v>
      </c>
      <c r="F553" s="98" t="s">
        <v>239</v>
      </c>
      <c r="I553" s="98" t="s">
        <v>737</v>
      </c>
      <c r="K553" s="100"/>
      <c r="L553" s="108"/>
      <c r="M553" s="100"/>
      <c r="N553" s="100"/>
    </row>
    <row r="554" spans="2:14" s="98" customFormat="1">
      <c r="B554" s="99" t="s">
        <v>816</v>
      </c>
      <c r="C554" s="109">
        <v>46276</v>
      </c>
      <c r="D554" s="98" t="s">
        <v>702</v>
      </c>
      <c r="E554" s="103">
        <v>700</v>
      </c>
      <c r="F554" s="98" t="s">
        <v>240</v>
      </c>
      <c r="G554" s="98" t="s">
        <v>374</v>
      </c>
      <c r="H554" s="98" t="s">
        <v>516</v>
      </c>
      <c r="I554" s="98" t="s">
        <v>247</v>
      </c>
      <c r="K554" s="100"/>
      <c r="L554" s="108"/>
      <c r="M554" s="100"/>
      <c r="N554" s="100"/>
    </row>
    <row r="555" spans="2:14" s="98" customFormat="1">
      <c r="B555" s="99" t="s">
        <v>816</v>
      </c>
      <c r="C555" s="109">
        <v>46276</v>
      </c>
      <c r="D555" s="98" t="s">
        <v>709</v>
      </c>
      <c r="E555" s="103">
        <v>1600</v>
      </c>
      <c r="F555" s="98" t="s">
        <v>240</v>
      </c>
      <c r="G555" s="98" t="s">
        <v>374</v>
      </c>
      <c r="H555" s="98" t="s">
        <v>516</v>
      </c>
      <c r="I555" s="98" t="s">
        <v>247</v>
      </c>
      <c r="K555" s="100"/>
      <c r="L555" s="108"/>
      <c r="M555" s="100"/>
      <c r="N555" s="100"/>
    </row>
    <row r="556" spans="2:14" s="98" customFormat="1">
      <c r="B556" s="99" t="s">
        <v>816</v>
      </c>
      <c r="C556" s="109">
        <v>46276</v>
      </c>
      <c r="D556" s="98" t="s">
        <v>740</v>
      </c>
      <c r="E556" s="103">
        <v>-22</v>
      </c>
      <c r="F556" s="98" t="s">
        <v>239</v>
      </c>
      <c r="I556" s="98" t="s">
        <v>737</v>
      </c>
      <c r="K556" s="100"/>
      <c r="L556" s="108"/>
      <c r="M556" s="100"/>
      <c r="N556" s="100"/>
    </row>
    <row r="557" spans="2:14" s="98" customFormat="1">
      <c r="B557" s="99" t="s">
        <v>816</v>
      </c>
      <c r="C557" s="109">
        <v>46276</v>
      </c>
      <c r="D557" s="98" t="s">
        <v>745</v>
      </c>
      <c r="E557" s="103">
        <v>4459</v>
      </c>
      <c r="F557" s="98" t="s">
        <v>240</v>
      </c>
      <c r="G557" s="98" t="s">
        <v>374</v>
      </c>
      <c r="H557" s="98" t="s">
        <v>513</v>
      </c>
      <c r="I557" s="98" t="s">
        <v>242</v>
      </c>
      <c r="K557" s="100"/>
      <c r="L557" s="108"/>
      <c r="M557" s="100"/>
      <c r="N557" s="100"/>
    </row>
    <row r="558" spans="2:14" s="98" customFormat="1">
      <c r="B558" s="99" t="s">
        <v>816</v>
      </c>
      <c r="C558" s="109">
        <v>46276</v>
      </c>
      <c r="D558" s="98" t="s">
        <v>740</v>
      </c>
      <c r="E558" s="103">
        <v>-5</v>
      </c>
      <c r="F558" s="98" t="s">
        <v>239</v>
      </c>
      <c r="I558" s="98" t="s">
        <v>737</v>
      </c>
      <c r="K558" s="100"/>
      <c r="L558" s="108"/>
      <c r="M558" s="100"/>
      <c r="N558" s="100"/>
    </row>
    <row r="559" spans="2:14" s="98" customFormat="1">
      <c r="B559" s="99" t="s">
        <v>816</v>
      </c>
      <c r="C559" s="109">
        <v>46276</v>
      </c>
      <c r="D559" s="98" t="s">
        <v>748</v>
      </c>
      <c r="E559" s="103">
        <v>1000</v>
      </c>
      <c r="F559" s="98" t="s">
        <v>240</v>
      </c>
      <c r="G559" s="98" t="s">
        <v>374</v>
      </c>
      <c r="H559" s="98" t="s">
        <v>516</v>
      </c>
      <c r="I559" s="98" t="s">
        <v>247</v>
      </c>
      <c r="K559" s="100"/>
      <c r="L559" s="108"/>
      <c r="M559" s="100"/>
      <c r="N559" s="100"/>
    </row>
    <row r="560" spans="2:14" s="98" customFormat="1">
      <c r="B560" s="99" t="s">
        <v>816</v>
      </c>
      <c r="C560" s="109">
        <v>46275</v>
      </c>
      <c r="D560" s="98" t="s">
        <v>740</v>
      </c>
      <c r="E560" s="103">
        <v>-38</v>
      </c>
      <c r="F560" s="98" t="s">
        <v>239</v>
      </c>
      <c r="I560" s="98" t="s">
        <v>737</v>
      </c>
      <c r="K560" s="100"/>
      <c r="L560" s="108"/>
      <c r="M560" s="100"/>
      <c r="N560" s="100"/>
    </row>
    <row r="561" spans="2:14" s="98" customFormat="1">
      <c r="B561" s="99" t="s">
        <v>816</v>
      </c>
      <c r="C561" s="109">
        <v>46275</v>
      </c>
      <c r="D561" s="98" t="s">
        <v>863</v>
      </c>
      <c r="E561" s="103">
        <v>7500</v>
      </c>
      <c r="F561" s="98" t="s">
        <v>240</v>
      </c>
      <c r="G561" s="98" t="s">
        <v>374</v>
      </c>
      <c r="H561" s="98" t="s">
        <v>516</v>
      </c>
      <c r="I561" s="98" t="s">
        <v>248</v>
      </c>
      <c r="K561" s="100"/>
      <c r="L561" s="108"/>
      <c r="M561" s="100"/>
      <c r="N561" s="100"/>
    </row>
    <row r="562" spans="2:14" s="98" customFormat="1">
      <c r="B562" s="99" t="s">
        <v>816</v>
      </c>
      <c r="C562" s="109">
        <v>46275</v>
      </c>
      <c r="D562" s="98" t="s">
        <v>740</v>
      </c>
      <c r="E562" s="103">
        <v>-8</v>
      </c>
      <c r="F562" s="98" t="s">
        <v>239</v>
      </c>
      <c r="I562" s="98" t="s">
        <v>737</v>
      </c>
      <c r="K562" s="100"/>
      <c r="L562" s="108"/>
      <c r="M562" s="100"/>
      <c r="N562" s="100"/>
    </row>
    <row r="563" spans="2:14" s="98" customFormat="1">
      <c r="B563" s="99" t="s">
        <v>816</v>
      </c>
      <c r="C563" s="109">
        <v>46275</v>
      </c>
      <c r="D563" s="98" t="s">
        <v>864</v>
      </c>
      <c r="E563" s="103">
        <v>1600</v>
      </c>
      <c r="F563" s="98" t="s">
        <v>240</v>
      </c>
      <c r="G563" s="98" t="s">
        <v>374</v>
      </c>
      <c r="H563" s="98" t="s">
        <v>516</v>
      </c>
      <c r="I563" s="98" t="s">
        <v>247</v>
      </c>
      <c r="K563" s="100"/>
      <c r="L563" s="108"/>
      <c r="M563" s="100"/>
      <c r="N563" s="100"/>
    </row>
    <row r="564" spans="2:14" s="98" customFormat="1">
      <c r="B564" s="99" t="s">
        <v>816</v>
      </c>
      <c r="C564" s="109">
        <v>46275</v>
      </c>
      <c r="D564" s="98" t="s">
        <v>740</v>
      </c>
      <c r="E564" s="103">
        <v>-55</v>
      </c>
      <c r="F564" s="98" t="s">
        <v>239</v>
      </c>
      <c r="I564" s="98" t="s">
        <v>737</v>
      </c>
      <c r="K564" s="100"/>
      <c r="L564" s="108"/>
      <c r="M564" s="100"/>
      <c r="N564" s="100"/>
    </row>
    <row r="565" spans="2:14" s="98" customFormat="1">
      <c r="B565" s="99" t="s">
        <v>816</v>
      </c>
      <c r="C565" s="109">
        <v>46275</v>
      </c>
      <c r="D565" s="98" t="s">
        <v>864</v>
      </c>
      <c r="E565" s="103">
        <v>11000</v>
      </c>
      <c r="F565" s="98" t="s">
        <v>240</v>
      </c>
      <c r="G565" s="98" t="s">
        <v>374</v>
      </c>
      <c r="H565" s="98" t="s">
        <v>516</v>
      </c>
      <c r="I565" s="98" t="s">
        <v>245</v>
      </c>
      <c r="K565" s="100"/>
      <c r="L565" s="108"/>
      <c r="M565" s="100"/>
      <c r="N565" s="100"/>
    </row>
    <row r="566" spans="2:14" s="98" customFormat="1">
      <c r="B566" s="99" t="s">
        <v>816</v>
      </c>
      <c r="C566" s="109">
        <v>46275</v>
      </c>
      <c r="D566" s="98" t="s">
        <v>744</v>
      </c>
      <c r="E566" s="103">
        <v>-22</v>
      </c>
      <c r="F566" s="98" t="s">
        <v>239</v>
      </c>
      <c r="I566" s="98" t="s">
        <v>737</v>
      </c>
      <c r="K566" s="100"/>
      <c r="L566" s="108"/>
      <c r="M566" s="100"/>
      <c r="N566" s="100"/>
    </row>
    <row r="567" spans="2:14" s="98" customFormat="1">
      <c r="B567" s="99" t="s">
        <v>816</v>
      </c>
      <c r="C567" s="109">
        <v>46275</v>
      </c>
      <c r="D567" s="98" t="s">
        <v>740</v>
      </c>
      <c r="E567" s="103">
        <v>-94</v>
      </c>
      <c r="F567" s="98" t="s">
        <v>239</v>
      </c>
      <c r="I567" s="98" t="s">
        <v>737</v>
      </c>
      <c r="K567" s="100"/>
      <c r="L567" s="108"/>
      <c r="M567" s="100"/>
      <c r="N567" s="100"/>
    </row>
    <row r="568" spans="2:14" s="98" customFormat="1">
      <c r="B568" s="99" t="s">
        <v>816</v>
      </c>
      <c r="C568" s="109">
        <v>46275</v>
      </c>
      <c r="D568" s="98" t="s">
        <v>787</v>
      </c>
      <c r="E568" s="103">
        <v>18862</v>
      </c>
      <c r="F568" s="98" t="s">
        <v>240</v>
      </c>
      <c r="G568" s="98" t="s">
        <v>374</v>
      </c>
      <c r="H568" s="98" t="s">
        <v>516</v>
      </c>
      <c r="I568" s="98" t="s">
        <v>245</v>
      </c>
      <c r="K568" s="100"/>
      <c r="L568" s="108"/>
      <c r="M568" s="100"/>
      <c r="N568" s="100"/>
    </row>
    <row r="569" spans="2:14" s="98" customFormat="1">
      <c r="B569" s="99" t="s">
        <v>816</v>
      </c>
      <c r="C569" s="109">
        <v>46275</v>
      </c>
      <c r="D569" s="98" t="s">
        <v>711</v>
      </c>
      <c r="E569" s="103">
        <v>14797</v>
      </c>
      <c r="F569" s="98" t="s">
        <v>240</v>
      </c>
      <c r="G569" s="98" t="s">
        <v>374</v>
      </c>
      <c r="H569" s="98" t="s">
        <v>516</v>
      </c>
      <c r="I569" s="98" t="s">
        <v>270</v>
      </c>
      <c r="K569" s="100"/>
      <c r="L569" s="108"/>
      <c r="M569" s="100"/>
      <c r="N569" s="100"/>
    </row>
    <row r="570" spans="2:14" s="98" customFormat="1">
      <c r="B570" s="99" t="s">
        <v>816</v>
      </c>
      <c r="C570" s="109">
        <v>46275</v>
      </c>
      <c r="D570" s="98" t="s">
        <v>740</v>
      </c>
      <c r="E570" s="103">
        <v>-22</v>
      </c>
      <c r="F570" s="98" t="s">
        <v>239</v>
      </c>
      <c r="I570" s="98" t="s">
        <v>737</v>
      </c>
      <c r="K570" s="100"/>
      <c r="L570" s="108"/>
      <c r="M570" s="100"/>
      <c r="N570" s="100"/>
    </row>
    <row r="571" spans="2:14" s="98" customFormat="1">
      <c r="B571" s="99" t="s">
        <v>816</v>
      </c>
      <c r="C571" s="109">
        <v>46275</v>
      </c>
      <c r="D571" s="98" t="s">
        <v>745</v>
      </c>
      <c r="E571" s="103">
        <v>4459</v>
      </c>
      <c r="F571" s="98" t="s">
        <v>240</v>
      </c>
      <c r="G571" s="98" t="s">
        <v>374</v>
      </c>
      <c r="H571" s="98" t="s">
        <v>513</v>
      </c>
      <c r="I571" s="98" t="s">
        <v>242</v>
      </c>
      <c r="K571" s="100"/>
      <c r="L571" s="108"/>
      <c r="M571" s="100"/>
      <c r="N571" s="100"/>
    </row>
    <row r="572" spans="2:14" s="98" customFormat="1">
      <c r="B572" s="99" t="s">
        <v>816</v>
      </c>
      <c r="C572" s="109">
        <v>46274</v>
      </c>
      <c r="D572" s="98" t="s">
        <v>740</v>
      </c>
      <c r="E572" s="103">
        <v>-13</v>
      </c>
      <c r="F572" s="98" t="s">
        <v>239</v>
      </c>
      <c r="I572" s="98" t="s">
        <v>737</v>
      </c>
      <c r="K572" s="100"/>
      <c r="L572" s="108"/>
      <c r="M572" s="100"/>
      <c r="N572" s="100"/>
    </row>
    <row r="573" spans="2:14" s="98" customFormat="1">
      <c r="B573" s="99" t="s">
        <v>816</v>
      </c>
      <c r="C573" s="109">
        <v>46274</v>
      </c>
      <c r="D573" s="98" t="s">
        <v>772</v>
      </c>
      <c r="E573" s="103">
        <v>2500</v>
      </c>
      <c r="F573" s="98" t="s">
        <v>240</v>
      </c>
      <c r="G573" s="98" t="s">
        <v>374</v>
      </c>
      <c r="H573" s="98" t="s">
        <v>516</v>
      </c>
      <c r="I573" s="98" t="s">
        <v>247</v>
      </c>
      <c r="K573" s="100"/>
      <c r="L573" s="108"/>
      <c r="M573" s="100"/>
      <c r="N573" s="100"/>
    </row>
    <row r="574" spans="2:14" s="98" customFormat="1">
      <c r="B574" s="99" t="s">
        <v>816</v>
      </c>
      <c r="C574" s="109">
        <v>46274</v>
      </c>
      <c r="D574" s="98" t="s">
        <v>744</v>
      </c>
      <c r="E574" s="103">
        <v>-23</v>
      </c>
      <c r="F574" s="98" t="s">
        <v>239</v>
      </c>
      <c r="I574" s="98" t="s">
        <v>737</v>
      </c>
      <c r="K574" s="100"/>
      <c r="L574" s="108"/>
      <c r="M574" s="100"/>
      <c r="N574" s="100"/>
    </row>
    <row r="575" spans="2:14" s="98" customFormat="1">
      <c r="B575" s="99" t="s">
        <v>816</v>
      </c>
      <c r="C575" s="109">
        <v>46274</v>
      </c>
      <c r="D575" s="98" t="s">
        <v>849</v>
      </c>
      <c r="E575" s="103">
        <v>1990</v>
      </c>
      <c r="F575" s="98" t="s">
        <v>240</v>
      </c>
      <c r="G575" s="98" t="s">
        <v>374</v>
      </c>
      <c r="H575" s="98" t="s">
        <v>516</v>
      </c>
      <c r="I575" s="98" t="s">
        <v>247</v>
      </c>
      <c r="K575" s="100"/>
      <c r="L575" s="108"/>
      <c r="M575" s="100"/>
      <c r="N575" s="100"/>
    </row>
    <row r="576" spans="2:14" s="98" customFormat="1">
      <c r="B576" s="99" t="s">
        <v>816</v>
      </c>
      <c r="C576" s="109">
        <v>46274</v>
      </c>
      <c r="D576" s="98" t="s">
        <v>711</v>
      </c>
      <c r="E576" s="103">
        <v>9862</v>
      </c>
      <c r="F576" s="98" t="s">
        <v>240</v>
      </c>
      <c r="G576" s="98" t="s">
        <v>374</v>
      </c>
      <c r="H576" s="98" t="s">
        <v>516</v>
      </c>
      <c r="I576" s="98" t="s">
        <v>270</v>
      </c>
      <c r="K576" s="100"/>
      <c r="L576" s="108"/>
      <c r="M576" s="100"/>
      <c r="N576" s="100"/>
    </row>
    <row r="577" spans="2:14" s="98" customFormat="1">
      <c r="B577" s="99" t="s">
        <v>816</v>
      </c>
      <c r="C577" s="109">
        <v>46274</v>
      </c>
      <c r="D577" s="98" t="s">
        <v>740</v>
      </c>
      <c r="E577" s="103">
        <v>-21</v>
      </c>
      <c r="F577" s="98" t="s">
        <v>239</v>
      </c>
      <c r="I577" s="98" t="s">
        <v>737</v>
      </c>
      <c r="K577" s="100"/>
      <c r="L577" s="108"/>
      <c r="M577" s="100"/>
      <c r="N577" s="100"/>
    </row>
    <row r="578" spans="2:14" s="98" customFormat="1">
      <c r="B578" s="99" t="s">
        <v>816</v>
      </c>
      <c r="C578" s="109">
        <v>46274</v>
      </c>
      <c r="D578" s="98" t="s">
        <v>834</v>
      </c>
      <c r="E578" s="103">
        <v>4100</v>
      </c>
      <c r="F578" s="98" t="s">
        <v>240</v>
      </c>
      <c r="G578" s="98" t="s">
        <v>374</v>
      </c>
      <c r="H578" s="98" t="s">
        <v>516</v>
      </c>
      <c r="I578" s="98" t="s">
        <v>247</v>
      </c>
      <c r="K578" s="100"/>
      <c r="L578" s="108"/>
      <c r="M578" s="100"/>
      <c r="N578" s="100"/>
    </row>
    <row r="579" spans="2:14" s="98" customFormat="1">
      <c r="B579" s="99" t="s">
        <v>816</v>
      </c>
      <c r="C579" s="109">
        <v>46274</v>
      </c>
      <c r="D579" s="98" t="s">
        <v>740</v>
      </c>
      <c r="E579" s="103">
        <v>-390</v>
      </c>
      <c r="F579" s="98" t="s">
        <v>239</v>
      </c>
      <c r="I579" s="98" t="s">
        <v>737</v>
      </c>
      <c r="K579" s="100"/>
      <c r="L579" s="108"/>
      <c r="M579" s="100"/>
      <c r="N579" s="100"/>
    </row>
    <row r="580" spans="2:14" s="98" customFormat="1">
      <c r="B580" s="99" t="s">
        <v>816</v>
      </c>
      <c r="C580" s="109">
        <v>46274</v>
      </c>
      <c r="D580" s="98" t="s">
        <v>850</v>
      </c>
      <c r="E580" s="103">
        <v>558</v>
      </c>
      <c r="F580" s="98" t="s">
        <v>240</v>
      </c>
      <c r="G580" s="98" t="s">
        <v>374</v>
      </c>
      <c r="H580" s="98" t="s">
        <v>516</v>
      </c>
      <c r="I580" s="98" t="s">
        <v>247</v>
      </c>
      <c r="K580" s="100"/>
      <c r="L580" s="108"/>
      <c r="M580" s="100"/>
      <c r="N580" s="100"/>
    </row>
    <row r="581" spans="2:14" s="98" customFormat="1">
      <c r="B581" s="99" t="s">
        <v>816</v>
      </c>
      <c r="C581" s="109">
        <v>46274</v>
      </c>
      <c r="D581" s="98" t="s">
        <v>740</v>
      </c>
      <c r="E581" s="103">
        <v>-642</v>
      </c>
      <c r="F581" s="98" t="s">
        <v>239</v>
      </c>
      <c r="I581" s="98" t="s">
        <v>737</v>
      </c>
      <c r="K581" s="100"/>
      <c r="L581" s="108"/>
      <c r="M581" s="100"/>
      <c r="N581" s="100"/>
    </row>
    <row r="582" spans="2:14" s="98" customFormat="1">
      <c r="B582" s="99" t="s">
        <v>816</v>
      </c>
      <c r="C582" s="109">
        <v>46274</v>
      </c>
      <c r="D582" s="98" t="s">
        <v>740</v>
      </c>
      <c r="E582" s="103">
        <v>-22</v>
      </c>
      <c r="F582" s="98" t="s">
        <v>239</v>
      </c>
      <c r="I582" s="98" t="s">
        <v>737</v>
      </c>
      <c r="K582" s="100"/>
      <c r="L582" s="108"/>
      <c r="M582" s="100"/>
      <c r="N582" s="100"/>
    </row>
    <row r="583" spans="2:14" s="98" customFormat="1">
      <c r="B583" s="99" t="s">
        <v>816</v>
      </c>
      <c r="C583" s="109">
        <v>46274</v>
      </c>
      <c r="D583" s="98" t="s">
        <v>745</v>
      </c>
      <c r="E583" s="103">
        <v>4459</v>
      </c>
      <c r="F583" s="98" t="s">
        <v>240</v>
      </c>
      <c r="G583" s="98" t="s">
        <v>374</v>
      </c>
      <c r="H583" s="98" t="s">
        <v>513</v>
      </c>
      <c r="I583" s="98" t="s">
        <v>242</v>
      </c>
      <c r="K583" s="100"/>
      <c r="L583" s="108"/>
      <c r="M583" s="100"/>
      <c r="N583" s="100"/>
    </row>
    <row r="584" spans="2:14" s="98" customFormat="1">
      <c r="B584" s="99" t="s">
        <v>816</v>
      </c>
      <c r="C584" s="109">
        <v>46274</v>
      </c>
      <c r="D584" s="98" t="s">
        <v>740</v>
      </c>
      <c r="E584" s="103">
        <v>-82</v>
      </c>
      <c r="F584" s="98" t="s">
        <v>239</v>
      </c>
      <c r="I584" s="98" t="s">
        <v>737</v>
      </c>
      <c r="K584" s="100"/>
      <c r="L584" s="108"/>
      <c r="M584" s="100"/>
      <c r="N584" s="100"/>
    </row>
    <row r="585" spans="2:14" s="98" customFormat="1">
      <c r="B585" s="99" t="s">
        <v>816</v>
      </c>
      <c r="C585" s="109">
        <v>46274</v>
      </c>
      <c r="D585" s="98" t="s">
        <v>851</v>
      </c>
      <c r="E585" s="103">
        <v>16490</v>
      </c>
      <c r="F585" s="98" t="s">
        <v>240</v>
      </c>
      <c r="G585" s="98" t="s">
        <v>374</v>
      </c>
      <c r="H585" s="98" t="s">
        <v>516</v>
      </c>
      <c r="I585" s="98" t="s">
        <v>245</v>
      </c>
      <c r="K585" s="100"/>
      <c r="L585" s="108"/>
      <c r="M585" s="100"/>
      <c r="N585" s="100"/>
    </row>
    <row r="586" spans="2:14" s="98" customFormat="1">
      <c r="B586" s="99" t="s">
        <v>816</v>
      </c>
      <c r="C586" s="109">
        <v>46273</v>
      </c>
      <c r="D586" s="98" t="s">
        <v>740</v>
      </c>
      <c r="E586" s="103">
        <v>-25</v>
      </c>
      <c r="F586" s="98" t="s">
        <v>239</v>
      </c>
      <c r="I586" s="98" t="s">
        <v>737</v>
      </c>
      <c r="K586" s="100"/>
      <c r="L586" s="108"/>
      <c r="M586" s="100"/>
      <c r="N586" s="100"/>
    </row>
    <row r="587" spans="2:14" s="98" customFormat="1">
      <c r="B587" s="99" t="s">
        <v>816</v>
      </c>
      <c r="C587" s="109">
        <v>46273</v>
      </c>
      <c r="D587" s="98" t="s">
        <v>841</v>
      </c>
      <c r="E587" s="103">
        <v>4980</v>
      </c>
      <c r="F587" s="98" t="s">
        <v>240</v>
      </c>
      <c r="G587" s="98" t="s">
        <v>374</v>
      </c>
      <c r="H587" s="98" t="s">
        <v>516</v>
      </c>
      <c r="I587" s="98" t="s">
        <v>244</v>
      </c>
      <c r="K587" s="100"/>
      <c r="L587" s="108"/>
      <c r="M587" s="100"/>
      <c r="N587" s="100"/>
    </row>
    <row r="588" spans="2:14" s="98" customFormat="1">
      <c r="B588" s="99" t="s">
        <v>816</v>
      </c>
      <c r="C588" s="109">
        <v>46273</v>
      </c>
      <c r="D588" s="98" t="s">
        <v>744</v>
      </c>
      <c r="E588" s="103">
        <v>-23</v>
      </c>
      <c r="F588" s="98" t="s">
        <v>239</v>
      </c>
      <c r="I588" s="98" t="s">
        <v>737</v>
      </c>
      <c r="K588" s="100"/>
      <c r="L588" s="108"/>
      <c r="M588" s="100"/>
      <c r="N588" s="100"/>
    </row>
    <row r="589" spans="2:14" s="98" customFormat="1">
      <c r="B589" s="99" t="s">
        <v>816</v>
      </c>
      <c r="C589" s="109">
        <v>46273</v>
      </c>
      <c r="D589" s="98" t="s">
        <v>740</v>
      </c>
      <c r="E589" s="103">
        <v>-23</v>
      </c>
      <c r="F589" s="98" t="s">
        <v>239</v>
      </c>
      <c r="I589" s="98" t="s">
        <v>737</v>
      </c>
      <c r="K589" s="100"/>
      <c r="L589" s="108"/>
      <c r="M589" s="100"/>
      <c r="N589" s="100"/>
    </row>
    <row r="590" spans="2:14" s="98" customFormat="1">
      <c r="B590" s="99" t="s">
        <v>816</v>
      </c>
      <c r="C590" s="109">
        <v>46273</v>
      </c>
      <c r="D590" s="98" t="s">
        <v>852</v>
      </c>
      <c r="E590" s="103">
        <v>4500</v>
      </c>
      <c r="F590" s="98" t="s">
        <v>240</v>
      </c>
      <c r="G590" s="98" t="s">
        <v>374</v>
      </c>
      <c r="H590" s="98" t="s">
        <v>516</v>
      </c>
      <c r="I590" s="98" t="s">
        <v>247</v>
      </c>
      <c r="K590" s="100"/>
      <c r="L590" s="108"/>
      <c r="M590" s="100"/>
      <c r="N590" s="100"/>
    </row>
    <row r="591" spans="2:14" s="98" customFormat="1">
      <c r="B591" s="99" t="s">
        <v>816</v>
      </c>
      <c r="C591" s="109">
        <v>46273</v>
      </c>
      <c r="D591" s="98" t="s">
        <v>740</v>
      </c>
      <c r="E591" s="103">
        <v>-7</v>
      </c>
      <c r="F591" s="98" t="s">
        <v>239</v>
      </c>
      <c r="I591" s="98" t="s">
        <v>737</v>
      </c>
      <c r="K591" s="100"/>
      <c r="L591" s="108"/>
      <c r="M591" s="100"/>
      <c r="N591" s="100"/>
    </row>
    <row r="592" spans="2:14" s="98" customFormat="1">
      <c r="B592" s="99" t="s">
        <v>816</v>
      </c>
      <c r="C592" s="109">
        <v>46273</v>
      </c>
      <c r="D592" s="98" t="s">
        <v>853</v>
      </c>
      <c r="E592" s="103">
        <v>1300</v>
      </c>
      <c r="F592" s="98" t="s">
        <v>240</v>
      </c>
      <c r="G592" s="98" t="s">
        <v>374</v>
      </c>
      <c r="H592" s="98" t="s">
        <v>516</v>
      </c>
      <c r="I592" s="98" t="s">
        <v>247</v>
      </c>
      <c r="K592" s="100"/>
      <c r="L592" s="108"/>
      <c r="M592" s="100"/>
      <c r="N592" s="100"/>
    </row>
    <row r="593" spans="2:14" s="98" customFormat="1">
      <c r="B593" s="99" t="s">
        <v>816</v>
      </c>
      <c r="C593" s="109">
        <v>46273</v>
      </c>
      <c r="D593" s="98" t="s">
        <v>711</v>
      </c>
      <c r="E593" s="103">
        <v>14793</v>
      </c>
      <c r="F593" s="98" t="s">
        <v>240</v>
      </c>
      <c r="G593" s="98" t="s">
        <v>374</v>
      </c>
      <c r="H593" s="98" t="s">
        <v>516</v>
      </c>
      <c r="I593" s="98" t="s">
        <v>270</v>
      </c>
      <c r="K593" s="100"/>
      <c r="L593" s="108"/>
      <c r="M593" s="100"/>
      <c r="N593" s="100"/>
    </row>
    <row r="594" spans="2:14" s="98" customFormat="1">
      <c r="B594" s="99" t="s">
        <v>816</v>
      </c>
      <c r="C594" s="109">
        <v>46273</v>
      </c>
      <c r="D594" s="98" t="s">
        <v>740</v>
      </c>
      <c r="E594" s="103">
        <v>-9</v>
      </c>
      <c r="F594" s="98" t="s">
        <v>239</v>
      </c>
      <c r="I594" s="98" t="s">
        <v>737</v>
      </c>
      <c r="K594" s="100"/>
      <c r="L594" s="108"/>
      <c r="M594" s="100"/>
      <c r="N594" s="100"/>
    </row>
    <row r="595" spans="2:14" s="98" customFormat="1">
      <c r="B595" s="99" t="s">
        <v>816</v>
      </c>
      <c r="C595" s="109">
        <v>46273</v>
      </c>
      <c r="D595" s="98" t="s">
        <v>783</v>
      </c>
      <c r="E595" s="103">
        <v>1790</v>
      </c>
      <c r="F595" s="98" t="s">
        <v>240</v>
      </c>
      <c r="G595" s="98" t="s">
        <v>374</v>
      </c>
      <c r="H595" s="98" t="s">
        <v>516</v>
      </c>
      <c r="I595" s="98" t="s">
        <v>247</v>
      </c>
      <c r="K595" s="100"/>
      <c r="L595" s="108"/>
      <c r="M595" s="100"/>
      <c r="N595" s="100"/>
    </row>
    <row r="596" spans="2:14" s="98" customFormat="1">
      <c r="B596" s="99" t="s">
        <v>816</v>
      </c>
      <c r="C596" s="109">
        <v>46273</v>
      </c>
      <c r="D596" s="98" t="s">
        <v>740</v>
      </c>
      <c r="E596" s="103">
        <v>-22</v>
      </c>
      <c r="F596" s="98" t="s">
        <v>239</v>
      </c>
      <c r="I596" s="98" t="s">
        <v>737</v>
      </c>
      <c r="K596" s="100"/>
      <c r="L596" s="108"/>
      <c r="M596" s="100"/>
      <c r="N596" s="100"/>
    </row>
    <row r="597" spans="2:14" s="98" customFormat="1">
      <c r="B597" s="99" t="s">
        <v>816</v>
      </c>
      <c r="C597" s="109">
        <v>46273</v>
      </c>
      <c r="D597" s="98" t="s">
        <v>745</v>
      </c>
      <c r="E597" s="103">
        <v>4459</v>
      </c>
      <c r="F597" s="98" t="s">
        <v>240</v>
      </c>
      <c r="G597" s="98" t="s">
        <v>374</v>
      </c>
      <c r="H597" s="98" t="s">
        <v>513</v>
      </c>
      <c r="I597" s="98" t="s">
        <v>242</v>
      </c>
      <c r="K597" s="100"/>
      <c r="L597" s="108"/>
      <c r="M597" s="100"/>
      <c r="N597" s="100"/>
    </row>
    <row r="598" spans="2:14" s="98" customFormat="1">
      <c r="B598" s="99" t="s">
        <v>816</v>
      </c>
      <c r="C598" s="109">
        <v>46272</v>
      </c>
      <c r="D598" s="98" t="s">
        <v>687</v>
      </c>
      <c r="E598" s="103">
        <v>46860</v>
      </c>
      <c r="F598" s="98" t="s">
        <v>240</v>
      </c>
      <c r="G598" s="98" t="s">
        <v>374</v>
      </c>
      <c r="H598" s="98" t="s">
        <v>516</v>
      </c>
      <c r="I598" s="98" t="s">
        <v>736</v>
      </c>
      <c r="K598" s="100"/>
      <c r="L598" s="108"/>
      <c r="M598" s="100"/>
      <c r="N598" s="100"/>
    </row>
    <row r="599" spans="2:14" s="98" customFormat="1">
      <c r="B599" s="99" t="s">
        <v>816</v>
      </c>
      <c r="C599" s="109">
        <v>46272</v>
      </c>
      <c r="D599" s="98" t="s">
        <v>744</v>
      </c>
      <c r="E599" s="103">
        <v>-62</v>
      </c>
      <c r="F599" s="98" t="s">
        <v>239</v>
      </c>
      <c r="I599" s="98" t="s">
        <v>737</v>
      </c>
      <c r="K599" s="100"/>
      <c r="L599" s="108"/>
      <c r="M599" s="100"/>
      <c r="N599" s="100"/>
    </row>
    <row r="600" spans="2:14" s="98" customFormat="1">
      <c r="B600" s="99" t="s">
        <v>816</v>
      </c>
      <c r="C600" s="109">
        <v>46272</v>
      </c>
      <c r="D600" s="98" t="s">
        <v>740</v>
      </c>
      <c r="E600" s="103">
        <v>-144</v>
      </c>
      <c r="F600" s="98" t="s">
        <v>239</v>
      </c>
      <c r="I600" s="98" t="s">
        <v>737</v>
      </c>
      <c r="K600" s="100"/>
      <c r="L600" s="108"/>
      <c r="M600" s="100"/>
      <c r="N600" s="100"/>
    </row>
    <row r="601" spans="2:14" s="98" customFormat="1">
      <c r="B601" s="99" t="s">
        <v>816</v>
      </c>
      <c r="C601" s="109">
        <v>46272</v>
      </c>
      <c r="D601" s="98" t="s">
        <v>833</v>
      </c>
      <c r="E601" s="103">
        <v>28800</v>
      </c>
      <c r="F601" s="98" t="s">
        <v>240</v>
      </c>
      <c r="G601" s="98" t="s">
        <v>374</v>
      </c>
      <c r="H601" s="98" t="s">
        <v>516</v>
      </c>
      <c r="I601" s="98" t="s">
        <v>270</v>
      </c>
      <c r="K601" s="100"/>
      <c r="L601" s="108"/>
      <c r="M601" s="100"/>
      <c r="N601" s="100"/>
    </row>
    <row r="602" spans="2:14" s="98" customFormat="1">
      <c r="B602" s="99" t="s">
        <v>816</v>
      </c>
      <c r="C602" s="109">
        <v>46272</v>
      </c>
      <c r="D602" s="98" t="s">
        <v>740</v>
      </c>
      <c r="E602" s="103">
        <v>-10</v>
      </c>
      <c r="F602" s="98" t="s">
        <v>239</v>
      </c>
      <c r="I602" s="98" t="s">
        <v>737</v>
      </c>
      <c r="K602" s="100"/>
      <c r="L602" s="108"/>
      <c r="M602" s="100"/>
      <c r="N602" s="100"/>
    </row>
    <row r="603" spans="2:14" s="98" customFormat="1">
      <c r="B603" s="99" t="s">
        <v>816</v>
      </c>
      <c r="C603" s="109">
        <v>46272</v>
      </c>
      <c r="D603" s="98" t="s">
        <v>834</v>
      </c>
      <c r="E603" s="103">
        <v>2000</v>
      </c>
      <c r="F603" s="98" t="s">
        <v>240</v>
      </c>
      <c r="G603" s="98" t="s">
        <v>374</v>
      </c>
      <c r="H603" s="98" t="s">
        <v>516</v>
      </c>
      <c r="I603" s="98" t="s">
        <v>243</v>
      </c>
      <c r="K603" s="100"/>
      <c r="L603" s="108"/>
      <c r="M603" s="100"/>
      <c r="N603" s="100"/>
    </row>
    <row r="604" spans="2:14" s="98" customFormat="1">
      <c r="B604" s="99" t="s">
        <v>816</v>
      </c>
      <c r="C604" s="109">
        <v>46272</v>
      </c>
      <c r="D604" s="98" t="s">
        <v>711</v>
      </c>
      <c r="E604" s="103">
        <v>13963</v>
      </c>
      <c r="F604" s="98" t="s">
        <v>240</v>
      </c>
      <c r="G604" s="98" t="s">
        <v>374</v>
      </c>
      <c r="H604" s="98" t="s">
        <v>516</v>
      </c>
      <c r="I604" s="98" t="s">
        <v>270</v>
      </c>
      <c r="K604" s="100"/>
      <c r="L604" s="108"/>
      <c r="M604" s="100"/>
      <c r="N604" s="100"/>
    </row>
    <row r="605" spans="2:14" s="98" customFormat="1">
      <c r="B605" s="99" t="s">
        <v>816</v>
      </c>
      <c r="C605" s="109">
        <v>46272</v>
      </c>
      <c r="D605" s="98" t="s">
        <v>740</v>
      </c>
      <c r="E605" s="103">
        <v>-23</v>
      </c>
      <c r="F605" s="98" t="s">
        <v>239</v>
      </c>
      <c r="I605" s="98" t="s">
        <v>737</v>
      </c>
      <c r="K605" s="100"/>
      <c r="L605" s="108"/>
      <c r="M605" s="100"/>
      <c r="N605" s="100"/>
    </row>
    <row r="606" spans="2:14" s="98" customFormat="1">
      <c r="B606" s="99" t="s">
        <v>816</v>
      </c>
      <c r="C606" s="109">
        <v>46272</v>
      </c>
      <c r="D606" s="98" t="s">
        <v>835</v>
      </c>
      <c r="E606" s="103">
        <v>4679</v>
      </c>
      <c r="F606" s="98" t="s">
        <v>240</v>
      </c>
      <c r="G606" s="98" t="s">
        <v>374</v>
      </c>
      <c r="H606" s="98" t="s">
        <v>516</v>
      </c>
      <c r="I606" s="98" t="s">
        <v>273</v>
      </c>
      <c r="K606" s="100"/>
      <c r="L606" s="108"/>
      <c r="M606" s="100"/>
      <c r="N606" s="100"/>
    </row>
    <row r="607" spans="2:14" s="98" customFormat="1">
      <c r="B607" s="99" t="s">
        <v>816</v>
      </c>
      <c r="C607" s="109">
        <v>46272</v>
      </c>
      <c r="D607" s="98" t="s">
        <v>740</v>
      </c>
      <c r="E607" s="103">
        <v>-14</v>
      </c>
      <c r="F607" s="98" t="s">
        <v>239</v>
      </c>
      <c r="I607" s="98" t="s">
        <v>737</v>
      </c>
      <c r="K607" s="100"/>
      <c r="L607" s="108"/>
      <c r="M607" s="100"/>
      <c r="N607" s="100"/>
    </row>
    <row r="608" spans="2:14" s="98" customFormat="1">
      <c r="B608" s="99" t="s">
        <v>816</v>
      </c>
      <c r="C608" s="109">
        <v>46272</v>
      </c>
      <c r="D608" s="98" t="s">
        <v>836</v>
      </c>
      <c r="E608" s="103">
        <v>2793</v>
      </c>
      <c r="F608" s="98" t="s">
        <v>240</v>
      </c>
      <c r="G608" s="98" t="s">
        <v>374</v>
      </c>
      <c r="H608" s="98" t="s">
        <v>516</v>
      </c>
      <c r="I608" s="98" t="s">
        <v>273</v>
      </c>
      <c r="K608" s="100"/>
      <c r="L608" s="108"/>
      <c r="M608" s="100"/>
      <c r="N608" s="100"/>
    </row>
    <row r="609" spans="2:14" s="98" customFormat="1">
      <c r="B609" s="99" t="s">
        <v>816</v>
      </c>
      <c r="C609" s="109">
        <v>46272</v>
      </c>
      <c r="D609" s="98" t="s">
        <v>740</v>
      </c>
      <c r="E609" s="103">
        <v>-24</v>
      </c>
      <c r="F609" s="98" t="s">
        <v>239</v>
      </c>
      <c r="I609" s="98" t="s">
        <v>737</v>
      </c>
      <c r="K609" s="100"/>
      <c r="L609" s="108"/>
      <c r="M609" s="100"/>
      <c r="N609" s="100"/>
    </row>
    <row r="610" spans="2:14" s="98" customFormat="1">
      <c r="B610" s="99" t="s">
        <v>816</v>
      </c>
      <c r="C610" s="109">
        <v>46272</v>
      </c>
      <c r="D610" s="98" t="s">
        <v>786</v>
      </c>
      <c r="E610" s="103">
        <v>4890</v>
      </c>
      <c r="F610" s="98" t="s">
        <v>240</v>
      </c>
      <c r="G610" s="98" t="s">
        <v>374</v>
      </c>
      <c r="H610" s="98" t="s">
        <v>516</v>
      </c>
      <c r="I610" s="98" t="s">
        <v>273</v>
      </c>
      <c r="K610" s="100"/>
      <c r="L610" s="108"/>
      <c r="M610" s="100"/>
      <c r="N610" s="100"/>
    </row>
    <row r="611" spans="2:14" s="98" customFormat="1">
      <c r="B611" s="99" t="s">
        <v>816</v>
      </c>
      <c r="C611" s="109">
        <v>46272</v>
      </c>
      <c r="D611" s="98" t="s">
        <v>740</v>
      </c>
      <c r="E611" s="103">
        <v>-35</v>
      </c>
      <c r="F611" s="98" t="s">
        <v>239</v>
      </c>
      <c r="I611" s="98" t="s">
        <v>737</v>
      </c>
      <c r="K611" s="100"/>
      <c r="L611" s="108"/>
      <c r="M611" s="100"/>
      <c r="N611" s="100"/>
    </row>
    <row r="612" spans="2:14" s="98" customFormat="1">
      <c r="B612" s="99" t="s">
        <v>816</v>
      </c>
      <c r="C612" s="109">
        <v>46272</v>
      </c>
      <c r="D612" s="98" t="s">
        <v>837</v>
      </c>
      <c r="E612" s="103">
        <v>6900</v>
      </c>
      <c r="F612" s="98" t="s">
        <v>240</v>
      </c>
      <c r="G612" s="98" t="s">
        <v>374</v>
      </c>
      <c r="H612" s="98" t="s">
        <v>516</v>
      </c>
      <c r="I612" s="98" t="s">
        <v>243</v>
      </c>
      <c r="K612" s="100"/>
      <c r="L612" s="108"/>
      <c r="M612" s="100"/>
      <c r="N612" s="100"/>
    </row>
    <row r="613" spans="2:14" s="98" customFormat="1">
      <c r="B613" s="99" t="s">
        <v>816</v>
      </c>
      <c r="C613" s="109">
        <v>46272</v>
      </c>
      <c r="D613" s="98" t="s">
        <v>740</v>
      </c>
      <c r="E613" s="103">
        <v>-22</v>
      </c>
      <c r="F613" s="98" t="s">
        <v>239</v>
      </c>
      <c r="I613" s="98" t="s">
        <v>737</v>
      </c>
      <c r="K613" s="100"/>
      <c r="L613" s="108"/>
      <c r="M613" s="100"/>
      <c r="N613" s="100"/>
    </row>
    <row r="614" spans="2:14" s="98" customFormat="1">
      <c r="B614" s="99" t="s">
        <v>816</v>
      </c>
      <c r="C614" s="109">
        <v>46272</v>
      </c>
      <c r="D614" s="98" t="s">
        <v>745</v>
      </c>
      <c r="E614" s="103">
        <v>4459</v>
      </c>
      <c r="F614" s="98" t="s">
        <v>240</v>
      </c>
      <c r="G614" s="98" t="s">
        <v>374</v>
      </c>
      <c r="H614" s="98" t="s">
        <v>513</v>
      </c>
      <c r="I614" s="98" t="s">
        <v>242</v>
      </c>
      <c r="K614" s="100"/>
      <c r="L614" s="108"/>
      <c r="M614" s="100"/>
      <c r="N614" s="100"/>
    </row>
    <row r="615" spans="2:14" s="98" customFormat="1">
      <c r="B615" s="99" t="s">
        <v>816</v>
      </c>
      <c r="C615" s="109">
        <v>46271</v>
      </c>
      <c r="D615" s="98" t="s">
        <v>740</v>
      </c>
      <c r="E615" s="103">
        <v>-18</v>
      </c>
      <c r="F615" s="98" t="s">
        <v>239</v>
      </c>
      <c r="I615" s="98" t="s">
        <v>737</v>
      </c>
      <c r="K615" s="100"/>
      <c r="L615" s="108"/>
      <c r="M615" s="100"/>
      <c r="N615" s="100"/>
    </row>
    <row r="616" spans="2:14" s="98" customFormat="1">
      <c r="B616" s="99" t="s">
        <v>816</v>
      </c>
      <c r="C616" s="109">
        <v>46271</v>
      </c>
      <c r="D616" s="98" t="s">
        <v>838</v>
      </c>
      <c r="E616" s="103">
        <v>3600</v>
      </c>
      <c r="F616" s="98" t="s">
        <v>240</v>
      </c>
      <c r="G616" s="98" t="s">
        <v>374</v>
      </c>
      <c r="H616" s="98" t="s">
        <v>516</v>
      </c>
      <c r="I616" s="98" t="s">
        <v>247</v>
      </c>
      <c r="K616" s="100"/>
      <c r="L616" s="108"/>
      <c r="M616" s="100"/>
      <c r="N616" s="100"/>
    </row>
    <row r="617" spans="2:14" s="98" customFormat="1">
      <c r="B617" s="99" t="s">
        <v>816</v>
      </c>
      <c r="C617" s="109">
        <v>46271</v>
      </c>
      <c r="D617" s="98" t="s">
        <v>740</v>
      </c>
      <c r="E617" s="103">
        <v>-3</v>
      </c>
      <c r="F617" s="98" t="s">
        <v>239</v>
      </c>
      <c r="I617" s="98" t="s">
        <v>737</v>
      </c>
      <c r="K617" s="100"/>
      <c r="L617" s="108"/>
      <c r="M617" s="100"/>
      <c r="N617" s="100"/>
    </row>
    <row r="618" spans="2:14" s="98" customFormat="1">
      <c r="B618" s="99" t="s">
        <v>816</v>
      </c>
      <c r="C618" s="109">
        <v>46271</v>
      </c>
      <c r="D618" s="98" t="s">
        <v>839</v>
      </c>
      <c r="E618" s="103">
        <v>600</v>
      </c>
      <c r="F618" s="98" t="s">
        <v>240</v>
      </c>
      <c r="G618" s="98" t="s">
        <v>374</v>
      </c>
      <c r="H618" s="98" t="s">
        <v>516</v>
      </c>
      <c r="I618" s="98" t="s">
        <v>241</v>
      </c>
      <c r="K618" s="100"/>
      <c r="L618" s="108"/>
      <c r="M618" s="100"/>
      <c r="N618" s="100"/>
    </row>
    <row r="619" spans="2:14" s="98" customFormat="1">
      <c r="B619" s="99" t="s">
        <v>816</v>
      </c>
      <c r="C619" s="109">
        <v>46271</v>
      </c>
      <c r="D619" s="98" t="s">
        <v>740</v>
      </c>
      <c r="E619" s="103">
        <v>-291</v>
      </c>
      <c r="F619" s="98" t="s">
        <v>239</v>
      </c>
      <c r="I619" s="98" t="s">
        <v>737</v>
      </c>
      <c r="K619" s="100"/>
      <c r="L619" s="108"/>
      <c r="M619" s="100"/>
      <c r="N619" s="100"/>
    </row>
    <row r="620" spans="2:14" s="98" customFormat="1">
      <c r="B620" s="99" t="s">
        <v>816</v>
      </c>
      <c r="C620" s="109">
        <v>46271</v>
      </c>
      <c r="D620" s="98" t="s">
        <v>840</v>
      </c>
      <c r="E620" s="103">
        <v>58190</v>
      </c>
      <c r="F620" s="98" t="s">
        <v>240</v>
      </c>
      <c r="G620" s="98" t="s">
        <v>374</v>
      </c>
      <c r="H620" s="98" t="s">
        <v>516</v>
      </c>
      <c r="I620" s="98" t="s">
        <v>245</v>
      </c>
      <c r="K620" s="100"/>
      <c r="L620" s="108"/>
      <c r="M620" s="100"/>
      <c r="N620" s="100"/>
    </row>
    <row r="621" spans="2:14" s="98" customFormat="1">
      <c r="B621" s="99" t="s">
        <v>816</v>
      </c>
      <c r="C621" s="109">
        <v>46271</v>
      </c>
      <c r="D621" s="98" t="s">
        <v>740</v>
      </c>
      <c r="E621" s="103">
        <v>-31</v>
      </c>
      <c r="F621" s="98" t="s">
        <v>239</v>
      </c>
      <c r="I621" s="98" t="s">
        <v>737</v>
      </c>
      <c r="K621" s="100"/>
      <c r="L621" s="108"/>
      <c r="M621" s="100"/>
      <c r="N621" s="100"/>
    </row>
    <row r="622" spans="2:14" s="98" customFormat="1">
      <c r="B622" s="99" t="s">
        <v>816</v>
      </c>
      <c r="C622" s="109">
        <v>46271</v>
      </c>
      <c r="D622" s="98" t="s">
        <v>841</v>
      </c>
      <c r="E622" s="103">
        <v>6156</v>
      </c>
      <c r="F622" s="98" t="s">
        <v>240</v>
      </c>
      <c r="G622" s="98" t="s">
        <v>374</v>
      </c>
      <c r="H622" s="98" t="s">
        <v>516</v>
      </c>
      <c r="I622" s="98" t="s">
        <v>244</v>
      </c>
      <c r="K622" s="100"/>
      <c r="L622" s="108"/>
      <c r="M622" s="100"/>
      <c r="N622" s="100"/>
    </row>
    <row r="623" spans="2:14" s="98" customFormat="1">
      <c r="B623" s="99" t="s">
        <v>816</v>
      </c>
      <c r="C623" s="109">
        <v>46271</v>
      </c>
      <c r="D623" s="98" t="s">
        <v>740</v>
      </c>
      <c r="E623" s="103">
        <v>-177</v>
      </c>
      <c r="F623" s="98" t="s">
        <v>239</v>
      </c>
      <c r="I623" s="98" t="s">
        <v>737</v>
      </c>
      <c r="K623" s="100"/>
      <c r="L623" s="108"/>
      <c r="M623" s="100"/>
      <c r="N623" s="100"/>
    </row>
    <row r="624" spans="2:14" s="98" customFormat="1">
      <c r="B624" s="99" t="s">
        <v>816</v>
      </c>
      <c r="C624" s="109">
        <v>46271</v>
      </c>
      <c r="D624" s="98" t="s">
        <v>787</v>
      </c>
      <c r="E624" s="103">
        <v>35310</v>
      </c>
      <c r="F624" s="98" t="s">
        <v>240</v>
      </c>
      <c r="G624" s="98" t="s">
        <v>374</v>
      </c>
      <c r="H624" s="98" t="s">
        <v>516</v>
      </c>
      <c r="I624" s="98" t="s">
        <v>245</v>
      </c>
      <c r="K624" s="100"/>
      <c r="L624" s="108"/>
      <c r="M624" s="100"/>
      <c r="N624" s="100"/>
    </row>
    <row r="625" spans="2:14" s="98" customFormat="1">
      <c r="B625" s="99" t="s">
        <v>816</v>
      </c>
      <c r="C625" s="109">
        <v>46270</v>
      </c>
      <c r="D625" s="98" t="s">
        <v>297</v>
      </c>
      <c r="E625" s="103">
        <v>4440</v>
      </c>
      <c r="F625" s="98" t="s">
        <v>240</v>
      </c>
      <c r="G625" s="98" t="s">
        <v>374</v>
      </c>
      <c r="H625" s="98" t="s">
        <v>516</v>
      </c>
      <c r="I625" s="98" t="s">
        <v>247</v>
      </c>
      <c r="K625" s="100"/>
      <c r="L625" s="108"/>
      <c r="M625" s="100"/>
      <c r="N625" s="100"/>
    </row>
    <row r="626" spans="2:14" s="98" customFormat="1">
      <c r="B626" s="99" t="s">
        <v>816</v>
      </c>
      <c r="C626" s="109">
        <v>46270</v>
      </c>
      <c r="D626" s="98" t="s">
        <v>689</v>
      </c>
      <c r="E626" s="103">
        <v>758000</v>
      </c>
      <c r="F626" s="98" t="s">
        <v>240</v>
      </c>
      <c r="G626" s="98" t="s">
        <v>374</v>
      </c>
      <c r="H626" s="98" t="s">
        <v>513</v>
      </c>
      <c r="I626" s="98" t="s">
        <v>252</v>
      </c>
      <c r="K626" s="100"/>
      <c r="L626" s="108"/>
      <c r="M626" s="100"/>
      <c r="N626" s="100"/>
    </row>
    <row r="627" spans="2:14" s="98" customFormat="1">
      <c r="B627" s="99" t="s">
        <v>816</v>
      </c>
      <c r="C627" s="109">
        <v>46270</v>
      </c>
      <c r="D627" s="98" t="s">
        <v>842</v>
      </c>
      <c r="E627" s="103">
        <v>130000</v>
      </c>
      <c r="F627" s="98" t="s">
        <v>240</v>
      </c>
      <c r="G627" s="98" t="s">
        <v>374</v>
      </c>
      <c r="H627" s="98" t="s">
        <v>516</v>
      </c>
      <c r="I627" s="98" t="s">
        <v>619</v>
      </c>
      <c r="K627" s="100"/>
      <c r="L627" s="108"/>
      <c r="M627" s="100"/>
      <c r="N627" s="100"/>
    </row>
    <row r="628" spans="2:14" s="98" customFormat="1">
      <c r="B628" s="99" t="s">
        <v>816</v>
      </c>
      <c r="C628" s="109">
        <v>46270</v>
      </c>
      <c r="D628" s="98" t="s">
        <v>819</v>
      </c>
      <c r="E628" s="103">
        <v>5500</v>
      </c>
      <c r="F628" s="98" t="s">
        <v>240</v>
      </c>
      <c r="G628" s="98" t="s">
        <v>374</v>
      </c>
      <c r="H628" s="98" t="s">
        <v>516</v>
      </c>
      <c r="I628" s="98" t="s">
        <v>268</v>
      </c>
      <c r="K628" s="100"/>
      <c r="L628" s="108"/>
      <c r="M628" s="100"/>
      <c r="N628" s="100"/>
    </row>
    <row r="629" spans="2:14" s="98" customFormat="1">
      <c r="B629" s="99" t="s">
        <v>816</v>
      </c>
      <c r="C629" s="109">
        <v>46270</v>
      </c>
      <c r="D629" s="98" t="s">
        <v>843</v>
      </c>
      <c r="E629" s="103">
        <v>3000</v>
      </c>
      <c r="F629" s="98" t="s">
        <v>240</v>
      </c>
      <c r="G629" s="98" t="s">
        <v>374</v>
      </c>
      <c r="H629" s="98" t="s">
        <v>516</v>
      </c>
      <c r="I629" s="98" t="s">
        <v>247</v>
      </c>
      <c r="K629" s="100"/>
      <c r="L629" s="108"/>
      <c r="M629" s="100"/>
      <c r="N629" s="100"/>
    </row>
    <row r="630" spans="2:14" s="98" customFormat="1">
      <c r="B630" s="99" t="s">
        <v>816</v>
      </c>
      <c r="C630" s="109">
        <v>46270</v>
      </c>
      <c r="D630" s="98" t="s">
        <v>740</v>
      </c>
      <c r="E630" s="103">
        <v>-25</v>
      </c>
      <c r="F630" s="98" t="s">
        <v>239</v>
      </c>
      <c r="I630" s="98" t="s">
        <v>737</v>
      </c>
      <c r="K630" s="100"/>
      <c r="L630" s="108"/>
      <c r="M630" s="100"/>
      <c r="N630" s="100"/>
    </row>
    <row r="631" spans="2:14" s="98" customFormat="1">
      <c r="B631" s="99" t="s">
        <v>816</v>
      </c>
      <c r="C631" s="109">
        <v>46270</v>
      </c>
      <c r="D631" s="98" t="s">
        <v>844</v>
      </c>
      <c r="E631" s="103">
        <v>4950</v>
      </c>
      <c r="F631" s="98" t="s">
        <v>240</v>
      </c>
      <c r="G631" s="98" t="s">
        <v>374</v>
      </c>
      <c r="H631" s="98" t="s">
        <v>516</v>
      </c>
      <c r="I631" s="98" t="s">
        <v>247</v>
      </c>
      <c r="K631" s="100"/>
      <c r="L631" s="108"/>
      <c r="M631" s="100"/>
      <c r="N631" s="100"/>
    </row>
    <row r="632" spans="2:14" s="98" customFormat="1">
      <c r="B632" s="99" t="s">
        <v>816</v>
      </c>
      <c r="C632" s="109">
        <v>46270</v>
      </c>
      <c r="D632" s="98" t="s">
        <v>740</v>
      </c>
      <c r="E632" s="103">
        <v>-74</v>
      </c>
      <c r="F632" s="98" t="s">
        <v>239</v>
      </c>
      <c r="I632" s="98" t="s">
        <v>737</v>
      </c>
      <c r="K632" s="100"/>
      <c r="L632" s="108"/>
      <c r="M632" s="100"/>
      <c r="N632" s="100"/>
    </row>
    <row r="633" spans="2:14" s="98" customFormat="1">
      <c r="B633" s="99" t="s">
        <v>816</v>
      </c>
      <c r="C633" s="109">
        <v>46270</v>
      </c>
      <c r="D633" s="98" t="s">
        <v>845</v>
      </c>
      <c r="E633" s="103">
        <v>14750</v>
      </c>
      <c r="F633" s="98" t="s">
        <v>240</v>
      </c>
      <c r="G633" s="98" t="s">
        <v>374</v>
      </c>
      <c r="H633" s="98" t="s">
        <v>516</v>
      </c>
      <c r="I633" s="98" t="s">
        <v>248</v>
      </c>
      <c r="K633" s="100"/>
      <c r="L633" s="108"/>
      <c r="M633" s="100"/>
      <c r="N633" s="100"/>
    </row>
    <row r="634" spans="2:14" s="98" customFormat="1">
      <c r="B634" s="99" t="s">
        <v>816</v>
      </c>
      <c r="C634" s="109">
        <v>46270</v>
      </c>
      <c r="D634" s="98" t="s">
        <v>846</v>
      </c>
      <c r="E634" s="103">
        <v>22000</v>
      </c>
      <c r="F634" s="98" t="s">
        <v>240</v>
      </c>
      <c r="G634" s="98" t="s">
        <v>374</v>
      </c>
      <c r="H634" s="98" t="s">
        <v>516</v>
      </c>
      <c r="I634" s="98" t="s">
        <v>244</v>
      </c>
      <c r="K634" s="100"/>
      <c r="L634" s="108"/>
      <c r="M634" s="100"/>
      <c r="N634" s="100"/>
    </row>
    <row r="635" spans="2:14" s="98" customFormat="1">
      <c r="B635" s="99" t="s">
        <v>816</v>
      </c>
      <c r="C635" s="109">
        <v>46270</v>
      </c>
      <c r="D635" s="98" t="s">
        <v>847</v>
      </c>
      <c r="E635" s="103">
        <v>1000</v>
      </c>
      <c r="F635" s="98" t="s">
        <v>240</v>
      </c>
      <c r="G635" s="98" t="s">
        <v>374</v>
      </c>
      <c r="H635" s="98" t="s">
        <v>516</v>
      </c>
      <c r="I635" s="98" t="s">
        <v>247</v>
      </c>
      <c r="K635" s="100"/>
      <c r="L635" s="108"/>
      <c r="M635" s="100"/>
      <c r="N635" s="100"/>
    </row>
    <row r="636" spans="2:14" s="98" customFormat="1">
      <c r="B636" s="99" t="s">
        <v>816</v>
      </c>
      <c r="C636" s="109">
        <v>46270</v>
      </c>
      <c r="D636" s="98" t="s">
        <v>847</v>
      </c>
      <c r="E636" s="103">
        <v>3000</v>
      </c>
      <c r="F636" s="98" t="s">
        <v>240</v>
      </c>
      <c r="G636" s="98" t="s">
        <v>374</v>
      </c>
      <c r="H636" s="98" t="s">
        <v>516</v>
      </c>
      <c r="I636" s="98" t="s">
        <v>247</v>
      </c>
      <c r="K636" s="100"/>
      <c r="L636" s="108"/>
      <c r="M636" s="100"/>
      <c r="N636" s="100"/>
    </row>
    <row r="637" spans="2:14" s="98" customFormat="1">
      <c r="B637" s="99" t="s">
        <v>816</v>
      </c>
      <c r="C637" s="109">
        <v>46269</v>
      </c>
      <c r="D637" s="98" t="s">
        <v>740</v>
      </c>
      <c r="E637" s="103">
        <v>-99</v>
      </c>
      <c r="F637" s="98" t="s">
        <v>239</v>
      </c>
      <c r="I637" s="98" t="s">
        <v>737</v>
      </c>
      <c r="K637" s="100"/>
      <c r="L637" s="108"/>
      <c r="M637" s="100"/>
      <c r="N637" s="100"/>
    </row>
    <row r="638" spans="2:14" s="98" customFormat="1">
      <c r="B638" s="99" t="s">
        <v>816</v>
      </c>
      <c r="C638" s="109">
        <v>46269</v>
      </c>
      <c r="D638" s="98" t="s">
        <v>799</v>
      </c>
      <c r="E638" s="103">
        <v>19800</v>
      </c>
      <c r="F638" s="98" t="s">
        <v>240</v>
      </c>
      <c r="G638" s="98" t="s">
        <v>374</v>
      </c>
      <c r="H638" s="98" t="s">
        <v>516</v>
      </c>
      <c r="I638" s="98" t="s">
        <v>248</v>
      </c>
      <c r="K638" s="100"/>
      <c r="L638" s="108"/>
      <c r="M638" s="100"/>
      <c r="N638" s="100"/>
    </row>
    <row r="639" spans="2:14" s="98" customFormat="1">
      <c r="B639" s="99" t="s">
        <v>816</v>
      </c>
      <c r="C639" s="109">
        <v>46269</v>
      </c>
      <c r="D639" s="98" t="s">
        <v>740</v>
      </c>
      <c r="E639" s="103">
        <v>-835</v>
      </c>
      <c r="F639" s="98" t="s">
        <v>239</v>
      </c>
      <c r="I639" s="98" t="s">
        <v>737</v>
      </c>
      <c r="K639" s="100"/>
      <c r="L639" s="108"/>
      <c r="M639" s="100"/>
      <c r="N639" s="100"/>
    </row>
    <row r="640" spans="2:14" s="98" customFormat="1">
      <c r="B640" s="99" t="s">
        <v>816</v>
      </c>
      <c r="C640" s="109">
        <v>46269</v>
      </c>
      <c r="D640" s="98" t="s">
        <v>848</v>
      </c>
      <c r="E640" s="103">
        <v>167047</v>
      </c>
      <c r="F640" s="98" t="s">
        <v>240</v>
      </c>
      <c r="G640" s="98" t="s">
        <v>374</v>
      </c>
      <c r="H640" s="98" t="s">
        <v>516</v>
      </c>
      <c r="I640" s="98" t="s">
        <v>619</v>
      </c>
      <c r="K640" s="100"/>
      <c r="L640" s="108"/>
      <c r="M640" s="100"/>
      <c r="N640" s="100"/>
    </row>
    <row r="641" spans="2:14" s="98" customFormat="1">
      <c r="B641" s="99" t="s">
        <v>816</v>
      </c>
      <c r="C641" s="109">
        <v>46269</v>
      </c>
      <c r="D641" s="98" t="s">
        <v>744</v>
      </c>
      <c r="E641" s="103">
        <v>-214</v>
      </c>
      <c r="F641" s="98" t="s">
        <v>239</v>
      </c>
      <c r="I641" s="98" t="s">
        <v>737</v>
      </c>
      <c r="K641" s="100"/>
      <c r="L641" s="108"/>
      <c r="M641" s="100"/>
      <c r="N641" s="100"/>
    </row>
    <row r="642" spans="2:14" s="98" customFormat="1">
      <c r="B642" s="99" t="s">
        <v>816</v>
      </c>
      <c r="C642" s="109">
        <v>46269</v>
      </c>
      <c r="D642" s="98" t="s">
        <v>740</v>
      </c>
      <c r="E642" s="103">
        <v>-17</v>
      </c>
      <c r="F642" s="98" t="s">
        <v>239</v>
      </c>
      <c r="I642" s="98" t="s">
        <v>737</v>
      </c>
      <c r="K642" s="100"/>
      <c r="L642" s="108"/>
      <c r="M642" s="100"/>
      <c r="N642" s="100"/>
    </row>
    <row r="643" spans="2:14" s="98" customFormat="1">
      <c r="B643" s="99" t="s">
        <v>816</v>
      </c>
      <c r="C643" s="109">
        <v>46269</v>
      </c>
      <c r="D643" s="98" t="s">
        <v>783</v>
      </c>
      <c r="E643" s="103">
        <v>3300</v>
      </c>
      <c r="F643" s="98" t="s">
        <v>240</v>
      </c>
      <c r="G643" s="98" t="s">
        <v>374</v>
      </c>
      <c r="H643" s="98" t="s">
        <v>516</v>
      </c>
      <c r="I643" s="98" t="s">
        <v>247</v>
      </c>
      <c r="K643" s="100"/>
      <c r="L643" s="108"/>
      <c r="M643" s="100"/>
      <c r="N643" s="100"/>
    </row>
    <row r="644" spans="2:14" s="98" customFormat="1">
      <c r="B644" s="99" t="s">
        <v>816</v>
      </c>
      <c r="C644" s="109">
        <v>46269</v>
      </c>
      <c r="D644" s="98" t="s">
        <v>740</v>
      </c>
      <c r="E644" s="103">
        <v>-22</v>
      </c>
      <c r="F644" s="98" t="s">
        <v>239</v>
      </c>
      <c r="I644" s="98" t="s">
        <v>737</v>
      </c>
      <c r="K644" s="100"/>
      <c r="L644" s="108"/>
      <c r="M644" s="100"/>
      <c r="N644" s="100"/>
    </row>
    <row r="645" spans="2:14" s="98" customFormat="1">
      <c r="B645" s="99" t="s">
        <v>816</v>
      </c>
      <c r="C645" s="109">
        <v>46269</v>
      </c>
      <c r="D645" s="98" t="s">
        <v>745</v>
      </c>
      <c r="E645" s="103">
        <v>4459</v>
      </c>
      <c r="F645" s="98" t="s">
        <v>240</v>
      </c>
      <c r="G645" s="98" t="s">
        <v>374</v>
      </c>
      <c r="H645" s="98" t="s">
        <v>513</v>
      </c>
      <c r="I645" s="98" t="s">
        <v>242</v>
      </c>
      <c r="K645" s="100"/>
      <c r="L645" s="108"/>
      <c r="M645" s="100"/>
      <c r="N645" s="100"/>
    </row>
    <row r="646" spans="2:14" s="98" customFormat="1">
      <c r="B646" s="99" t="s">
        <v>816</v>
      </c>
      <c r="C646" s="109">
        <v>46269</v>
      </c>
      <c r="D646" s="98" t="s">
        <v>709</v>
      </c>
      <c r="E646" s="103">
        <v>28000</v>
      </c>
      <c r="F646" s="98" t="s">
        <v>240</v>
      </c>
      <c r="G646" s="98" t="s">
        <v>374</v>
      </c>
      <c r="H646" s="98" t="s">
        <v>513</v>
      </c>
      <c r="I646" s="98" t="s">
        <v>545</v>
      </c>
      <c r="K646" s="100"/>
      <c r="L646" s="108"/>
      <c r="M646" s="100"/>
      <c r="N646" s="100"/>
    </row>
    <row r="647" spans="2:14" s="98" customFormat="1">
      <c r="B647" s="99" t="s">
        <v>816</v>
      </c>
      <c r="C647" s="109">
        <v>46269</v>
      </c>
      <c r="D647" s="98" t="s">
        <v>804</v>
      </c>
      <c r="E647" s="103">
        <v>800</v>
      </c>
      <c r="F647" s="98" t="s">
        <v>240</v>
      </c>
      <c r="G647" s="98" t="s">
        <v>374</v>
      </c>
      <c r="H647" s="98" t="s">
        <v>513</v>
      </c>
      <c r="I647" s="98" t="s">
        <v>545</v>
      </c>
      <c r="K647" s="100"/>
      <c r="L647" s="108"/>
      <c r="M647" s="100"/>
      <c r="N647" s="100"/>
    </row>
    <row r="648" spans="2:14" s="98" customFormat="1">
      <c r="B648" s="99" t="s">
        <v>816</v>
      </c>
      <c r="C648" s="109">
        <v>46269</v>
      </c>
      <c r="D648" s="98" t="s">
        <v>804</v>
      </c>
      <c r="E648" s="103">
        <v>800</v>
      </c>
      <c r="F648" s="98" t="s">
        <v>240</v>
      </c>
      <c r="G648" s="98" t="s">
        <v>374</v>
      </c>
      <c r="H648" s="98" t="s">
        <v>513</v>
      </c>
      <c r="I648" s="98" t="s">
        <v>545</v>
      </c>
      <c r="K648" s="100"/>
      <c r="L648" s="108"/>
      <c r="M648" s="100"/>
      <c r="N648" s="100"/>
    </row>
    <row r="649" spans="2:14" s="98" customFormat="1">
      <c r="B649" s="99" t="s">
        <v>816</v>
      </c>
      <c r="C649" s="109">
        <v>46269</v>
      </c>
      <c r="D649" s="98" t="s">
        <v>740</v>
      </c>
      <c r="E649" s="103">
        <v>-40</v>
      </c>
      <c r="F649" s="98" t="s">
        <v>239</v>
      </c>
      <c r="I649" s="98" t="s">
        <v>737</v>
      </c>
      <c r="K649" s="100"/>
      <c r="L649" s="108"/>
      <c r="M649" s="100"/>
      <c r="N649" s="100"/>
    </row>
    <row r="650" spans="2:14" s="98" customFormat="1">
      <c r="B650" s="99" t="s">
        <v>816</v>
      </c>
      <c r="C650" s="109">
        <v>46269</v>
      </c>
      <c r="D650" s="98" t="s">
        <v>750</v>
      </c>
      <c r="E650" s="103">
        <v>7990</v>
      </c>
      <c r="F650" s="98" t="s">
        <v>240</v>
      </c>
      <c r="G650" s="98" t="s">
        <v>374</v>
      </c>
      <c r="H650" s="98" t="s">
        <v>516</v>
      </c>
      <c r="I650" s="98" t="s">
        <v>273</v>
      </c>
      <c r="K650" s="100"/>
      <c r="L650" s="108"/>
      <c r="M650" s="100"/>
      <c r="N650" s="100"/>
    </row>
    <row r="651" spans="2:14" s="98" customFormat="1">
      <c r="B651" s="99" t="s">
        <v>816</v>
      </c>
      <c r="C651" s="109">
        <v>46269</v>
      </c>
      <c r="D651" s="98" t="s">
        <v>740</v>
      </c>
      <c r="E651" s="103">
        <v>-116</v>
      </c>
      <c r="F651" s="98" t="s">
        <v>239</v>
      </c>
      <c r="I651" s="98" t="s">
        <v>737</v>
      </c>
      <c r="K651" s="100"/>
      <c r="L651" s="108"/>
      <c r="M651" s="100"/>
      <c r="N651" s="100"/>
    </row>
    <row r="652" spans="2:14" s="98" customFormat="1">
      <c r="B652" s="99" t="s">
        <v>816</v>
      </c>
      <c r="C652" s="109">
        <v>46269</v>
      </c>
      <c r="D652" s="98" t="s">
        <v>750</v>
      </c>
      <c r="E652" s="103">
        <v>23230</v>
      </c>
      <c r="F652" s="98" t="s">
        <v>240</v>
      </c>
      <c r="G652" s="98" t="s">
        <v>374</v>
      </c>
      <c r="H652" s="98" t="s">
        <v>516</v>
      </c>
      <c r="I652" s="98" t="s">
        <v>273</v>
      </c>
      <c r="K652" s="100"/>
      <c r="L652" s="108"/>
      <c r="M652" s="100"/>
      <c r="N652" s="100"/>
    </row>
    <row r="653" spans="2:14" s="98" customFormat="1">
      <c r="B653" s="99" t="s">
        <v>816</v>
      </c>
      <c r="C653" s="109">
        <v>46268</v>
      </c>
      <c r="D653" s="98" t="s">
        <v>744</v>
      </c>
      <c r="E653" s="103">
        <v>-75</v>
      </c>
      <c r="F653" s="98" t="s">
        <v>239</v>
      </c>
      <c r="I653" s="98" t="s">
        <v>737</v>
      </c>
      <c r="K653" s="100"/>
      <c r="L653" s="108"/>
      <c r="M653" s="100"/>
      <c r="N653" s="100"/>
    </row>
    <row r="654" spans="2:14" s="98" customFormat="1">
      <c r="B654" s="99" t="s">
        <v>816</v>
      </c>
      <c r="C654" s="109">
        <v>46268</v>
      </c>
      <c r="D654" s="98" t="s">
        <v>740</v>
      </c>
      <c r="E654" s="103">
        <v>-12</v>
      </c>
      <c r="F654" s="98" t="s">
        <v>239</v>
      </c>
      <c r="I654" s="98" t="s">
        <v>737</v>
      </c>
      <c r="K654" s="100"/>
      <c r="L654" s="108"/>
      <c r="M654" s="100"/>
      <c r="N654" s="100"/>
    </row>
    <row r="655" spans="2:14" s="98" customFormat="1">
      <c r="B655" s="99" t="s">
        <v>816</v>
      </c>
      <c r="C655" s="109">
        <v>46268</v>
      </c>
      <c r="D655" s="98" t="s">
        <v>817</v>
      </c>
      <c r="E655" s="103">
        <v>2490</v>
      </c>
      <c r="F655" s="98" t="s">
        <v>240</v>
      </c>
      <c r="G655" s="98" t="s">
        <v>374</v>
      </c>
      <c r="H655" s="98" t="s">
        <v>516</v>
      </c>
      <c r="I655" s="98" t="s">
        <v>269</v>
      </c>
      <c r="K655" s="100"/>
      <c r="L655" s="108"/>
      <c r="M655" s="100"/>
      <c r="N655" s="100"/>
    </row>
    <row r="656" spans="2:14" s="98" customFormat="1">
      <c r="B656" s="99" t="s">
        <v>816</v>
      </c>
      <c r="C656" s="109">
        <v>46268</v>
      </c>
      <c r="D656" s="98" t="s">
        <v>818</v>
      </c>
      <c r="E656" s="103">
        <v>3300</v>
      </c>
      <c r="F656" s="98" t="s">
        <v>240</v>
      </c>
      <c r="G656" s="98" t="s">
        <v>374</v>
      </c>
      <c r="H656" s="98" t="s">
        <v>516</v>
      </c>
      <c r="I656" s="98" t="s">
        <v>268</v>
      </c>
      <c r="K656" s="100"/>
      <c r="L656" s="108"/>
      <c r="M656" s="100"/>
      <c r="N656" s="100"/>
    </row>
    <row r="657" spans="2:14" s="98" customFormat="1">
      <c r="B657" s="99" t="s">
        <v>816</v>
      </c>
      <c r="C657" s="109">
        <v>46268</v>
      </c>
      <c r="D657" s="98" t="s">
        <v>819</v>
      </c>
      <c r="E657" s="103">
        <v>3300</v>
      </c>
      <c r="F657" s="98" t="s">
        <v>240</v>
      </c>
      <c r="G657" s="98" t="s">
        <v>374</v>
      </c>
      <c r="H657" s="98" t="s">
        <v>516</v>
      </c>
      <c r="I657" s="98" t="s">
        <v>268</v>
      </c>
      <c r="K657" s="100"/>
      <c r="L657" s="108"/>
      <c r="M657" s="100"/>
      <c r="N657" s="100"/>
    </row>
    <row r="658" spans="2:14" s="98" customFormat="1">
      <c r="B658" s="99" t="s">
        <v>816</v>
      </c>
      <c r="C658" s="109">
        <v>46268</v>
      </c>
      <c r="D658" s="98" t="s">
        <v>812</v>
      </c>
      <c r="E658" s="103">
        <v>30000</v>
      </c>
      <c r="F658" s="98" t="s">
        <v>240</v>
      </c>
      <c r="G658" s="98" t="s">
        <v>374</v>
      </c>
      <c r="H658" s="98" t="s">
        <v>516</v>
      </c>
      <c r="I658" s="98" t="s">
        <v>251</v>
      </c>
      <c r="K658" s="100"/>
      <c r="L658" s="108"/>
      <c r="M658" s="100"/>
      <c r="N658" s="100"/>
    </row>
    <row r="659" spans="2:14" s="98" customFormat="1">
      <c r="B659" s="99" t="s">
        <v>816</v>
      </c>
      <c r="C659" s="109">
        <v>46268</v>
      </c>
      <c r="D659" s="98" t="s">
        <v>820</v>
      </c>
      <c r="E659" s="103">
        <v>50000</v>
      </c>
      <c r="F659" s="98" t="s">
        <v>240</v>
      </c>
      <c r="G659" s="98" t="s">
        <v>374</v>
      </c>
      <c r="H659" s="98" t="s">
        <v>516</v>
      </c>
      <c r="I659" s="98" t="s">
        <v>251</v>
      </c>
      <c r="K659" s="100"/>
      <c r="L659" s="108"/>
      <c r="M659" s="100"/>
      <c r="N659" s="100"/>
    </row>
    <row r="660" spans="2:14" s="98" customFormat="1">
      <c r="B660" s="99" t="s">
        <v>816</v>
      </c>
      <c r="C660" s="109">
        <v>46268</v>
      </c>
      <c r="D660" s="98" t="s">
        <v>297</v>
      </c>
      <c r="E660" s="103">
        <v>19785</v>
      </c>
      <c r="F660" s="98" t="s">
        <v>240</v>
      </c>
      <c r="G660" s="98" t="s">
        <v>374</v>
      </c>
      <c r="H660" s="98" t="s">
        <v>516</v>
      </c>
      <c r="I660" s="98" t="s">
        <v>270</v>
      </c>
      <c r="K660" s="100"/>
      <c r="L660" s="108"/>
      <c r="M660" s="100"/>
      <c r="N660" s="100"/>
    </row>
    <row r="661" spans="2:14" s="98" customFormat="1">
      <c r="B661" s="99" t="s">
        <v>816</v>
      </c>
      <c r="C661" s="109">
        <v>46268</v>
      </c>
      <c r="D661" s="98" t="s">
        <v>740</v>
      </c>
      <c r="E661" s="103">
        <v>-409</v>
      </c>
      <c r="F661" s="98" t="s">
        <v>239</v>
      </c>
      <c r="I661" s="98" t="s">
        <v>737</v>
      </c>
      <c r="K661" s="100"/>
      <c r="L661" s="108"/>
      <c r="M661" s="100"/>
      <c r="N661" s="100"/>
    </row>
    <row r="662" spans="2:14" s="98" customFormat="1">
      <c r="B662" s="99" t="s">
        <v>816</v>
      </c>
      <c r="C662" s="109">
        <v>46268</v>
      </c>
      <c r="D662" s="98" t="s">
        <v>821</v>
      </c>
      <c r="E662" s="103">
        <v>81882</v>
      </c>
      <c r="F662" s="98" t="s">
        <v>240</v>
      </c>
      <c r="G662" s="98" t="s">
        <v>374</v>
      </c>
      <c r="H662" s="98" t="s">
        <v>516</v>
      </c>
      <c r="I662" s="98" t="s">
        <v>243</v>
      </c>
      <c r="K662" s="100"/>
      <c r="L662" s="108"/>
      <c r="M662" s="100"/>
      <c r="N662" s="100"/>
    </row>
    <row r="663" spans="2:14" s="98" customFormat="1">
      <c r="B663" s="99" t="s">
        <v>816</v>
      </c>
      <c r="C663" s="109">
        <v>46268</v>
      </c>
      <c r="D663" s="98" t="s">
        <v>740</v>
      </c>
      <c r="E663" s="103">
        <v>-6</v>
      </c>
      <c r="F663" s="98" t="s">
        <v>239</v>
      </c>
      <c r="I663" s="98" t="s">
        <v>737</v>
      </c>
      <c r="K663" s="100"/>
      <c r="L663" s="108"/>
      <c r="M663" s="100"/>
      <c r="N663" s="100"/>
    </row>
    <row r="664" spans="2:14" s="98" customFormat="1">
      <c r="B664" s="99" t="s">
        <v>816</v>
      </c>
      <c r="C664" s="109">
        <v>46268</v>
      </c>
      <c r="D664" s="98" t="s">
        <v>822</v>
      </c>
      <c r="E664" s="103">
        <v>1250</v>
      </c>
      <c r="F664" s="98" t="s">
        <v>240</v>
      </c>
      <c r="G664" s="98" t="s">
        <v>374</v>
      </c>
      <c r="H664" s="98" t="s">
        <v>516</v>
      </c>
      <c r="I664" s="98" t="s">
        <v>241</v>
      </c>
      <c r="K664" s="100"/>
      <c r="L664" s="108"/>
      <c r="M664" s="100"/>
      <c r="N664" s="100"/>
    </row>
    <row r="665" spans="2:14" s="98" customFormat="1">
      <c r="B665" s="99" t="s">
        <v>816</v>
      </c>
      <c r="C665" s="109">
        <v>46268</v>
      </c>
      <c r="D665" s="98" t="s">
        <v>823</v>
      </c>
      <c r="E665" s="103">
        <v>22000</v>
      </c>
      <c r="F665" s="98" t="s">
        <v>240</v>
      </c>
      <c r="G665" s="98" t="s">
        <v>374</v>
      </c>
      <c r="H665" s="98" t="s">
        <v>516</v>
      </c>
      <c r="I665" s="98" t="s">
        <v>269</v>
      </c>
      <c r="K665" s="100"/>
      <c r="L665" s="108"/>
      <c r="M665" s="100"/>
      <c r="N665" s="100"/>
    </row>
    <row r="666" spans="2:14" s="98" customFormat="1">
      <c r="B666" s="99" t="s">
        <v>816</v>
      </c>
      <c r="C666" s="109">
        <v>46268</v>
      </c>
      <c r="D666" s="98" t="s">
        <v>740</v>
      </c>
      <c r="E666" s="103">
        <v>-258</v>
      </c>
      <c r="F666" s="98" t="s">
        <v>239</v>
      </c>
      <c r="I666" s="98" t="s">
        <v>737</v>
      </c>
      <c r="K666" s="100"/>
      <c r="L666" s="108"/>
      <c r="M666" s="100"/>
      <c r="N666" s="100"/>
    </row>
    <row r="667" spans="2:14" s="98" customFormat="1">
      <c r="B667" s="99" t="s">
        <v>816</v>
      </c>
      <c r="C667" s="109">
        <v>46268</v>
      </c>
      <c r="D667" s="98" t="s">
        <v>824</v>
      </c>
      <c r="E667" s="103">
        <v>51600</v>
      </c>
      <c r="F667" s="98" t="s">
        <v>240</v>
      </c>
      <c r="G667" s="98" t="s">
        <v>374</v>
      </c>
      <c r="H667" s="98" t="s">
        <v>516</v>
      </c>
      <c r="I667" s="98" t="s">
        <v>619</v>
      </c>
      <c r="K667" s="100"/>
      <c r="L667" s="108"/>
      <c r="M667" s="100"/>
      <c r="N667" s="100"/>
    </row>
    <row r="668" spans="2:14" s="98" customFormat="1">
      <c r="B668" s="99" t="s">
        <v>816</v>
      </c>
      <c r="C668" s="109">
        <v>46268</v>
      </c>
      <c r="D668" s="98" t="s">
        <v>831</v>
      </c>
      <c r="E668" s="103">
        <v>57500</v>
      </c>
      <c r="F668" s="98" t="s">
        <v>240</v>
      </c>
      <c r="G668" s="98" t="s">
        <v>374</v>
      </c>
      <c r="H668" s="98" t="s">
        <v>516</v>
      </c>
      <c r="I668" s="98" t="s">
        <v>268</v>
      </c>
      <c r="K668" s="100"/>
      <c r="L668" s="108"/>
      <c r="M668" s="100"/>
      <c r="N668" s="100"/>
    </row>
    <row r="669" spans="2:14" s="98" customFormat="1">
      <c r="B669" s="99" t="s">
        <v>816</v>
      </c>
      <c r="C669" s="109">
        <v>46267</v>
      </c>
      <c r="D669" s="98" t="s">
        <v>744</v>
      </c>
      <c r="E669" s="103">
        <v>-76</v>
      </c>
      <c r="F669" s="98" t="s">
        <v>239</v>
      </c>
      <c r="I669" s="98" t="s">
        <v>737</v>
      </c>
      <c r="K669" s="100"/>
      <c r="L669" s="108"/>
      <c r="M669" s="100"/>
      <c r="N669" s="100"/>
    </row>
    <row r="670" spans="2:14" s="98" customFormat="1">
      <c r="B670" s="99" t="s">
        <v>816</v>
      </c>
      <c r="C670" s="109">
        <v>46267</v>
      </c>
      <c r="D670" s="98" t="s">
        <v>801</v>
      </c>
      <c r="E670" s="103">
        <v>99952</v>
      </c>
      <c r="F670" s="98" t="s">
        <v>240</v>
      </c>
      <c r="G670" s="98" t="s">
        <v>374</v>
      </c>
      <c r="H670" s="98" t="s">
        <v>516</v>
      </c>
      <c r="I670" s="98" t="s">
        <v>245</v>
      </c>
      <c r="K670" s="100"/>
      <c r="L670" s="108"/>
      <c r="M670" s="100"/>
      <c r="N670" s="100"/>
    </row>
    <row r="671" spans="2:14" s="98" customFormat="1">
      <c r="B671" s="99" t="s">
        <v>816</v>
      </c>
      <c r="C671" s="109">
        <v>46267</v>
      </c>
      <c r="D671" s="98" t="s">
        <v>740</v>
      </c>
      <c r="E671" s="103">
        <v>-78</v>
      </c>
      <c r="F671" s="98" t="s">
        <v>239</v>
      </c>
      <c r="I671" s="98" t="s">
        <v>737</v>
      </c>
      <c r="K671" s="100"/>
      <c r="L671" s="108"/>
      <c r="M671" s="100"/>
      <c r="N671" s="100"/>
    </row>
    <row r="672" spans="2:14" s="98" customFormat="1">
      <c r="B672" s="99" t="s">
        <v>816</v>
      </c>
      <c r="C672" s="109">
        <v>46267</v>
      </c>
      <c r="D672" s="98" t="s">
        <v>825</v>
      </c>
      <c r="E672" s="103">
        <v>15590</v>
      </c>
      <c r="F672" s="98" t="s">
        <v>240</v>
      </c>
      <c r="G672" s="98" t="s">
        <v>374</v>
      </c>
      <c r="H672" s="98" t="s">
        <v>516</v>
      </c>
      <c r="I672" s="98" t="s">
        <v>244</v>
      </c>
      <c r="K672" s="100"/>
      <c r="L672" s="108"/>
      <c r="M672" s="100"/>
      <c r="N672" s="100"/>
    </row>
    <row r="673" spans="2:14" s="98" customFormat="1">
      <c r="B673" s="99" t="s">
        <v>816</v>
      </c>
      <c r="C673" s="109">
        <v>46267</v>
      </c>
      <c r="D673" s="98" t="s">
        <v>740</v>
      </c>
      <c r="E673" s="103">
        <v>-40</v>
      </c>
      <c r="F673" s="98" t="s">
        <v>239</v>
      </c>
      <c r="I673" s="98" t="s">
        <v>737</v>
      </c>
      <c r="K673" s="100"/>
      <c r="L673" s="108"/>
      <c r="M673" s="100"/>
      <c r="N673" s="100"/>
    </row>
    <row r="674" spans="2:14" s="98" customFormat="1">
      <c r="B674" s="99" t="s">
        <v>816</v>
      </c>
      <c r="C674" s="109">
        <v>46267</v>
      </c>
      <c r="D674" s="98" t="s">
        <v>826</v>
      </c>
      <c r="E674" s="103">
        <v>8000</v>
      </c>
      <c r="F674" s="98" t="s">
        <v>240</v>
      </c>
      <c r="G674" s="98" t="s">
        <v>374</v>
      </c>
      <c r="H674" s="98" t="s">
        <v>516</v>
      </c>
      <c r="I674" s="98" t="s">
        <v>244</v>
      </c>
      <c r="K674" s="100"/>
      <c r="L674" s="108"/>
      <c r="M674" s="100"/>
      <c r="N674" s="100"/>
    </row>
    <row r="675" spans="2:14" s="98" customFormat="1">
      <c r="B675" s="99" t="s">
        <v>816</v>
      </c>
      <c r="C675" s="109">
        <v>46267</v>
      </c>
      <c r="D675" s="98" t="s">
        <v>740</v>
      </c>
      <c r="E675" s="103">
        <v>-75</v>
      </c>
      <c r="F675" s="98" t="s">
        <v>239</v>
      </c>
      <c r="I675" s="98" t="s">
        <v>737</v>
      </c>
      <c r="K675" s="100"/>
      <c r="L675" s="108"/>
      <c r="M675" s="100"/>
      <c r="N675" s="100"/>
    </row>
    <row r="676" spans="2:14" s="98" customFormat="1">
      <c r="B676" s="99" t="s">
        <v>816</v>
      </c>
      <c r="C676" s="109">
        <v>46267</v>
      </c>
      <c r="D676" s="98" t="s">
        <v>747</v>
      </c>
      <c r="E676" s="103">
        <v>15078</v>
      </c>
      <c r="F676" s="98" t="s">
        <v>240</v>
      </c>
      <c r="G676" s="98" t="s">
        <v>374</v>
      </c>
      <c r="H676" s="98" t="s">
        <v>516</v>
      </c>
      <c r="I676" s="98" t="s">
        <v>244</v>
      </c>
      <c r="K676" s="100"/>
      <c r="L676" s="108"/>
      <c r="M676" s="100"/>
      <c r="N676" s="100"/>
    </row>
    <row r="677" spans="2:14" s="98" customFormat="1">
      <c r="B677" s="99" t="s">
        <v>816</v>
      </c>
      <c r="C677" s="109">
        <v>46267</v>
      </c>
      <c r="D677" s="98" t="s">
        <v>740</v>
      </c>
      <c r="E677" s="103">
        <v>-79</v>
      </c>
      <c r="F677" s="98" t="s">
        <v>239</v>
      </c>
      <c r="I677" s="98" t="s">
        <v>737</v>
      </c>
      <c r="K677" s="100"/>
      <c r="L677" s="108"/>
      <c r="M677" s="100"/>
      <c r="N677" s="100"/>
    </row>
    <row r="678" spans="2:14" s="98" customFormat="1">
      <c r="B678" s="99" t="s">
        <v>816</v>
      </c>
      <c r="C678" s="109">
        <v>46267</v>
      </c>
      <c r="D678" s="98" t="s">
        <v>786</v>
      </c>
      <c r="E678" s="103">
        <v>15735</v>
      </c>
      <c r="F678" s="98" t="s">
        <v>240</v>
      </c>
      <c r="G678" s="98" t="s">
        <v>374</v>
      </c>
      <c r="H678" s="98" t="s">
        <v>516</v>
      </c>
      <c r="I678" s="98" t="s">
        <v>273</v>
      </c>
      <c r="K678" s="100"/>
      <c r="L678" s="108"/>
      <c r="M678" s="100"/>
      <c r="N678" s="100"/>
    </row>
    <row r="679" spans="2:14" s="98" customFormat="1">
      <c r="B679" s="99" t="s">
        <v>816</v>
      </c>
      <c r="C679" s="109">
        <v>46267</v>
      </c>
      <c r="D679" s="98" t="s">
        <v>827</v>
      </c>
      <c r="E679" s="103">
        <v>4326</v>
      </c>
      <c r="F679" s="98" t="s">
        <v>240</v>
      </c>
      <c r="G679" s="98" t="s">
        <v>374</v>
      </c>
      <c r="H679" s="98" t="s">
        <v>513</v>
      </c>
      <c r="I679" s="98" t="s">
        <v>242</v>
      </c>
      <c r="K679" s="100"/>
      <c r="L679" s="108"/>
      <c r="M679" s="100"/>
      <c r="N679" s="100"/>
    </row>
    <row r="680" spans="2:14" s="98" customFormat="1">
      <c r="B680" s="99" t="s">
        <v>816</v>
      </c>
      <c r="C680" s="109">
        <v>46267</v>
      </c>
      <c r="D680" s="98" t="s">
        <v>709</v>
      </c>
      <c r="E680" s="103">
        <v>2000</v>
      </c>
      <c r="F680" s="98" t="s">
        <v>240</v>
      </c>
      <c r="G680" s="98" t="s">
        <v>374</v>
      </c>
      <c r="H680" s="98" t="s">
        <v>516</v>
      </c>
      <c r="I680" s="98" t="s">
        <v>247</v>
      </c>
      <c r="K680" s="100"/>
      <c r="L680" s="108"/>
      <c r="M680" s="100"/>
      <c r="N680" s="100"/>
    </row>
    <row r="681" spans="2:14" s="98" customFormat="1">
      <c r="B681" s="99" t="s">
        <v>816</v>
      </c>
      <c r="C681" s="109">
        <v>46267</v>
      </c>
      <c r="D681" s="98" t="s">
        <v>740</v>
      </c>
      <c r="E681" s="103">
        <v>-229</v>
      </c>
      <c r="F681" s="98" t="s">
        <v>239</v>
      </c>
      <c r="I681" s="98" t="s">
        <v>737</v>
      </c>
      <c r="K681" s="100"/>
      <c r="L681" s="108"/>
      <c r="M681" s="100"/>
      <c r="N681" s="100"/>
    </row>
    <row r="682" spans="2:14" s="98" customFormat="1">
      <c r="B682" s="99" t="s">
        <v>816</v>
      </c>
      <c r="C682" s="109">
        <v>46267</v>
      </c>
      <c r="D682" s="98" t="s">
        <v>828</v>
      </c>
      <c r="E682" s="103">
        <v>45721</v>
      </c>
      <c r="F682" s="98" t="s">
        <v>240</v>
      </c>
      <c r="G682" s="98" t="s">
        <v>374</v>
      </c>
      <c r="H682" s="98" t="s">
        <v>516</v>
      </c>
      <c r="I682" s="98" t="s">
        <v>245</v>
      </c>
      <c r="K682" s="100"/>
      <c r="L682" s="108"/>
      <c r="M682" s="100"/>
      <c r="N682" s="100"/>
    </row>
    <row r="683" spans="2:14" s="98" customFormat="1">
      <c r="B683" s="99" t="s">
        <v>816</v>
      </c>
      <c r="C683" s="109">
        <v>46267</v>
      </c>
      <c r="D683" s="98" t="s">
        <v>297</v>
      </c>
      <c r="E683" s="103">
        <v>19788</v>
      </c>
      <c r="F683" s="98" t="s">
        <v>240</v>
      </c>
      <c r="G683" s="98" t="s">
        <v>374</v>
      </c>
      <c r="H683" s="98" t="s">
        <v>516</v>
      </c>
      <c r="I683" s="98" t="s">
        <v>270</v>
      </c>
      <c r="K683" s="100"/>
      <c r="L683" s="108"/>
      <c r="M683" s="100"/>
      <c r="N683" s="100"/>
    </row>
    <row r="684" spans="2:14" s="98" customFormat="1">
      <c r="B684" s="99" t="s">
        <v>816</v>
      </c>
      <c r="C684" s="109">
        <v>46266</v>
      </c>
      <c r="D684" s="98" t="s">
        <v>829</v>
      </c>
      <c r="E684" s="103">
        <v>34040</v>
      </c>
      <c r="F684" s="98" t="s">
        <v>240</v>
      </c>
      <c r="G684" s="98" t="s">
        <v>374</v>
      </c>
      <c r="H684" s="98" t="s">
        <v>516</v>
      </c>
      <c r="I684" s="98" t="s">
        <v>638</v>
      </c>
      <c r="K684" s="100"/>
      <c r="L684" s="108"/>
      <c r="M684" s="100"/>
      <c r="N684" s="100"/>
    </row>
    <row r="685" spans="2:14" s="98" customFormat="1">
      <c r="B685" s="99" t="s">
        <v>816</v>
      </c>
      <c r="C685" s="109">
        <v>46266</v>
      </c>
      <c r="D685" s="98" t="s">
        <v>717</v>
      </c>
      <c r="E685" s="103">
        <v>140000</v>
      </c>
      <c r="F685" s="98" t="s">
        <v>240</v>
      </c>
      <c r="G685" s="98" t="s">
        <v>374</v>
      </c>
      <c r="H685" s="98" t="s">
        <v>516</v>
      </c>
      <c r="I685" s="98" t="s">
        <v>273</v>
      </c>
      <c r="K685" s="100"/>
      <c r="L685" s="108"/>
      <c r="M685" s="100"/>
      <c r="N685" s="100"/>
    </row>
    <row r="686" spans="2:14" s="98" customFormat="1">
      <c r="B686" s="99" t="s">
        <v>816</v>
      </c>
      <c r="C686" s="109">
        <v>46266</v>
      </c>
      <c r="D686" s="98" t="s">
        <v>740</v>
      </c>
      <c r="E686" s="103">
        <v>-13</v>
      </c>
      <c r="F686" s="98" t="s">
        <v>239</v>
      </c>
      <c r="I686" s="98" t="s">
        <v>737</v>
      </c>
      <c r="K686" s="100"/>
      <c r="L686" s="108"/>
      <c r="M686" s="100"/>
      <c r="N686" s="100"/>
    </row>
    <row r="687" spans="2:14" s="98" customFormat="1">
      <c r="B687" s="99" t="s">
        <v>816</v>
      </c>
      <c r="C687" s="109">
        <v>46266</v>
      </c>
      <c r="D687" s="98" t="s">
        <v>772</v>
      </c>
      <c r="E687" s="103">
        <v>2500</v>
      </c>
      <c r="F687" s="98" t="s">
        <v>240</v>
      </c>
      <c r="G687" s="98" t="s">
        <v>374</v>
      </c>
      <c r="H687" s="98" t="s">
        <v>516</v>
      </c>
      <c r="I687" s="98" t="s">
        <v>247</v>
      </c>
      <c r="K687" s="100"/>
      <c r="L687" s="108"/>
      <c r="M687" s="100"/>
      <c r="N687" s="100"/>
    </row>
    <row r="688" spans="2:14" s="98" customFormat="1">
      <c r="B688" s="99" t="s">
        <v>816</v>
      </c>
      <c r="C688" s="109">
        <v>46266</v>
      </c>
      <c r="D688" s="98" t="s">
        <v>740</v>
      </c>
      <c r="E688" s="103">
        <v>-75</v>
      </c>
      <c r="F688" s="98" t="s">
        <v>239</v>
      </c>
      <c r="I688" s="98" t="s">
        <v>737</v>
      </c>
      <c r="K688" s="100"/>
      <c r="L688" s="108"/>
      <c r="M688" s="100"/>
      <c r="N688" s="100"/>
    </row>
    <row r="689" spans="2:14" s="98" customFormat="1">
      <c r="B689" s="99" t="s">
        <v>816</v>
      </c>
      <c r="C689" s="109">
        <v>46266</v>
      </c>
      <c r="D689" s="98" t="s">
        <v>702</v>
      </c>
      <c r="E689" s="103">
        <v>14990</v>
      </c>
      <c r="F689" s="98" t="s">
        <v>240</v>
      </c>
      <c r="G689" s="98" t="s">
        <v>374</v>
      </c>
      <c r="H689" s="98" t="s">
        <v>516</v>
      </c>
      <c r="I689" s="98" t="s">
        <v>273</v>
      </c>
      <c r="K689" s="100"/>
      <c r="L689" s="108"/>
      <c r="M689" s="100"/>
      <c r="N689" s="100"/>
    </row>
    <row r="690" spans="2:14" s="98" customFormat="1">
      <c r="B690" s="99" t="s">
        <v>816</v>
      </c>
      <c r="C690" s="109">
        <v>46266</v>
      </c>
      <c r="D690" s="98" t="s">
        <v>740</v>
      </c>
      <c r="E690" s="103">
        <v>-4</v>
      </c>
      <c r="F690" s="98" t="s">
        <v>239</v>
      </c>
      <c r="I690" s="98" t="s">
        <v>737</v>
      </c>
      <c r="K690" s="100"/>
      <c r="L690" s="108"/>
      <c r="M690" s="100"/>
      <c r="N690" s="100"/>
    </row>
    <row r="691" spans="2:14" s="98" customFormat="1">
      <c r="B691" s="99" t="s">
        <v>816</v>
      </c>
      <c r="C691" s="109">
        <v>46266</v>
      </c>
      <c r="D691" s="98" t="s">
        <v>702</v>
      </c>
      <c r="E691" s="103">
        <v>700</v>
      </c>
      <c r="F691" s="98" t="s">
        <v>240</v>
      </c>
      <c r="G691" s="98" t="s">
        <v>374</v>
      </c>
      <c r="H691" s="98" t="s">
        <v>516</v>
      </c>
      <c r="I691" s="98" t="s">
        <v>247</v>
      </c>
      <c r="K691" s="100"/>
      <c r="L691" s="108"/>
      <c r="M691" s="100"/>
      <c r="N691" s="100"/>
    </row>
    <row r="692" spans="2:14" s="98" customFormat="1">
      <c r="B692" s="99" t="s">
        <v>816</v>
      </c>
      <c r="C692" s="109">
        <v>46266</v>
      </c>
      <c r="D692" s="98" t="s">
        <v>830</v>
      </c>
      <c r="E692" s="103">
        <v>490</v>
      </c>
      <c r="F692" s="98" t="s">
        <v>240</v>
      </c>
      <c r="G692" s="98" t="s">
        <v>374</v>
      </c>
      <c r="H692" s="98" t="s">
        <v>516</v>
      </c>
      <c r="I692" s="98" t="s">
        <v>268</v>
      </c>
      <c r="K692" s="100"/>
      <c r="L692" s="108"/>
      <c r="M692" s="100"/>
      <c r="N692" s="100"/>
    </row>
    <row r="693" spans="2:14" s="98" customFormat="1">
      <c r="B693" s="99" t="s">
        <v>816</v>
      </c>
      <c r="C693" s="109">
        <v>46266</v>
      </c>
      <c r="D693" s="98" t="s">
        <v>740</v>
      </c>
      <c r="E693" s="103">
        <v>-43</v>
      </c>
      <c r="F693" s="98" t="s">
        <v>239</v>
      </c>
      <c r="I693" s="98" t="s">
        <v>737</v>
      </c>
      <c r="K693" s="100"/>
      <c r="L693" s="108"/>
      <c r="M693" s="100"/>
      <c r="N693" s="100"/>
    </row>
    <row r="694" spans="2:14" s="98" customFormat="1">
      <c r="B694" s="99" t="s">
        <v>816</v>
      </c>
      <c r="C694" s="109">
        <v>46266</v>
      </c>
      <c r="D694" s="98" t="s">
        <v>796</v>
      </c>
      <c r="E694" s="103">
        <v>8540</v>
      </c>
      <c r="F694" s="98" t="s">
        <v>240</v>
      </c>
      <c r="G694" s="98" t="s">
        <v>374</v>
      </c>
      <c r="H694" s="98" t="s">
        <v>516</v>
      </c>
      <c r="I694" s="98" t="s">
        <v>245</v>
      </c>
      <c r="K694" s="100"/>
      <c r="L694" s="108"/>
      <c r="M694" s="100"/>
      <c r="N694" s="100"/>
    </row>
    <row r="695" spans="2:14" s="98" customFormat="1">
      <c r="B695" s="99" t="s">
        <v>816</v>
      </c>
      <c r="C695" s="109">
        <v>46266</v>
      </c>
      <c r="D695" s="98" t="s">
        <v>770</v>
      </c>
      <c r="E695" s="103">
        <v>-2000000</v>
      </c>
      <c r="F695" s="98" t="s">
        <v>239</v>
      </c>
      <c r="I695" s="98" t="s">
        <v>246</v>
      </c>
      <c r="K695" s="100"/>
      <c r="L695" s="108"/>
      <c r="M695" s="100"/>
      <c r="N695" s="100"/>
    </row>
    <row r="696" spans="2:14" s="98" customFormat="1">
      <c r="B696" s="99" t="s">
        <v>816</v>
      </c>
      <c r="C696" s="109">
        <v>46266</v>
      </c>
      <c r="D696" s="98" t="s">
        <v>727</v>
      </c>
      <c r="E696" s="103">
        <v>30000</v>
      </c>
      <c r="F696" s="98" t="s">
        <v>240</v>
      </c>
      <c r="G696" s="98" t="s">
        <v>374</v>
      </c>
      <c r="H696" s="98" t="s">
        <v>516</v>
      </c>
      <c r="I696" s="98" t="s">
        <v>273</v>
      </c>
      <c r="K696" s="100"/>
      <c r="L696" s="108"/>
      <c r="M696" s="100"/>
      <c r="N696" s="100"/>
    </row>
    <row r="697" spans="2:14" s="98" customFormat="1">
      <c r="B697" s="99" t="s">
        <v>816</v>
      </c>
      <c r="C697" s="109">
        <v>46266</v>
      </c>
      <c r="D697" s="98" t="s">
        <v>707</v>
      </c>
      <c r="E697" s="103">
        <v>35981</v>
      </c>
      <c r="F697" s="98" t="s">
        <v>240</v>
      </c>
      <c r="G697" s="98" t="s">
        <v>374</v>
      </c>
      <c r="H697" s="98" t="s">
        <v>513</v>
      </c>
      <c r="I697" s="98" t="s">
        <v>271</v>
      </c>
      <c r="K697" s="100"/>
      <c r="L697" s="108"/>
      <c r="M697" s="100"/>
      <c r="N697" s="100"/>
    </row>
    <row r="698" spans="2:14" s="98" customFormat="1">
      <c r="B698" s="99" t="s">
        <v>816</v>
      </c>
      <c r="C698" s="109">
        <v>46266</v>
      </c>
      <c r="D698" s="98" t="s">
        <v>706</v>
      </c>
      <c r="E698" s="103">
        <v>26831</v>
      </c>
      <c r="F698" s="98" t="s">
        <v>240</v>
      </c>
      <c r="G698" s="98" t="s">
        <v>374</v>
      </c>
      <c r="H698" s="98" t="s">
        <v>513</v>
      </c>
      <c r="I698" s="98" t="s">
        <v>271</v>
      </c>
      <c r="K698" s="100"/>
      <c r="L698" s="108"/>
      <c r="M698" s="100"/>
      <c r="N698" s="100"/>
    </row>
    <row r="699" spans="2:14" s="98" customFormat="1">
      <c r="B699" s="99" t="s">
        <v>816</v>
      </c>
      <c r="C699" s="109">
        <v>46266</v>
      </c>
      <c r="D699" s="98" t="s">
        <v>740</v>
      </c>
      <c r="E699" s="103">
        <v>-44</v>
      </c>
      <c r="F699" s="98" t="s">
        <v>239</v>
      </c>
      <c r="I699" s="98" t="s">
        <v>737</v>
      </c>
      <c r="K699" s="100"/>
      <c r="L699" s="108"/>
      <c r="M699" s="100"/>
      <c r="N699" s="100"/>
    </row>
    <row r="700" spans="2:14" s="98" customFormat="1">
      <c r="B700" s="99" t="s">
        <v>816</v>
      </c>
      <c r="C700" s="109">
        <v>46266</v>
      </c>
      <c r="D700" s="98" t="s">
        <v>773</v>
      </c>
      <c r="E700" s="103">
        <v>8890</v>
      </c>
      <c r="F700" s="98" t="s">
        <v>240</v>
      </c>
      <c r="G700" s="98" t="s">
        <v>374</v>
      </c>
      <c r="H700" s="98" t="s">
        <v>516</v>
      </c>
      <c r="I700" s="98" t="s">
        <v>247</v>
      </c>
      <c r="K700" s="100"/>
      <c r="L700" s="108"/>
      <c r="M700" s="100"/>
      <c r="N700" s="100"/>
    </row>
    <row r="701" spans="2:14" s="98" customFormat="1">
      <c r="B701" s="99" t="s">
        <v>816</v>
      </c>
      <c r="C701" s="109">
        <v>46266</v>
      </c>
      <c r="D701" s="98" t="s">
        <v>740</v>
      </c>
      <c r="E701" s="103">
        <v>-29</v>
      </c>
      <c r="F701" s="98" t="s">
        <v>239</v>
      </c>
      <c r="I701" s="98" t="s">
        <v>737</v>
      </c>
      <c r="K701" s="100"/>
      <c r="L701" s="108"/>
      <c r="M701" s="100"/>
      <c r="N701" s="100"/>
    </row>
    <row r="702" spans="2:14" s="98" customFormat="1">
      <c r="B702" s="99" t="s">
        <v>816</v>
      </c>
      <c r="C702" s="109">
        <v>46266</v>
      </c>
      <c r="D702" s="98" t="s">
        <v>783</v>
      </c>
      <c r="E702" s="103">
        <v>5810</v>
      </c>
      <c r="F702" s="98" t="s">
        <v>240</v>
      </c>
      <c r="G702" s="98" t="s">
        <v>374</v>
      </c>
      <c r="H702" s="98" t="s">
        <v>516</v>
      </c>
      <c r="I702" s="98" t="s">
        <v>247</v>
      </c>
      <c r="K702" s="100"/>
      <c r="L702" s="108"/>
      <c r="M702" s="100"/>
      <c r="N702" s="100"/>
    </row>
    <row r="703" spans="2:14" s="98" customFormat="1">
      <c r="B703" s="99" t="s">
        <v>816</v>
      </c>
      <c r="C703" s="109">
        <v>46266</v>
      </c>
      <c r="D703" s="98" t="s">
        <v>740</v>
      </c>
      <c r="E703" s="103">
        <v>-15</v>
      </c>
      <c r="F703" s="98" t="s">
        <v>239</v>
      </c>
      <c r="I703" s="98" t="s">
        <v>737</v>
      </c>
      <c r="K703" s="100"/>
      <c r="L703" s="108"/>
      <c r="M703" s="100"/>
      <c r="N703" s="100"/>
    </row>
    <row r="704" spans="2:14" s="98" customFormat="1">
      <c r="B704" s="99" t="s">
        <v>816</v>
      </c>
      <c r="C704" s="109">
        <v>46266</v>
      </c>
      <c r="D704" s="98" t="s">
        <v>604</v>
      </c>
      <c r="E704" s="103">
        <v>3000</v>
      </c>
      <c r="F704" s="98" t="s">
        <v>240</v>
      </c>
      <c r="G704" s="98" t="s">
        <v>374</v>
      </c>
      <c r="H704" s="98" t="s">
        <v>516</v>
      </c>
      <c r="I704" s="98" t="s">
        <v>247</v>
      </c>
      <c r="K704" s="100"/>
      <c r="L704" s="108"/>
      <c r="M704" s="100"/>
      <c r="N704" s="100"/>
    </row>
    <row r="705" spans="2:14" s="98" customFormat="1">
      <c r="B705" s="99" t="s">
        <v>816</v>
      </c>
      <c r="C705" s="109">
        <v>46266</v>
      </c>
      <c r="D705" s="98" t="s">
        <v>770</v>
      </c>
      <c r="E705" s="103">
        <v>-1106315</v>
      </c>
      <c r="F705" s="98" t="s">
        <v>239</v>
      </c>
      <c r="I705" s="98" t="s">
        <v>246</v>
      </c>
      <c r="K705" s="100"/>
      <c r="L705" s="108"/>
      <c r="M705" s="100"/>
      <c r="N705" s="100"/>
    </row>
    <row r="706" spans="2:14" s="98" customFormat="1">
      <c r="B706" s="99" t="s">
        <v>816</v>
      </c>
      <c r="C706" s="109">
        <v>46266</v>
      </c>
      <c r="D706" s="98" t="s">
        <v>740</v>
      </c>
      <c r="E706" s="103">
        <v>-22</v>
      </c>
      <c r="F706" s="98" t="s">
        <v>239</v>
      </c>
      <c r="I706" s="98" t="s">
        <v>737</v>
      </c>
      <c r="K706" s="100"/>
      <c r="L706" s="108"/>
      <c r="M706" s="100"/>
      <c r="N706" s="100"/>
    </row>
    <row r="707" spans="2:14" s="98" customFormat="1">
      <c r="B707" s="99" t="s">
        <v>816</v>
      </c>
      <c r="C707" s="109">
        <v>46266</v>
      </c>
      <c r="D707" s="98" t="s">
        <v>745</v>
      </c>
      <c r="E707" s="103">
        <v>4459</v>
      </c>
      <c r="F707" s="98" t="s">
        <v>240</v>
      </c>
      <c r="G707" s="98" t="s">
        <v>374</v>
      </c>
      <c r="H707" s="98" t="s">
        <v>513</v>
      </c>
      <c r="I707" s="98" t="s">
        <v>242</v>
      </c>
      <c r="K707" s="100"/>
      <c r="L707" s="108"/>
      <c r="M707" s="100"/>
      <c r="N707" s="100"/>
    </row>
    <row r="708" spans="2:14" s="98" customFormat="1">
      <c r="B708" s="99" t="s">
        <v>816</v>
      </c>
      <c r="C708" s="109">
        <v>46266</v>
      </c>
      <c r="D708" s="98" t="s">
        <v>814</v>
      </c>
      <c r="E708" s="103">
        <v>4690</v>
      </c>
      <c r="F708" s="98" t="s">
        <v>240</v>
      </c>
      <c r="G708" s="98" t="s">
        <v>374</v>
      </c>
      <c r="H708" s="98" t="s">
        <v>513</v>
      </c>
      <c r="I708" s="98" t="s">
        <v>544</v>
      </c>
      <c r="K708" s="100"/>
      <c r="L708" s="108"/>
      <c r="M708" s="100"/>
      <c r="N708" s="100"/>
    </row>
    <row r="709" spans="2:14" s="98" customFormat="1">
      <c r="B709" s="99" t="s">
        <v>816</v>
      </c>
      <c r="C709" s="109">
        <v>46266</v>
      </c>
      <c r="D709" s="98" t="s">
        <v>815</v>
      </c>
      <c r="E709" s="103">
        <v>1850</v>
      </c>
      <c r="F709" s="98" t="s">
        <v>240</v>
      </c>
      <c r="G709" s="98" t="s">
        <v>374</v>
      </c>
      <c r="H709" s="98" t="s">
        <v>513</v>
      </c>
      <c r="I709" s="98" t="s">
        <v>544</v>
      </c>
      <c r="K709" s="100"/>
      <c r="L709" s="108"/>
      <c r="M709" s="100"/>
      <c r="N709" s="100"/>
    </row>
    <row r="710" spans="2:14" s="98" customFormat="1">
      <c r="B710" s="99" t="s">
        <v>735</v>
      </c>
      <c r="C710" s="109">
        <v>46265</v>
      </c>
      <c r="D710" s="98" t="s">
        <v>812</v>
      </c>
      <c r="E710" s="103">
        <v>5000</v>
      </c>
      <c r="F710" s="98" t="s">
        <v>240</v>
      </c>
      <c r="G710" s="98" t="s">
        <v>374</v>
      </c>
      <c r="H710" s="98" t="s">
        <v>516</v>
      </c>
      <c r="I710" s="98" t="s">
        <v>251</v>
      </c>
      <c r="K710" s="100"/>
      <c r="L710" s="108"/>
      <c r="M710" s="100"/>
      <c r="N710" s="100"/>
    </row>
    <row r="711" spans="2:14" s="98" customFormat="1">
      <c r="B711" s="99" t="s">
        <v>735</v>
      </c>
      <c r="C711" s="109">
        <v>46265</v>
      </c>
      <c r="D711" s="98" t="s">
        <v>740</v>
      </c>
      <c r="E711" s="103">
        <v>-10</v>
      </c>
      <c r="F711" s="98" t="s">
        <v>239</v>
      </c>
      <c r="I711" s="98" t="s">
        <v>737</v>
      </c>
      <c r="K711" s="100"/>
      <c r="L711" s="108"/>
      <c r="M711" s="100"/>
      <c r="N711" s="100"/>
    </row>
    <row r="712" spans="2:14" s="98" customFormat="1">
      <c r="B712" s="99" t="s">
        <v>735</v>
      </c>
      <c r="C712" s="109">
        <v>46265</v>
      </c>
      <c r="D712" s="98" t="s">
        <v>625</v>
      </c>
      <c r="E712" s="103">
        <v>2000</v>
      </c>
      <c r="F712" s="98" t="s">
        <v>240</v>
      </c>
      <c r="G712" s="98" t="s">
        <v>373</v>
      </c>
      <c r="H712" s="98" t="s">
        <v>516</v>
      </c>
      <c r="I712" s="98" t="s">
        <v>251</v>
      </c>
      <c r="K712" s="100"/>
      <c r="L712" s="108"/>
      <c r="M712" s="100"/>
      <c r="N712" s="100"/>
    </row>
    <row r="713" spans="2:14" s="98" customFormat="1">
      <c r="B713" s="99" t="s">
        <v>735</v>
      </c>
      <c r="C713" s="109">
        <v>46265</v>
      </c>
      <c r="D713" s="98" t="s">
        <v>740</v>
      </c>
      <c r="E713" s="103">
        <v>-22</v>
      </c>
      <c r="F713" s="98" t="s">
        <v>239</v>
      </c>
      <c r="I713" s="98" t="s">
        <v>737</v>
      </c>
      <c r="K713" s="100"/>
      <c r="L713" s="108"/>
      <c r="M713" s="100"/>
      <c r="N713" s="100"/>
    </row>
    <row r="714" spans="2:14" s="98" customFormat="1">
      <c r="B714" s="99" t="s">
        <v>735</v>
      </c>
      <c r="C714" s="109">
        <v>46265</v>
      </c>
      <c r="D714" s="98" t="s">
        <v>745</v>
      </c>
      <c r="E714" s="103">
        <v>4459</v>
      </c>
      <c r="F714" s="98" t="s">
        <v>240</v>
      </c>
      <c r="G714" s="98" t="s">
        <v>374</v>
      </c>
      <c r="H714" s="98" t="s">
        <v>513</v>
      </c>
      <c r="I714" s="98" t="s">
        <v>242</v>
      </c>
      <c r="K714" s="100"/>
      <c r="L714" s="108"/>
      <c r="M714" s="100"/>
      <c r="N714" s="100"/>
    </row>
    <row r="715" spans="2:14" s="98" customFormat="1">
      <c r="B715" s="99" t="s">
        <v>735</v>
      </c>
      <c r="C715" s="109">
        <v>46265</v>
      </c>
      <c r="D715" s="98" t="s">
        <v>812</v>
      </c>
      <c r="E715" s="103">
        <v>1600</v>
      </c>
      <c r="F715" s="98" t="s">
        <v>240</v>
      </c>
      <c r="G715" s="98" t="s">
        <v>374</v>
      </c>
      <c r="H715" s="98" t="s">
        <v>516</v>
      </c>
      <c r="I715" s="98" t="s">
        <v>251</v>
      </c>
      <c r="K715" s="100"/>
      <c r="L715" s="108"/>
      <c r="M715" s="100"/>
      <c r="N715" s="100"/>
    </row>
    <row r="716" spans="2:14" s="98" customFormat="1">
      <c r="B716" s="99" t="s">
        <v>735</v>
      </c>
      <c r="C716" s="109">
        <v>46265</v>
      </c>
      <c r="D716" s="98" t="s">
        <v>770</v>
      </c>
      <c r="E716" s="103">
        <v>-7400</v>
      </c>
      <c r="F716" s="98" t="s">
        <v>239</v>
      </c>
      <c r="I716" s="98" t="s">
        <v>738</v>
      </c>
      <c r="K716" s="100"/>
      <c r="L716" s="108"/>
      <c r="M716" s="100"/>
      <c r="N716" s="100"/>
    </row>
    <row r="717" spans="2:14" s="98" customFormat="1">
      <c r="B717" s="99" t="s">
        <v>735</v>
      </c>
      <c r="C717" s="109">
        <v>46264</v>
      </c>
      <c r="D717" s="98" t="s">
        <v>811</v>
      </c>
      <c r="E717" s="103">
        <v>35000</v>
      </c>
      <c r="F717" s="98" t="s">
        <v>240</v>
      </c>
      <c r="G717" s="98" t="s">
        <v>591</v>
      </c>
      <c r="H717" s="98" t="s">
        <v>516</v>
      </c>
      <c r="I717" s="98" t="s">
        <v>270</v>
      </c>
      <c r="K717" s="100"/>
      <c r="L717" s="108"/>
      <c r="M717" s="100"/>
      <c r="N717" s="100"/>
    </row>
    <row r="718" spans="2:14" s="98" customFormat="1">
      <c r="B718" s="99" t="s">
        <v>735</v>
      </c>
      <c r="C718" s="109">
        <v>46264</v>
      </c>
      <c r="D718" s="98" t="s">
        <v>813</v>
      </c>
      <c r="E718" s="103">
        <v>-35000</v>
      </c>
      <c r="F718" s="98" t="s">
        <v>239</v>
      </c>
      <c r="I718" s="98" t="s">
        <v>738</v>
      </c>
      <c r="K718" s="100"/>
      <c r="L718" s="108"/>
      <c r="M718" s="100"/>
      <c r="N718" s="100"/>
    </row>
    <row r="719" spans="2:14" s="98" customFormat="1">
      <c r="B719" s="99" t="s">
        <v>735</v>
      </c>
      <c r="C719" s="109">
        <v>46264</v>
      </c>
      <c r="D719" s="98" t="s">
        <v>810</v>
      </c>
      <c r="E719" s="103">
        <v>10000</v>
      </c>
      <c r="F719" s="98" t="s">
        <v>240</v>
      </c>
      <c r="G719" s="98" t="s">
        <v>591</v>
      </c>
      <c r="H719" s="98" t="s">
        <v>516</v>
      </c>
      <c r="I719" s="98" t="s">
        <v>245</v>
      </c>
      <c r="K719" s="100"/>
      <c r="L719" s="108"/>
      <c r="M719" s="100"/>
      <c r="N719" s="100"/>
    </row>
    <row r="720" spans="2:14" s="98" customFormat="1">
      <c r="B720" s="99" t="s">
        <v>735</v>
      </c>
      <c r="C720" s="109">
        <v>46264</v>
      </c>
      <c r="D720" s="98" t="s">
        <v>813</v>
      </c>
      <c r="E720" s="103">
        <v>-10000</v>
      </c>
      <c r="F720" s="98" t="s">
        <v>239</v>
      </c>
      <c r="I720" s="98" t="s">
        <v>738</v>
      </c>
      <c r="K720" s="100"/>
      <c r="L720" s="108"/>
      <c r="M720" s="100"/>
      <c r="N720" s="100"/>
    </row>
    <row r="721" spans="2:14" s="98" customFormat="1">
      <c r="B721" s="99" t="s">
        <v>735</v>
      </c>
      <c r="C721" s="109">
        <v>46264</v>
      </c>
      <c r="D721" s="98" t="s">
        <v>784</v>
      </c>
      <c r="E721" s="103">
        <v>70000</v>
      </c>
      <c r="F721" s="98" t="s">
        <v>240</v>
      </c>
      <c r="G721" s="98" t="s">
        <v>591</v>
      </c>
      <c r="H721" s="98" t="s">
        <v>516</v>
      </c>
      <c r="I721" s="98" t="s">
        <v>245</v>
      </c>
      <c r="K721" s="100"/>
      <c r="L721" s="108"/>
      <c r="M721" s="100"/>
      <c r="N721" s="100"/>
    </row>
    <row r="722" spans="2:14" s="98" customFormat="1">
      <c r="B722" s="99" t="s">
        <v>735</v>
      </c>
      <c r="C722" s="109">
        <v>46264</v>
      </c>
      <c r="D722" s="98" t="s">
        <v>770</v>
      </c>
      <c r="E722" s="103">
        <v>-7298</v>
      </c>
      <c r="F722" s="98" t="s">
        <v>239</v>
      </c>
      <c r="I722" s="98" t="s">
        <v>738</v>
      </c>
      <c r="K722" s="100"/>
      <c r="L722" s="108"/>
      <c r="M722" s="100"/>
      <c r="N722" s="100"/>
    </row>
    <row r="723" spans="2:14" s="98" customFormat="1">
      <c r="B723" s="99" t="s">
        <v>735</v>
      </c>
      <c r="C723" s="109">
        <v>46264</v>
      </c>
      <c r="D723" s="98" t="s">
        <v>297</v>
      </c>
      <c r="E723" s="103">
        <v>3190</v>
      </c>
      <c r="F723" s="98" t="s">
        <v>240</v>
      </c>
      <c r="G723" s="98" t="s">
        <v>374</v>
      </c>
      <c r="H723" s="98" t="s">
        <v>516</v>
      </c>
      <c r="I723" s="98" t="s">
        <v>247</v>
      </c>
      <c r="K723" s="100"/>
      <c r="L723" s="108"/>
      <c r="M723" s="100"/>
      <c r="N723" s="100"/>
    </row>
    <row r="724" spans="2:14" s="98" customFormat="1">
      <c r="B724" s="99" t="s">
        <v>735</v>
      </c>
      <c r="C724" s="109">
        <v>46264</v>
      </c>
      <c r="D724" s="98" t="s">
        <v>813</v>
      </c>
      <c r="E724" s="103">
        <v>-70000</v>
      </c>
      <c r="F724" s="98" t="s">
        <v>239</v>
      </c>
      <c r="I724" s="98" t="s">
        <v>738</v>
      </c>
      <c r="K724" s="100"/>
      <c r="L724" s="108"/>
      <c r="M724" s="100"/>
      <c r="N724" s="100"/>
    </row>
    <row r="725" spans="2:14" s="98" customFormat="1">
      <c r="B725" s="99" t="s">
        <v>735</v>
      </c>
      <c r="C725" s="109">
        <v>46263</v>
      </c>
      <c r="D725" s="98" t="s">
        <v>740</v>
      </c>
      <c r="E725" s="103">
        <v>-4</v>
      </c>
      <c r="F725" s="98" t="s">
        <v>239</v>
      </c>
      <c r="I725" s="98" t="s">
        <v>737</v>
      </c>
      <c r="K725" s="100"/>
      <c r="L725" s="108"/>
      <c r="M725" s="100"/>
      <c r="N725" s="100"/>
    </row>
    <row r="726" spans="2:14" s="98" customFormat="1">
      <c r="B726" s="99" t="s">
        <v>735</v>
      </c>
      <c r="C726" s="109">
        <v>46263</v>
      </c>
      <c r="D726" s="98" t="s">
        <v>702</v>
      </c>
      <c r="E726" s="103">
        <v>700</v>
      </c>
      <c r="F726" s="98" t="s">
        <v>240</v>
      </c>
      <c r="G726" s="98" t="s">
        <v>374</v>
      </c>
      <c r="H726" s="98" t="s">
        <v>516</v>
      </c>
      <c r="I726" s="98" t="s">
        <v>247</v>
      </c>
      <c r="K726" s="100"/>
      <c r="L726" s="108"/>
      <c r="M726" s="100"/>
      <c r="N726" s="100"/>
    </row>
    <row r="727" spans="2:14" s="98" customFormat="1">
      <c r="B727" s="99" t="s">
        <v>735</v>
      </c>
      <c r="C727" s="109">
        <v>46263</v>
      </c>
      <c r="D727" s="98" t="s">
        <v>297</v>
      </c>
      <c r="E727" s="103">
        <v>13953</v>
      </c>
      <c r="F727" s="98" t="s">
        <v>240</v>
      </c>
      <c r="G727" s="98" t="s">
        <v>374</v>
      </c>
      <c r="H727" s="98" t="s">
        <v>516</v>
      </c>
      <c r="I727" s="98" t="s">
        <v>247</v>
      </c>
      <c r="K727" s="100"/>
      <c r="L727" s="108"/>
      <c r="M727" s="100"/>
      <c r="N727" s="100"/>
    </row>
    <row r="728" spans="2:14" s="98" customFormat="1">
      <c r="B728" s="99" t="s">
        <v>735</v>
      </c>
      <c r="C728" s="109">
        <v>46262</v>
      </c>
      <c r="D728" s="98" t="s">
        <v>784</v>
      </c>
      <c r="E728" s="103">
        <v>25000</v>
      </c>
      <c r="F728" s="98" t="s">
        <v>240</v>
      </c>
      <c r="G728" s="98" t="s">
        <v>591</v>
      </c>
      <c r="H728" s="98" t="s">
        <v>516</v>
      </c>
      <c r="I728" s="98" t="s">
        <v>245</v>
      </c>
      <c r="K728" s="100"/>
      <c r="L728" s="108"/>
      <c r="M728" s="100"/>
      <c r="N728" s="100"/>
    </row>
    <row r="729" spans="2:14" s="98" customFormat="1">
      <c r="B729" s="99" t="s">
        <v>735</v>
      </c>
      <c r="C729" s="109">
        <v>46262</v>
      </c>
      <c r="D729" s="98" t="s">
        <v>770</v>
      </c>
      <c r="E729" s="103">
        <v>-12800</v>
      </c>
      <c r="F729" s="98" t="s">
        <v>239</v>
      </c>
      <c r="I729" s="98" t="s">
        <v>738</v>
      </c>
      <c r="K729" s="100"/>
      <c r="L729" s="108"/>
      <c r="M729" s="100"/>
      <c r="N729" s="100"/>
    </row>
    <row r="730" spans="2:14" s="98" customFormat="1">
      <c r="B730" s="99" t="s">
        <v>735</v>
      </c>
      <c r="C730" s="109">
        <v>46262</v>
      </c>
      <c r="D730" s="98" t="s">
        <v>744</v>
      </c>
      <c r="E730" s="103">
        <v>-1</v>
      </c>
      <c r="F730" s="98" t="s">
        <v>239</v>
      </c>
      <c r="I730" s="98" t="s">
        <v>737</v>
      </c>
      <c r="K730" s="100"/>
      <c r="L730" s="108"/>
      <c r="M730" s="100"/>
      <c r="N730" s="100"/>
    </row>
    <row r="731" spans="2:14" s="98" customFormat="1">
      <c r="B731" s="99" t="s">
        <v>735</v>
      </c>
      <c r="C731" s="109">
        <v>46262</v>
      </c>
      <c r="D731" s="98" t="s">
        <v>740</v>
      </c>
      <c r="E731" s="103">
        <v>-25</v>
      </c>
      <c r="F731" s="98" t="s">
        <v>239</v>
      </c>
      <c r="I731" s="98" t="s">
        <v>737</v>
      </c>
      <c r="K731" s="100"/>
      <c r="L731" s="108"/>
      <c r="M731" s="100"/>
      <c r="N731" s="100"/>
    </row>
    <row r="732" spans="2:14" s="98" customFormat="1">
      <c r="B732" s="99" t="s">
        <v>735</v>
      </c>
      <c r="C732" s="109">
        <v>46262</v>
      </c>
      <c r="D732" s="98" t="s">
        <v>783</v>
      </c>
      <c r="E732" s="103">
        <v>4950</v>
      </c>
      <c r="F732" s="98" t="s">
        <v>240</v>
      </c>
      <c r="G732" s="98" t="s">
        <v>374</v>
      </c>
      <c r="H732" s="98" t="s">
        <v>516</v>
      </c>
      <c r="I732" s="98" t="s">
        <v>247</v>
      </c>
      <c r="K732" s="100"/>
      <c r="L732" s="108"/>
      <c r="M732" s="100"/>
      <c r="N732" s="100"/>
    </row>
    <row r="733" spans="2:14" s="98" customFormat="1">
      <c r="B733" s="99" t="s">
        <v>735</v>
      </c>
      <c r="C733" s="109">
        <v>46262</v>
      </c>
      <c r="D733" s="98" t="s">
        <v>740</v>
      </c>
      <c r="E733" s="103">
        <v>-22</v>
      </c>
      <c r="F733" s="98" t="s">
        <v>239</v>
      </c>
      <c r="I733" s="98" t="s">
        <v>737</v>
      </c>
      <c r="K733" s="100"/>
      <c r="L733" s="108"/>
      <c r="M733" s="100"/>
      <c r="N733" s="100"/>
    </row>
    <row r="734" spans="2:14" s="98" customFormat="1">
      <c r="B734" s="99" t="s">
        <v>735</v>
      </c>
      <c r="C734" s="109">
        <v>46262</v>
      </c>
      <c r="D734" s="98" t="s">
        <v>745</v>
      </c>
      <c r="E734" s="103">
        <v>4459</v>
      </c>
      <c r="F734" s="98" t="s">
        <v>240</v>
      </c>
      <c r="G734" s="98" t="s">
        <v>374</v>
      </c>
      <c r="H734" s="98" t="s">
        <v>513</v>
      </c>
      <c r="I734" s="98" t="s">
        <v>242</v>
      </c>
      <c r="K734" s="100"/>
      <c r="L734" s="108"/>
      <c r="M734" s="100"/>
      <c r="N734" s="100"/>
    </row>
    <row r="735" spans="2:14" s="98" customFormat="1">
      <c r="B735" s="99" t="s">
        <v>735</v>
      </c>
      <c r="C735" s="109">
        <v>46262</v>
      </c>
      <c r="D735" s="98" t="s">
        <v>770</v>
      </c>
      <c r="E735" s="103">
        <v>-12300</v>
      </c>
      <c r="F735" s="98" t="s">
        <v>239</v>
      </c>
      <c r="I735" s="98" t="s">
        <v>738</v>
      </c>
      <c r="K735" s="100"/>
      <c r="L735" s="108"/>
      <c r="M735" s="100"/>
      <c r="N735" s="100"/>
    </row>
    <row r="736" spans="2:14" s="98" customFormat="1">
      <c r="B736" s="99" t="s">
        <v>735</v>
      </c>
      <c r="C736" s="109">
        <v>46262</v>
      </c>
      <c r="D736" s="98" t="s">
        <v>813</v>
      </c>
      <c r="E736" s="103">
        <v>-25000</v>
      </c>
      <c r="F736" s="98" t="s">
        <v>239</v>
      </c>
      <c r="I736" s="98" t="s">
        <v>738</v>
      </c>
      <c r="K736" s="100"/>
      <c r="L736" s="108"/>
      <c r="M736" s="100"/>
      <c r="N736" s="100"/>
    </row>
    <row r="737" spans="2:14" s="98" customFormat="1">
      <c r="B737" s="99" t="s">
        <v>735</v>
      </c>
      <c r="C737" s="109">
        <v>46261</v>
      </c>
      <c r="D737" s="98" t="s">
        <v>801</v>
      </c>
      <c r="E737" s="103">
        <v>15141</v>
      </c>
      <c r="F737" s="98" t="s">
        <v>240</v>
      </c>
      <c r="G737" s="98" t="s">
        <v>374</v>
      </c>
      <c r="H737" s="98" t="s">
        <v>516</v>
      </c>
      <c r="I737" s="98" t="s">
        <v>245</v>
      </c>
      <c r="K737" s="100"/>
      <c r="L737" s="108"/>
      <c r="M737" s="100"/>
      <c r="N737" s="100"/>
    </row>
    <row r="738" spans="2:14" s="98" customFormat="1">
      <c r="B738" s="99" t="s">
        <v>735</v>
      </c>
      <c r="C738" s="109">
        <v>46261</v>
      </c>
      <c r="D738" s="98" t="s">
        <v>770</v>
      </c>
      <c r="E738" s="103">
        <v>-8100</v>
      </c>
      <c r="F738" s="98" t="s">
        <v>239</v>
      </c>
      <c r="I738" s="98" t="s">
        <v>738</v>
      </c>
      <c r="K738" s="100"/>
      <c r="L738" s="108"/>
      <c r="M738" s="100"/>
      <c r="N738" s="100"/>
    </row>
    <row r="739" spans="2:14" s="98" customFormat="1">
      <c r="B739" s="99" t="s">
        <v>735</v>
      </c>
      <c r="C739" s="109">
        <v>46261</v>
      </c>
      <c r="D739" s="98" t="s">
        <v>744</v>
      </c>
      <c r="E739" s="103">
        <v>-2</v>
      </c>
      <c r="F739" s="98" t="s">
        <v>239</v>
      </c>
      <c r="I739" s="98" t="s">
        <v>737</v>
      </c>
      <c r="K739" s="100"/>
      <c r="L739" s="108"/>
      <c r="M739" s="100"/>
      <c r="N739" s="100"/>
    </row>
    <row r="740" spans="2:14" s="98" customFormat="1">
      <c r="B740" s="99" t="s">
        <v>735</v>
      </c>
      <c r="C740" s="109">
        <v>46261</v>
      </c>
      <c r="D740" s="98" t="s">
        <v>745</v>
      </c>
      <c r="E740" s="103">
        <v>4459</v>
      </c>
      <c r="F740" s="98" t="s">
        <v>240</v>
      </c>
      <c r="G740" s="98" t="s">
        <v>374</v>
      </c>
      <c r="H740" s="98" t="s">
        <v>513</v>
      </c>
      <c r="I740" s="98" t="s">
        <v>242</v>
      </c>
      <c r="K740" s="100"/>
      <c r="L740" s="108"/>
      <c r="M740" s="100"/>
      <c r="N740" s="100"/>
    </row>
    <row r="741" spans="2:14" s="98" customFormat="1">
      <c r="B741" s="99" t="s">
        <v>735</v>
      </c>
      <c r="C741" s="109">
        <v>46261</v>
      </c>
      <c r="D741" s="98" t="s">
        <v>740</v>
      </c>
      <c r="E741" s="103">
        <v>-13</v>
      </c>
      <c r="F741" s="98" t="s">
        <v>239</v>
      </c>
      <c r="I741" s="98" t="s">
        <v>737</v>
      </c>
      <c r="K741" s="100"/>
      <c r="L741" s="108"/>
      <c r="M741" s="100"/>
      <c r="N741" s="100"/>
    </row>
    <row r="742" spans="2:14" s="98" customFormat="1">
      <c r="B742" s="99" t="s">
        <v>735</v>
      </c>
      <c r="C742" s="109">
        <v>46261</v>
      </c>
      <c r="D742" s="98" t="s">
        <v>772</v>
      </c>
      <c r="E742" s="103">
        <v>2500</v>
      </c>
      <c r="F742" s="98" t="s">
        <v>240</v>
      </c>
      <c r="G742" s="98" t="s">
        <v>374</v>
      </c>
      <c r="H742" s="98" t="s">
        <v>516</v>
      </c>
      <c r="I742" s="98" t="s">
        <v>247</v>
      </c>
      <c r="K742" s="100"/>
      <c r="L742" s="108"/>
      <c r="M742" s="100"/>
      <c r="N742" s="100"/>
    </row>
    <row r="743" spans="2:14" s="98" customFormat="1">
      <c r="B743" s="99" t="s">
        <v>735</v>
      </c>
      <c r="C743" s="109">
        <v>46261</v>
      </c>
      <c r="D743" s="98" t="s">
        <v>740</v>
      </c>
      <c r="E743" s="103">
        <v>-4</v>
      </c>
      <c r="F743" s="98" t="s">
        <v>239</v>
      </c>
      <c r="I743" s="98" t="s">
        <v>737</v>
      </c>
      <c r="K743" s="100"/>
      <c r="L743" s="108"/>
      <c r="M743" s="100"/>
      <c r="N743" s="100"/>
    </row>
    <row r="744" spans="2:14" s="98" customFormat="1">
      <c r="B744" s="99" t="s">
        <v>735</v>
      </c>
      <c r="C744" s="109">
        <v>46261</v>
      </c>
      <c r="D744" s="98" t="s">
        <v>702</v>
      </c>
      <c r="E744" s="103">
        <v>700</v>
      </c>
      <c r="F744" s="98" t="s">
        <v>240</v>
      </c>
      <c r="G744" s="98" t="s">
        <v>374</v>
      </c>
      <c r="H744" s="98" t="s">
        <v>516</v>
      </c>
      <c r="I744" s="98" t="s">
        <v>247</v>
      </c>
      <c r="K744" s="100"/>
      <c r="L744" s="108"/>
      <c r="M744" s="100"/>
      <c r="N744" s="100"/>
    </row>
    <row r="745" spans="2:14" s="98" customFormat="1">
      <c r="B745" s="99" t="s">
        <v>735</v>
      </c>
      <c r="C745" s="109">
        <v>46261</v>
      </c>
      <c r="D745" s="98" t="s">
        <v>709</v>
      </c>
      <c r="E745" s="103">
        <v>2000</v>
      </c>
      <c r="F745" s="98" t="s">
        <v>240</v>
      </c>
      <c r="G745" s="98" t="s">
        <v>374</v>
      </c>
      <c r="H745" s="98" t="s">
        <v>516</v>
      </c>
      <c r="I745" s="98" t="s">
        <v>247</v>
      </c>
      <c r="K745" s="100"/>
      <c r="L745" s="108"/>
      <c r="M745" s="100"/>
      <c r="N745" s="100"/>
    </row>
    <row r="746" spans="2:14" s="98" customFormat="1">
      <c r="B746" s="99" t="s">
        <v>735</v>
      </c>
      <c r="C746" s="109">
        <v>46261</v>
      </c>
      <c r="D746" s="98" t="s">
        <v>770</v>
      </c>
      <c r="E746" s="103">
        <v>-13700</v>
      </c>
      <c r="F746" s="98" t="s">
        <v>239</v>
      </c>
      <c r="I746" s="98" t="s">
        <v>738</v>
      </c>
      <c r="K746" s="100"/>
      <c r="L746" s="108"/>
      <c r="M746" s="100"/>
      <c r="N746" s="100"/>
    </row>
    <row r="747" spans="2:14" s="98" customFormat="1">
      <c r="B747" s="99" t="s">
        <v>735</v>
      </c>
      <c r="C747" s="109">
        <v>46260</v>
      </c>
      <c r="D747" s="98" t="s">
        <v>744</v>
      </c>
      <c r="E747" s="103">
        <v>-2</v>
      </c>
      <c r="F747" s="98" t="s">
        <v>239</v>
      </c>
      <c r="I747" s="98" t="s">
        <v>737</v>
      </c>
      <c r="K747" s="100"/>
      <c r="L747" s="108"/>
      <c r="M747" s="100"/>
      <c r="N747" s="100"/>
    </row>
    <row r="748" spans="2:14" s="98" customFormat="1">
      <c r="B748" s="99" t="s">
        <v>735</v>
      </c>
      <c r="C748" s="109">
        <v>46260</v>
      </c>
      <c r="D748" s="98" t="s">
        <v>705</v>
      </c>
      <c r="E748" s="103">
        <v>63661</v>
      </c>
      <c r="F748" s="98" t="s">
        <v>240</v>
      </c>
      <c r="G748" s="98" t="s">
        <v>374</v>
      </c>
      <c r="H748" s="98" t="s">
        <v>513</v>
      </c>
      <c r="I748" s="98" t="s">
        <v>271</v>
      </c>
      <c r="K748" s="100"/>
      <c r="L748" s="108"/>
      <c r="M748" s="100"/>
      <c r="N748" s="100"/>
    </row>
    <row r="749" spans="2:14" s="98" customFormat="1">
      <c r="B749" s="99" t="s">
        <v>735</v>
      </c>
      <c r="C749" s="109">
        <v>46260</v>
      </c>
      <c r="D749" s="98" t="s">
        <v>740</v>
      </c>
      <c r="E749" s="103">
        <v>-27</v>
      </c>
      <c r="F749" s="98" t="s">
        <v>239</v>
      </c>
      <c r="I749" s="98" t="s">
        <v>737</v>
      </c>
      <c r="K749" s="100"/>
      <c r="L749" s="108"/>
      <c r="M749" s="100"/>
      <c r="N749" s="100"/>
    </row>
    <row r="750" spans="2:14" s="98" customFormat="1">
      <c r="B750" s="99" t="s">
        <v>735</v>
      </c>
      <c r="C750" s="109">
        <v>46260</v>
      </c>
      <c r="D750" s="98" t="s">
        <v>783</v>
      </c>
      <c r="E750" s="103">
        <v>5300</v>
      </c>
      <c r="F750" s="98" t="s">
        <v>240</v>
      </c>
      <c r="G750" s="98" t="s">
        <v>374</v>
      </c>
      <c r="H750" s="98" t="s">
        <v>516</v>
      </c>
      <c r="I750" s="98" t="s">
        <v>247</v>
      </c>
      <c r="K750" s="100"/>
      <c r="L750" s="108"/>
      <c r="M750" s="100"/>
      <c r="N750" s="100"/>
    </row>
    <row r="751" spans="2:14" s="98" customFormat="1">
      <c r="B751" s="99" t="s">
        <v>735</v>
      </c>
      <c r="C751" s="109">
        <v>46260</v>
      </c>
      <c r="D751" s="98" t="s">
        <v>740</v>
      </c>
      <c r="E751" s="103">
        <v>-22</v>
      </c>
      <c r="F751" s="98" t="s">
        <v>239</v>
      </c>
      <c r="I751" s="98" t="s">
        <v>737</v>
      </c>
      <c r="K751" s="100"/>
      <c r="L751" s="108"/>
      <c r="M751" s="100"/>
      <c r="N751" s="100"/>
    </row>
    <row r="752" spans="2:14" s="98" customFormat="1">
      <c r="B752" s="99" t="s">
        <v>735</v>
      </c>
      <c r="C752" s="109">
        <v>46260</v>
      </c>
      <c r="D752" s="98" t="s">
        <v>745</v>
      </c>
      <c r="E752" s="103">
        <v>4459</v>
      </c>
      <c r="F752" s="98" t="s">
        <v>240</v>
      </c>
      <c r="G752" s="98" t="s">
        <v>374</v>
      </c>
      <c r="H752" s="98" t="s">
        <v>513</v>
      </c>
      <c r="I752" s="98" t="s">
        <v>242</v>
      </c>
      <c r="K752" s="100"/>
      <c r="L752" s="108"/>
      <c r="M752" s="100"/>
      <c r="N752" s="100"/>
    </row>
    <row r="753" spans="2:14" s="98" customFormat="1">
      <c r="B753" s="99" t="s">
        <v>735</v>
      </c>
      <c r="C753" s="109">
        <v>46260</v>
      </c>
      <c r="D753" s="98" t="s">
        <v>808</v>
      </c>
      <c r="E753" s="103">
        <v>10000</v>
      </c>
      <c r="F753" s="98" t="s">
        <v>240</v>
      </c>
      <c r="G753" s="98" t="s">
        <v>591</v>
      </c>
      <c r="H753" s="98" t="s">
        <v>516</v>
      </c>
      <c r="I753" s="98" t="s">
        <v>270</v>
      </c>
      <c r="K753" s="100"/>
      <c r="L753" s="108"/>
      <c r="M753" s="100"/>
      <c r="N753" s="100"/>
    </row>
    <row r="754" spans="2:14" s="98" customFormat="1">
      <c r="B754" s="99" t="s">
        <v>735</v>
      </c>
      <c r="C754" s="109">
        <v>46260</v>
      </c>
      <c r="D754" s="98" t="s">
        <v>740</v>
      </c>
      <c r="E754" s="103">
        <v>-5</v>
      </c>
      <c r="F754" s="98" t="s">
        <v>239</v>
      </c>
      <c r="I754" s="98" t="s">
        <v>737</v>
      </c>
      <c r="K754" s="100"/>
      <c r="L754" s="108"/>
      <c r="M754" s="100"/>
      <c r="N754" s="100"/>
    </row>
    <row r="755" spans="2:14" s="98" customFormat="1">
      <c r="B755" s="99" t="s">
        <v>735</v>
      </c>
      <c r="C755" s="109">
        <v>46260</v>
      </c>
      <c r="D755" s="98" t="s">
        <v>748</v>
      </c>
      <c r="E755" s="103">
        <v>1000</v>
      </c>
      <c r="F755" s="98" t="s">
        <v>240</v>
      </c>
      <c r="G755" s="98" t="s">
        <v>374</v>
      </c>
      <c r="H755" s="98" t="s">
        <v>516</v>
      </c>
      <c r="I755" s="98" t="s">
        <v>247</v>
      </c>
      <c r="K755" s="100"/>
      <c r="L755" s="108"/>
      <c r="M755" s="100"/>
      <c r="N755" s="100"/>
    </row>
    <row r="756" spans="2:14" s="98" customFormat="1">
      <c r="B756" s="99" t="s">
        <v>735</v>
      </c>
      <c r="C756" s="109">
        <v>46260</v>
      </c>
      <c r="D756" s="98" t="s">
        <v>813</v>
      </c>
      <c r="E756" s="103">
        <v>-10000</v>
      </c>
      <c r="F756" s="98" t="s">
        <v>239</v>
      </c>
      <c r="I756" s="98" t="s">
        <v>738</v>
      </c>
      <c r="K756" s="100"/>
      <c r="L756" s="108"/>
      <c r="M756" s="100"/>
      <c r="N756" s="100"/>
    </row>
    <row r="757" spans="2:14" s="98" customFormat="1">
      <c r="B757" s="99" t="s">
        <v>735</v>
      </c>
      <c r="C757" s="109">
        <v>46259</v>
      </c>
      <c r="D757" s="98" t="s">
        <v>808</v>
      </c>
      <c r="E757" s="103">
        <v>10000</v>
      </c>
      <c r="F757" s="98" t="s">
        <v>240</v>
      </c>
      <c r="G757" s="98" t="s">
        <v>591</v>
      </c>
      <c r="H757" s="98" t="s">
        <v>516</v>
      </c>
      <c r="I757" s="98" t="s">
        <v>270</v>
      </c>
      <c r="K757" s="100"/>
      <c r="L757" s="108"/>
      <c r="M757" s="100"/>
      <c r="N757" s="100"/>
    </row>
    <row r="758" spans="2:14" s="98" customFormat="1">
      <c r="B758" s="99" t="s">
        <v>735</v>
      </c>
      <c r="C758" s="109">
        <v>46259</v>
      </c>
      <c r="D758" s="98" t="s">
        <v>690</v>
      </c>
      <c r="E758" s="103">
        <v>-24775</v>
      </c>
      <c r="F758" s="98" t="s">
        <v>239</v>
      </c>
      <c r="I758" s="98" t="s">
        <v>738</v>
      </c>
      <c r="K758" s="100"/>
      <c r="L758" s="108"/>
      <c r="M758" s="100"/>
      <c r="N758" s="100"/>
    </row>
    <row r="759" spans="2:14" s="98" customFormat="1">
      <c r="B759" s="99" t="s">
        <v>735</v>
      </c>
      <c r="C759" s="109">
        <v>46259</v>
      </c>
      <c r="D759" s="98" t="s">
        <v>297</v>
      </c>
      <c r="E759" s="103">
        <v>3590</v>
      </c>
      <c r="F759" s="98" t="s">
        <v>240</v>
      </c>
      <c r="G759" s="98" t="s">
        <v>374</v>
      </c>
      <c r="H759" s="98" t="s">
        <v>516</v>
      </c>
      <c r="I759" s="98" t="s">
        <v>247</v>
      </c>
      <c r="K759" s="100"/>
      <c r="L759" s="108"/>
      <c r="M759" s="100"/>
      <c r="N759" s="100"/>
    </row>
    <row r="760" spans="2:14" s="98" customFormat="1">
      <c r="B760" s="99" t="s">
        <v>735</v>
      </c>
      <c r="C760" s="109">
        <v>46259</v>
      </c>
      <c r="D760" s="98" t="s">
        <v>744</v>
      </c>
      <c r="E760" s="103">
        <v>-2</v>
      </c>
      <c r="F760" s="98" t="s">
        <v>239</v>
      </c>
      <c r="I760" s="98" t="s">
        <v>737</v>
      </c>
      <c r="K760" s="100"/>
      <c r="L760" s="108"/>
      <c r="M760" s="100"/>
      <c r="N760" s="100"/>
    </row>
    <row r="761" spans="2:14" s="98" customFormat="1">
      <c r="B761" s="99" t="s">
        <v>735</v>
      </c>
      <c r="C761" s="109">
        <v>46259</v>
      </c>
      <c r="D761" s="98" t="s">
        <v>740</v>
      </c>
      <c r="E761" s="103">
        <v>-13</v>
      </c>
      <c r="F761" s="98" t="s">
        <v>239</v>
      </c>
      <c r="I761" s="98" t="s">
        <v>737</v>
      </c>
      <c r="K761" s="100"/>
      <c r="L761" s="108"/>
      <c r="M761" s="100"/>
      <c r="N761" s="100"/>
    </row>
    <row r="762" spans="2:14" s="98" customFormat="1">
      <c r="B762" s="99" t="s">
        <v>735</v>
      </c>
      <c r="C762" s="109">
        <v>46259</v>
      </c>
      <c r="D762" s="98" t="s">
        <v>772</v>
      </c>
      <c r="E762" s="103">
        <v>2500</v>
      </c>
      <c r="F762" s="98" t="s">
        <v>240</v>
      </c>
      <c r="G762" s="98" t="s">
        <v>374</v>
      </c>
      <c r="H762" s="98" t="s">
        <v>516</v>
      </c>
      <c r="I762" s="98" t="s">
        <v>247</v>
      </c>
      <c r="K762" s="100"/>
      <c r="L762" s="108"/>
      <c r="M762" s="100"/>
      <c r="N762" s="100"/>
    </row>
    <row r="763" spans="2:14" s="98" customFormat="1">
      <c r="B763" s="99" t="s">
        <v>735</v>
      </c>
      <c r="C763" s="109">
        <v>46259</v>
      </c>
      <c r="D763" s="98" t="s">
        <v>740</v>
      </c>
      <c r="E763" s="103">
        <v>-22</v>
      </c>
      <c r="F763" s="98" t="s">
        <v>239</v>
      </c>
      <c r="I763" s="98" t="s">
        <v>737</v>
      </c>
      <c r="K763" s="100"/>
      <c r="L763" s="108"/>
      <c r="M763" s="100"/>
      <c r="N763" s="100"/>
    </row>
    <row r="764" spans="2:14" s="98" customFormat="1">
      <c r="B764" s="99" t="s">
        <v>735</v>
      </c>
      <c r="C764" s="109">
        <v>46259</v>
      </c>
      <c r="D764" s="98" t="s">
        <v>745</v>
      </c>
      <c r="E764" s="103">
        <v>4459</v>
      </c>
      <c r="F764" s="98" t="s">
        <v>240</v>
      </c>
      <c r="G764" s="98" t="s">
        <v>374</v>
      </c>
      <c r="H764" s="98" t="s">
        <v>513</v>
      </c>
      <c r="I764" s="98" t="s">
        <v>242</v>
      </c>
      <c r="K764" s="100"/>
      <c r="L764" s="108"/>
      <c r="M764" s="100"/>
      <c r="N764" s="100"/>
    </row>
    <row r="765" spans="2:14" s="98" customFormat="1">
      <c r="B765" s="99" t="s">
        <v>735</v>
      </c>
      <c r="C765" s="109">
        <v>46259</v>
      </c>
      <c r="D765" s="98" t="s">
        <v>740</v>
      </c>
      <c r="E765" s="103">
        <v>-17</v>
      </c>
      <c r="F765" s="98" t="s">
        <v>239</v>
      </c>
      <c r="I765" s="98" t="s">
        <v>737</v>
      </c>
      <c r="K765" s="100"/>
      <c r="L765" s="108"/>
      <c r="M765" s="100"/>
      <c r="N765" s="100"/>
    </row>
    <row r="766" spans="2:14" s="98" customFormat="1">
      <c r="B766" s="99" t="s">
        <v>735</v>
      </c>
      <c r="C766" s="109">
        <v>46259</v>
      </c>
      <c r="D766" s="98" t="s">
        <v>783</v>
      </c>
      <c r="E766" s="103">
        <v>3300</v>
      </c>
      <c r="F766" s="98" t="s">
        <v>240</v>
      </c>
      <c r="G766" s="98" t="s">
        <v>374</v>
      </c>
      <c r="H766" s="98" t="s">
        <v>516</v>
      </c>
      <c r="I766" s="98" t="s">
        <v>247</v>
      </c>
      <c r="K766" s="100"/>
      <c r="L766" s="108"/>
      <c r="M766" s="100"/>
      <c r="N766" s="100"/>
    </row>
    <row r="767" spans="2:14" s="98" customFormat="1">
      <c r="B767" s="99" t="s">
        <v>735</v>
      </c>
      <c r="C767" s="109">
        <v>46259</v>
      </c>
      <c r="D767" s="98" t="s">
        <v>805</v>
      </c>
      <c r="E767" s="103">
        <v>-16990</v>
      </c>
      <c r="F767" s="98" t="s">
        <v>239</v>
      </c>
      <c r="I767" s="98" t="s">
        <v>809</v>
      </c>
      <c r="K767" s="100"/>
      <c r="L767" s="108"/>
      <c r="M767" s="100"/>
      <c r="N767" s="100"/>
    </row>
    <row r="768" spans="2:14" s="98" customFormat="1">
      <c r="B768" s="99" t="s">
        <v>735</v>
      </c>
      <c r="C768" s="109">
        <v>46259</v>
      </c>
      <c r="D768" s="98" t="s">
        <v>813</v>
      </c>
      <c r="E768" s="103">
        <v>-10000</v>
      </c>
      <c r="F768" s="98" t="s">
        <v>239</v>
      </c>
      <c r="I768" s="98" t="s">
        <v>738</v>
      </c>
      <c r="K768" s="100"/>
      <c r="L768" s="108"/>
      <c r="M768" s="100"/>
      <c r="N768" s="100"/>
    </row>
    <row r="769" spans="2:14" s="98" customFormat="1">
      <c r="B769" s="99" t="s">
        <v>735</v>
      </c>
      <c r="C769" s="109">
        <v>46258</v>
      </c>
      <c r="D769" s="98" t="s">
        <v>807</v>
      </c>
      <c r="E769" s="103">
        <v>15000</v>
      </c>
      <c r="F769" s="98" t="s">
        <v>240</v>
      </c>
      <c r="G769" s="98" t="s">
        <v>591</v>
      </c>
      <c r="H769" s="98" t="s">
        <v>516</v>
      </c>
      <c r="I769" s="98" t="s">
        <v>270</v>
      </c>
      <c r="K769" s="100"/>
      <c r="L769" s="108"/>
      <c r="M769" s="100"/>
      <c r="N769" s="100"/>
    </row>
    <row r="770" spans="2:14" s="98" customFormat="1">
      <c r="B770" s="99" t="s">
        <v>735</v>
      </c>
      <c r="C770" s="109">
        <v>46258</v>
      </c>
      <c r="D770" s="98" t="s">
        <v>690</v>
      </c>
      <c r="E770" s="103">
        <v>-39837</v>
      </c>
      <c r="F770" s="98" t="s">
        <v>239</v>
      </c>
      <c r="I770" s="98" t="s">
        <v>738</v>
      </c>
      <c r="K770" s="100"/>
      <c r="L770" s="108"/>
      <c r="M770" s="100"/>
      <c r="N770" s="100"/>
    </row>
    <row r="771" spans="2:14" s="98" customFormat="1">
      <c r="B771" s="99" t="s">
        <v>735</v>
      </c>
      <c r="C771" s="109">
        <v>46258</v>
      </c>
      <c r="D771" s="98" t="s">
        <v>770</v>
      </c>
      <c r="E771" s="103">
        <v>-12900</v>
      </c>
      <c r="F771" s="98" t="s">
        <v>239</v>
      </c>
      <c r="I771" s="98" t="s">
        <v>738</v>
      </c>
      <c r="K771" s="100"/>
      <c r="L771" s="108"/>
      <c r="M771" s="100"/>
      <c r="N771" s="100"/>
    </row>
    <row r="772" spans="2:14" s="98" customFormat="1">
      <c r="B772" s="99" t="s">
        <v>735</v>
      </c>
      <c r="C772" s="109">
        <v>46258</v>
      </c>
      <c r="D772" s="98" t="s">
        <v>744</v>
      </c>
      <c r="E772" s="103">
        <v>-2</v>
      </c>
      <c r="F772" s="98" t="s">
        <v>239</v>
      </c>
      <c r="I772" s="98" t="s">
        <v>737</v>
      </c>
      <c r="K772" s="100"/>
      <c r="L772" s="108"/>
      <c r="M772" s="100"/>
      <c r="N772" s="100"/>
    </row>
    <row r="773" spans="2:14" s="98" customFormat="1">
      <c r="B773" s="99" t="s">
        <v>735</v>
      </c>
      <c r="C773" s="109">
        <v>46258</v>
      </c>
      <c r="D773" s="98" t="s">
        <v>709</v>
      </c>
      <c r="E773" s="103">
        <v>700</v>
      </c>
      <c r="F773" s="98" t="s">
        <v>240</v>
      </c>
      <c r="G773" s="98" t="s">
        <v>374</v>
      </c>
      <c r="H773" s="98" t="s">
        <v>516</v>
      </c>
      <c r="I773" s="98" t="s">
        <v>247</v>
      </c>
      <c r="K773" s="100"/>
      <c r="L773" s="108"/>
      <c r="M773" s="100"/>
      <c r="N773" s="100"/>
    </row>
    <row r="774" spans="2:14" s="98" customFormat="1">
      <c r="B774" s="99" t="s">
        <v>735</v>
      </c>
      <c r="C774" s="109">
        <v>46258</v>
      </c>
      <c r="D774" s="98" t="s">
        <v>806</v>
      </c>
      <c r="E774" s="103">
        <v>6750</v>
      </c>
      <c r="F774" s="98" t="s">
        <v>240</v>
      </c>
      <c r="G774" s="98" t="s">
        <v>374</v>
      </c>
      <c r="H774" s="98" t="s">
        <v>513</v>
      </c>
      <c r="I774" s="98" t="s">
        <v>544</v>
      </c>
      <c r="K774" s="100"/>
      <c r="L774" s="108"/>
      <c r="M774" s="100"/>
      <c r="N774" s="100"/>
    </row>
    <row r="775" spans="2:14" s="98" customFormat="1">
      <c r="B775" s="99" t="s">
        <v>735</v>
      </c>
      <c r="C775" s="109">
        <v>46258</v>
      </c>
      <c r="D775" s="98" t="s">
        <v>740</v>
      </c>
      <c r="E775" s="103">
        <v>-22</v>
      </c>
      <c r="F775" s="98" t="s">
        <v>239</v>
      </c>
      <c r="I775" s="98" t="s">
        <v>737</v>
      </c>
      <c r="K775" s="100"/>
      <c r="L775" s="108"/>
      <c r="M775" s="100"/>
      <c r="N775" s="100"/>
    </row>
    <row r="776" spans="2:14" s="98" customFormat="1">
      <c r="B776" s="99" t="s">
        <v>735</v>
      </c>
      <c r="C776" s="109">
        <v>46258</v>
      </c>
      <c r="D776" s="98" t="s">
        <v>745</v>
      </c>
      <c r="E776" s="103">
        <v>4459</v>
      </c>
      <c r="F776" s="98" t="s">
        <v>240</v>
      </c>
      <c r="G776" s="98" t="s">
        <v>374</v>
      </c>
      <c r="H776" s="98" t="s">
        <v>513</v>
      </c>
      <c r="I776" s="98" t="s">
        <v>242</v>
      </c>
      <c r="K776" s="100"/>
      <c r="L776" s="108"/>
      <c r="M776" s="100"/>
      <c r="N776" s="100"/>
    </row>
    <row r="777" spans="2:14" s="98" customFormat="1">
      <c r="B777" s="99" t="s">
        <v>735</v>
      </c>
      <c r="C777" s="109">
        <v>46258</v>
      </c>
      <c r="D777" s="98" t="s">
        <v>740</v>
      </c>
      <c r="E777" s="103">
        <v>-4</v>
      </c>
      <c r="F777" s="98" t="s">
        <v>239</v>
      </c>
      <c r="I777" s="98" t="s">
        <v>737</v>
      </c>
      <c r="K777" s="100"/>
      <c r="L777" s="108"/>
      <c r="M777" s="100"/>
      <c r="N777" s="100"/>
    </row>
    <row r="778" spans="2:14" s="98" customFormat="1">
      <c r="B778" s="99" t="s">
        <v>735</v>
      </c>
      <c r="C778" s="109">
        <v>46258</v>
      </c>
      <c r="D778" s="98" t="s">
        <v>702</v>
      </c>
      <c r="E778" s="103">
        <v>700</v>
      </c>
      <c r="F778" s="98" t="s">
        <v>240</v>
      </c>
      <c r="G778" s="98" t="s">
        <v>374</v>
      </c>
      <c r="H778" s="98" t="s">
        <v>516</v>
      </c>
      <c r="I778" s="98" t="s">
        <v>247</v>
      </c>
      <c r="K778" s="100"/>
      <c r="L778" s="108"/>
      <c r="M778" s="100"/>
      <c r="N778" s="100"/>
    </row>
    <row r="779" spans="2:14" s="98" customFormat="1">
      <c r="B779" s="99" t="s">
        <v>735</v>
      </c>
      <c r="C779" s="109">
        <v>46258</v>
      </c>
      <c r="D779" s="98" t="s">
        <v>798</v>
      </c>
      <c r="E779" s="103">
        <v>-24</v>
      </c>
      <c r="F779" s="98" t="s">
        <v>239</v>
      </c>
      <c r="I779" s="98" t="s">
        <v>737</v>
      </c>
      <c r="K779" s="100"/>
      <c r="L779" s="108"/>
      <c r="M779" s="100"/>
      <c r="N779" s="100"/>
    </row>
    <row r="780" spans="2:14" s="98" customFormat="1">
      <c r="B780" s="99" t="s">
        <v>735</v>
      </c>
      <c r="C780" s="109">
        <v>46258</v>
      </c>
      <c r="D780" s="98" t="s">
        <v>794</v>
      </c>
      <c r="E780" s="103">
        <v>4830</v>
      </c>
      <c r="F780" s="98" t="s">
        <v>240</v>
      </c>
      <c r="G780" s="98" t="s">
        <v>374</v>
      </c>
      <c r="H780" s="98" t="s">
        <v>516</v>
      </c>
      <c r="I780" s="98" t="s">
        <v>245</v>
      </c>
      <c r="K780" s="100"/>
      <c r="L780" s="108"/>
      <c r="M780" s="100"/>
      <c r="N780" s="100"/>
    </row>
    <row r="781" spans="2:14" s="98" customFormat="1">
      <c r="B781" s="99" t="s">
        <v>735</v>
      </c>
      <c r="C781" s="109">
        <v>46258</v>
      </c>
      <c r="D781" s="98" t="s">
        <v>758</v>
      </c>
      <c r="E781" s="103">
        <v>-998</v>
      </c>
      <c r="F781" s="98" t="s">
        <v>239</v>
      </c>
      <c r="I781" s="98" t="s">
        <v>737</v>
      </c>
      <c r="K781" s="100"/>
      <c r="L781" s="108"/>
      <c r="M781" s="100"/>
      <c r="N781" s="100"/>
    </row>
    <row r="782" spans="2:14" s="98" customFormat="1">
      <c r="B782" s="99" t="s">
        <v>735</v>
      </c>
      <c r="C782" s="109">
        <v>46258</v>
      </c>
      <c r="D782" s="98" t="s">
        <v>813</v>
      </c>
      <c r="E782" s="103">
        <v>-15000</v>
      </c>
      <c r="F782" s="98" t="s">
        <v>239</v>
      </c>
      <c r="I782" s="98" t="s">
        <v>738</v>
      </c>
      <c r="K782" s="100"/>
      <c r="L782" s="108"/>
      <c r="M782" s="100"/>
      <c r="N782" s="100"/>
    </row>
    <row r="783" spans="2:14" s="98" customFormat="1">
      <c r="B783" s="99" t="s">
        <v>735</v>
      </c>
      <c r="C783" s="109">
        <v>46257</v>
      </c>
      <c r="D783" s="98" t="s">
        <v>740</v>
      </c>
      <c r="E783" s="103">
        <v>-15</v>
      </c>
      <c r="F783" s="98" t="s">
        <v>239</v>
      </c>
      <c r="I783" s="98" t="s">
        <v>737</v>
      </c>
      <c r="K783" s="100"/>
      <c r="L783" s="108"/>
      <c r="M783" s="100"/>
      <c r="N783" s="100"/>
    </row>
    <row r="784" spans="2:14" s="98" customFormat="1">
      <c r="B784" s="99" t="s">
        <v>735</v>
      </c>
      <c r="C784" s="109">
        <v>46257</v>
      </c>
      <c r="D784" s="98" t="s">
        <v>799</v>
      </c>
      <c r="E784" s="103">
        <v>3000</v>
      </c>
      <c r="F784" s="98" t="s">
        <v>240</v>
      </c>
      <c r="G784" s="98" t="s">
        <v>374</v>
      </c>
      <c r="H784" s="98" t="s">
        <v>516</v>
      </c>
      <c r="I784" s="98" t="s">
        <v>248</v>
      </c>
      <c r="K784" s="100"/>
      <c r="L784" s="108"/>
      <c r="M784" s="100"/>
      <c r="N784" s="100"/>
    </row>
    <row r="785" spans="2:14" s="98" customFormat="1">
      <c r="B785" s="99" t="s">
        <v>735</v>
      </c>
      <c r="C785" s="109">
        <v>46257</v>
      </c>
      <c r="D785" s="98" t="s">
        <v>813</v>
      </c>
      <c r="E785" s="103">
        <v>-50000</v>
      </c>
      <c r="F785" s="98" t="s">
        <v>239</v>
      </c>
      <c r="I785" s="98" t="s">
        <v>738</v>
      </c>
      <c r="K785" s="100"/>
      <c r="L785" s="108"/>
      <c r="M785" s="100"/>
      <c r="N785" s="100"/>
    </row>
    <row r="786" spans="2:14" s="98" customFormat="1">
      <c r="B786" s="99" t="s">
        <v>735</v>
      </c>
      <c r="C786" s="109">
        <v>46257</v>
      </c>
      <c r="D786" s="98" t="s">
        <v>784</v>
      </c>
      <c r="E786" s="103">
        <v>50000</v>
      </c>
      <c r="F786" s="98" t="s">
        <v>240</v>
      </c>
      <c r="G786" s="98" t="s">
        <v>591</v>
      </c>
      <c r="H786" s="98" t="s">
        <v>516</v>
      </c>
      <c r="I786" s="98" t="s">
        <v>245</v>
      </c>
      <c r="K786" s="100"/>
      <c r="L786" s="108"/>
      <c r="M786" s="100"/>
      <c r="N786" s="100"/>
    </row>
    <row r="787" spans="2:14" s="98" customFormat="1">
      <c r="B787" s="99" t="s">
        <v>735</v>
      </c>
      <c r="C787" s="109">
        <v>46257</v>
      </c>
      <c r="D787" s="98" t="s">
        <v>740</v>
      </c>
      <c r="E787" s="103">
        <v>-25</v>
      </c>
      <c r="F787" s="98" t="s">
        <v>239</v>
      </c>
      <c r="I787" s="98" t="s">
        <v>737</v>
      </c>
      <c r="K787" s="100"/>
      <c r="L787" s="108"/>
      <c r="M787" s="100"/>
      <c r="N787" s="100"/>
    </row>
    <row r="788" spans="2:14" s="98" customFormat="1">
      <c r="B788" s="99" t="s">
        <v>735</v>
      </c>
      <c r="C788" s="109">
        <v>46257</v>
      </c>
      <c r="D788" s="98" t="s">
        <v>799</v>
      </c>
      <c r="E788" s="103">
        <v>5000</v>
      </c>
      <c r="F788" s="98" t="s">
        <v>240</v>
      </c>
      <c r="G788" s="98" t="s">
        <v>374</v>
      </c>
      <c r="H788" s="98" t="s">
        <v>516</v>
      </c>
      <c r="I788" s="98" t="s">
        <v>248</v>
      </c>
      <c r="K788" s="100"/>
      <c r="L788" s="108"/>
      <c r="M788" s="100"/>
      <c r="N788" s="100"/>
    </row>
    <row r="789" spans="2:14" s="98" customFormat="1">
      <c r="B789" s="99" t="s">
        <v>735</v>
      </c>
      <c r="C789" s="109">
        <v>46257</v>
      </c>
      <c r="D789" s="98" t="s">
        <v>770</v>
      </c>
      <c r="E789" s="103">
        <v>-20500</v>
      </c>
      <c r="F789" s="98" t="s">
        <v>239</v>
      </c>
      <c r="I789" s="98" t="s">
        <v>738</v>
      </c>
      <c r="K789" s="100"/>
      <c r="L789" s="108"/>
      <c r="M789" s="100"/>
      <c r="N789" s="100"/>
    </row>
    <row r="790" spans="2:14" s="98" customFormat="1">
      <c r="B790" s="99" t="s">
        <v>735</v>
      </c>
      <c r="C790" s="109">
        <v>46257</v>
      </c>
      <c r="D790" s="98" t="s">
        <v>740</v>
      </c>
      <c r="E790" s="103">
        <v>-21</v>
      </c>
      <c r="F790" s="98" t="s">
        <v>239</v>
      </c>
      <c r="I790" s="98" t="s">
        <v>737</v>
      </c>
      <c r="K790" s="100"/>
      <c r="L790" s="108"/>
      <c r="M790" s="100"/>
      <c r="N790" s="100"/>
    </row>
    <row r="791" spans="2:14" s="98" customFormat="1">
      <c r="B791" s="99" t="s">
        <v>735</v>
      </c>
      <c r="C791" s="109">
        <v>46257</v>
      </c>
      <c r="D791" s="98" t="s">
        <v>800</v>
      </c>
      <c r="E791" s="103">
        <v>4200</v>
      </c>
      <c r="F791" s="98" t="s">
        <v>240</v>
      </c>
      <c r="G791" s="98" t="s">
        <v>374</v>
      </c>
      <c r="H791" s="98" t="s">
        <v>516</v>
      </c>
      <c r="I791" s="98" t="s">
        <v>247</v>
      </c>
      <c r="K791" s="100"/>
      <c r="L791" s="108"/>
      <c r="M791" s="100"/>
      <c r="N791" s="100"/>
    </row>
    <row r="792" spans="2:14" s="98" customFormat="1">
      <c r="B792" s="99" t="s">
        <v>735</v>
      </c>
      <c r="C792" s="109">
        <v>46257</v>
      </c>
      <c r="D792" s="98" t="s">
        <v>801</v>
      </c>
      <c r="E792" s="103">
        <v>9603</v>
      </c>
      <c r="F792" s="98" t="s">
        <v>240</v>
      </c>
      <c r="G792" s="98" t="s">
        <v>374</v>
      </c>
      <c r="H792" s="98" t="s">
        <v>516</v>
      </c>
      <c r="I792" s="98" t="s">
        <v>245</v>
      </c>
      <c r="K792" s="100"/>
      <c r="L792" s="108"/>
      <c r="M792" s="100"/>
      <c r="N792" s="100"/>
    </row>
    <row r="793" spans="2:14" s="98" customFormat="1">
      <c r="B793" s="99" t="s">
        <v>735</v>
      </c>
      <c r="C793" s="109">
        <v>46257</v>
      </c>
      <c r="D793" s="98" t="s">
        <v>802</v>
      </c>
      <c r="E793" s="103">
        <v>15</v>
      </c>
      <c r="F793" s="98" t="s">
        <v>240</v>
      </c>
      <c r="G793" s="98" t="s">
        <v>374</v>
      </c>
      <c r="H793" s="98" t="s">
        <v>516</v>
      </c>
      <c r="I793" s="98" t="s">
        <v>247</v>
      </c>
      <c r="K793" s="100"/>
      <c r="L793" s="108"/>
      <c r="M793" s="100"/>
      <c r="N793" s="100"/>
    </row>
    <row r="794" spans="2:14" s="98" customFormat="1">
      <c r="B794" s="99" t="s">
        <v>735</v>
      </c>
      <c r="C794" s="109">
        <v>46256</v>
      </c>
      <c r="D794" s="98" t="s">
        <v>711</v>
      </c>
      <c r="E794" s="103">
        <v>10000</v>
      </c>
      <c r="F794" s="98" t="s">
        <v>240</v>
      </c>
      <c r="G794" s="98" t="s">
        <v>374</v>
      </c>
      <c r="H794" s="98" t="s">
        <v>516</v>
      </c>
      <c r="I794" s="98" t="s">
        <v>270</v>
      </c>
      <c r="K794" s="100"/>
      <c r="L794" s="108"/>
      <c r="M794" s="100"/>
      <c r="N794" s="100"/>
    </row>
    <row r="795" spans="2:14" s="98" customFormat="1">
      <c r="B795" s="99" t="s">
        <v>735</v>
      </c>
      <c r="C795" s="109">
        <v>46256</v>
      </c>
      <c r="D795" s="98" t="s">
        <v>770</v>
      </c>
      <c r="E795" s="103">
        <v>-5000</v>
      </c>
      <c r="F795" s="98" t="s">
        <v>239</v>
      </c>
      <c r="I795" s="98" t="s">
        <v>738</v>
      </c>
      <c r="K795" s="100"/>
      <c r="L795" s="108"/>
      <c r="M795" s="100"/>
      <c r="N795" s="100"/>
    </row>
    <row r="796" spans="2:14" s="98" customFormat="1">
      <c r="B796" s="99" t="s">
        <v>735</v>
      </c>
      <c r="C796" s="109">
        <v>46256</v>
      </c>
      <c r="D796" s="98" t="s">
        <v>740</v>
      </c>
      <c r="E796" s="103">
        <v>-13</v>
      </c>
      <c r="F796" s="98" t="s">
        <v>239</v>
      </c>
      <c r="I796" s="98" t="s">
        <v>737</v>
      </c>
      <c r="K796" s="100"/>
      <c r="L796" s="108"/>
      <c r="M796" s="100"/>
      <c r="N796" s="100"/>
    </row>
    <row r="797" spans="2:14" s="98" customFormat="1">
      <c r="B797" s="99" t="s">
        <v>735</v>
      </c>
      <c r="C797" s="109">
        <v>46256</v>
      </c>
      <c r="D797" s="98" t="s">
        <v>772</v>
      </c>
      <c r="E797" s="103">
        <v>2500</v>
      </c>
      <c r="F797" s="98" t="s">
        <v>240</v>
      </c>
      <c r="G797" s="98" t="s">
        <v>374</v>
      </c>
      <c r="H797" s="98" t="s">
        <v>516</v>
      </c>
      <c r="I797" s="98" t="s">
        <v>247</v>
      </c>
      <c r="K797" s="100"/>
      <c r="L797" s="108"/>
      <c r="M797" s="100"/>
      <c r="N797" s="100"/>
    </row>
    <row r="798" spans="2:14" s="98" customFormat="1">
      <c r="B798" s="99" t="s">
        <v>735</v>
      </c>
      <c r="C798" s="109">
        <v>46256</v>
      </c>
      <c r="D798" s="98" t="s">
        <v>740</v>
      </c>
      <c r="E798" s="103">
        <v>-4</v>
      </c>
      <c r="F798" s="98" t="s">
        <v>239</v>
      </c>
      <c r="I798" s="98" t="s">
        <v>737</v>
      </c>
      <c r="K798" s="100"/>
      <c r="L798" s="108"/>
      <c r="M798" s="100"/>
      <c r="N798" s="100"/>
    </row>
    <row r="799" spans="2:14" s="98" customFormat="1">
      <c r="B799" s="99" t="s">
        <v>735</v>
      </c>
      <c r="C799" s="109">
        <v>46256</v>
      </c>
      <c r="D799" s="98" t="s">
        <v>702</v>
      </c>
      <c r="E799" s="103">
        <v>700</v>
      </c>
      <c r="F799" s="98" t="s">
        <v>240</v>
      </c>
      <c r="G799" s="98" t="s">
        <v>374</v>
      </c>
      <c r="H799" s="98" t="s">
        <v>516</v>
      </c>
      <c r="I799" s="98" t="s">
        <v>247</v>
      </c>
      <c r="K799" s="100"/>
      <c r="L799" s="108"/>
      <c r="M799" s="100"/>
      <c r="N799" s="100"/>
    </row>
    <row r="800" spans="2:14" s="98" customFormat="1">
      <c r="B800" s="99" t="s">
        <v>735</v>
      </c>
      <c r="C800" s="109">
        <v>46256</v>
      </c>
      <c r="D800" s="98" t="s">
        <v>297</v>
      </c>
      <c r="E800" s="103">
        <v>9890</v>
      </c>
      <c r="F800" s="98" t="s">
        <v>240</v>
      </c>
      <c r="G800" s="98" t="s">
        <v>374</v>
      </c>
      <c r="H800" s="98" t="s">
        <v>516</v>
      </c>
      <c r="I800" s="98" t="s">
        <v>270</v>
      </c>
      <c r="K800" s="100"/>
      <c r="L800" s="108"/>
      <c r="M800" s="100"/>
      <c r="N800" s="100"/>
    </row>
    <row r="801" spans="2:14" s="98" customFormat="1">
      <c r="B801" s="99" t="s">
        <v>735</v>
      </c>
      <c r="C801" s="109">
        <v>46256</v>
      </c>
      <c r="D801" s="98" t="s">
        <v>770</v>
      </c>
      <c r="E801" s="103">
        <v>-13900</v>
      </c>
      <c r="F801" s="98" t="s">
        <v>239</v>
      </c>
      <c r="I801" s="98" t="s">
        <v>738</v>
      </c>
      <c r="K801" s="100"/>
      <c r="L801" s="108"/>
      <c r="M801" s="100"/>
      <c r="N801" s="100"/>
    </row>
    <row r="802" spans="2:14" s="98" customFormat="1">
      <c r="B802" s="99" t="s">
        <v>735</v>
      </c>
      <c r="C802" s="109">
        <v>46256</v>
      </c>
      <c r="D802" s="98" t="s">
        <v>740</v>
      </c>
      <c r="E802" s="103">
        <v>-6</v>
      </c>
      <c r="F802" s="98" t="s">
        <v>239</v>
      </c>
      <c r="I802" s="98" t="s">
        <v>737</v>
      </c>
      <c r="K802" s="100"/>
      <c r="L802" s="108"/>
      <c r="M802" s="100"/>
      <c r="N802" s="100"/>
    </row>
    <row r="803" spans="2:14" s="98" customFormat="1">
      <c r="B803" s="99" t="s">
        <v>735</v>
      </c>
      <c r="C803" s="109">
        <v>46256</v>
      </c>
      <c r="D803" s="98" t="s">
        <v>803</v>
      </c>
      <c r="E803" s="103">
        <v>1200</v>
      </c>
      <c r="F803" s="98" t="s">
        <v>240</v>
      </c>
      <c r="G803" s="98" t="s">
        <v>374</v>
      </c>
      <c r="H803" s="98" t="s">
        <v>516</v>
      </c>
      <c r="I803" s="98" t="s">
        <v>247</v>
      </c>
      <c r="K803" s="100"/>
      <c r="L803" s="108"/>
      <c r="M803" s="100"/>
      <c r="N803" s="100"/>
    </row>
    <row r="804" spans="2:14" s="98" customFormat="1">
      <c r="B804" s="99" t="s">
        <v>735</v>
      </c>
      <c r="C804" s="109">
        <v>46256</v>
      </c>
      <c r="D804" s="98" t="s">
        <v>804</v>
      </c>
      <c r="E804" s="103">
        <v>27589</v>
      </c>
      <c r="F804" s="98" t="s">
        <v>240</v>
      </c>
      <c r="G804" s="98" t="s">
        <v>374</v>
      </c>
      <c r="H804" s="98" t="s">
        <v>513</v>
      </c>
      <c r="I804" s="98" t="s">
        <v>545</v>
      </c>
      <c r="K804" s="100"/>
      <c r="L804" s="108"/>
      <c r="M804" s="100"/>
      <c r="N804" s="100"/>
    </row>
    <row r="805" spans="2:14" s="98" customFormat="1">
      <c r="B805" s="99" t="s">
        <v>735</v>
      </c>
      <c r="C805" s="109">
        <v>46256</v>
      </c>
      <c r="D805" s="98" t="s">
        <v>297</v>
      </c>
      <c r="E805" s="103">
        <v>3190</v>
      </c>
      <c r="F805" s="98" t="s">
        <v>240</v>
      </c>
      <c r="G805" s="98" t="s">
        <v>374</v>
      </c>
      <c r="H805" s="98" t="s">
        <v>516</v>
      </c>
      <c r="I805" s="98" t="s">
        <v>247</v>
      </c>
      <c r="K805" s="100"/>
      <c r="L805" s="108"/>
      <c r="M805" s="100"/>
      <c r="N805" s="100"/>
    </row>
    <row r="806" spans="2:14" s="98" customFormat="1">
      <c r="B806" s="99" t="s">
        <v>735</v>
      </c>
      <c r="C806" s="109">
        <v>46255</v>
      </c>
      <c r="D806" s="98" t="s">
        <v>744</v>
      </c>
      <c r="E806" s="103">
        <v>-6</v>
      </c>
      <c r="F806" s="98" t="s">
        <v>239</v>
      </c>
      <c r="I806" s="98" t="s">
        <v>737</v>
      </c>
      <c r="K806" s="100"/>
      <c r="L806" s="108"/>
      <c r="M806" s="100"/>
      <c r="N806" s="100"/>
    </row>
    <row r="807" spans="2:14" s="98" customFormat="1">
      <c r="B807" s="99" t="s">
        <v>735</v>
      </c>
      <c r="C807" s="109">
        <v>46255</v>
      </c>
      <c r="D807" s="98" t="s">
        <v>690</v>
      </c>
      <c r="E807" s="103">
        <v>-12403</v>
      </c>
      <c r="F807" s="98" t="s">
        <v>239</v>
      </c>
      <c r="I807" s="98" t="s">
        <v>738</v>
      </c>
      <c r="K807" s="100"/>
      <c r="L807" s="108"/>
      <c r="M807" s="100"/>
      <c r="N807" s="100"/>
    </row>
    <row r="808" spans="2:14" s="98" customFormat="1">
      <c r="B808" s="99" t="s">
        <v>735</v>
      </c>
      <c r="C808" s="109">
        <v>46255</v>
      </c>
      <c r="D808" s="98" t="s">
        <v>297</v>
      </c>
      <c r="E808" s="103">
        <v>5680</v>
      </c>
      <c r="F808" s="98" t="s">
        <v>240</v>
      </c>
      <c r="G808" s="98" t="s">
        <v>374</v>
      </c>
      <c r="H808" s="98" t="s">
        <v>516</v>
      </c>
      <c r="I808" s="98" t="s">
        <v>247</v>
      </c>
      <c r="K808" s="100"/>
      <c r="L808" s="108"/>
      <c r="M808" s="100"/>
      <c r="N808" s="100"/>
    </row>
    <row r="809" spans="2:14" s="98" customFormat="1" ht="13.5" customHeight="1">
      <c r="B809" s="99" t="s">
        <v>735</v>
      </c>
      <c r="C809" s="109">
        <v>46255</v>
      </c>
      <c r="D809" s="98" t="s">
        <v>711</v>
      </c>
      <c r="E809" s="103">
        <v>15000</v>
      </c>
      <c r="F809" s="98" t="s">
        <v>240</v>
      </c>
      <c r="G809" s="98" t="s">
        <v>374</v>
      </c>
      <c r="H809" s="98" t="s">
        <v>516</v>
      </c>
      <c r="I809" s="98" t="s">
        <v>270</v>
      </c>
      <c r="K809" s="100"/>
      <c r="L809" s="108"/>
      <c r="M809" s="100"/>
      <c r="N809" s="100"/>
    </row>
    <row r="810" spans="2:14" s="98" customFormat="1">
      <c r="B810" s="99" t="s">
        <v>735</v>
      </c>
      <c r="C810" s="109">
        <v>46255</v>
      </c>
      <c r="D810" s="98" t="s">
        <v>727</v>
      </c>
      <c r="E810" s="103">
        <v>6000</v>
      </c>
      <c r="F810" s="98" t="s">
        <v>240</v>
      </c>
      <c r="G810" s="98" t="s">
        <v>374</v>
      </c>
      <c r="H810" s="98" t="s">
        <v>516</v>
      </c>
      <c r="I810" s="98" t="s">
        <v>244</v>
      </c>
      <c r="K810" s="100"/>
      <c r="L810" s="108"/>
      <c r="M810" s="100"/>
      <c r="N810" s="100"/>
    </row>
    <row r="811" spans="2:14" s="98" customFormat="1">
      <c r="B811" s="99" t="s">
        <v>735</v>
      </c>
      <c r="C811" s="109">
        <v>46254</v>
      </c>
      <c r="D811" s="98" t="s">
        <v>690</v>
      </c>
      <c r="E811" s="103">
        <v>-55804</v>
      </c>
      <c r="F811" s="98" t="s">
        <v>239</v>
      </c>
      <c r="I811" s="98" t="s">
        <v>738</v>
      </c>
      <c r="K811" s="100"/>
      <c r="L811" s="108"/>
      <c r="M811" s="100"/>
      <c r="N811" s="100"/>
    </row>
    <row r="812" spans="2:14" s="98" customFormat="1">
      <c r="B812" s="99" t="s">
        <v>735</v>
      </c>
      <c r="C812" s="109">
        <v>46254</v>
      </c>
      <c r="D812" s="98" t="s">
        <v>797</v>
      </c>
      <c r="E812" s="103">
        <v>20000</v>
      </c>
      <c r="F812" s="98" t="s">
        <v>240</v>
      </c>
      <c r="G812" s="98" t="s">
        <v>374</v>
      </c>
      <c r="H812" s="98" t="s">
        <v>516</v>
      </c>
      <c r="I812" s="98" t="s">
        <v>739</v>
      </c>
      <c r="K812" s="100"/>
      <c r="L812" s="108"/>
      <c r="M812" s="100"/>
      <c r="N812" s="100"/>
    </row>
    <row r="813" spans="2:14" s="98" customFormat="1">
      <c r="B813" s="99" t="s">
        <v>735</v>
      </c>
      <c r="C813" s="109">
        <v>46254</v>
      </c>
      <c r="D813" s="98" t="s">
        <v>744</v>
      </c>
      <c r="E813" s="103">
        <v>-3</v>
      </c>
      <c r="F813" s="98" t="s">
        <v>239</v>
      </c>
      <c r="I813" s="98" t="s">
        <v>737</v>
      </c>
      <c r="K813" s="100"/>
      <c r="L813" s="108"/>
      <c r="M813" s="100"/>
      <c r="N813" s="100"/>
    </row>
    <row r="814" spans="2:14" s="98" customFormat="1">
      <c r="B814" s="99" t="s">
        <v>735</v>
      </c>
      <c r="C814" s="109">
        <v>46253</v>
      </c>
      <c r="D814" s="98" t="s">
        <v>711</v>
      </c>
      <c r="E814" s="103">
        <v>10000</v>
      </c>
      <c r="F814" s="98" t="s">
        <v>240</v>
      </c>
      <c r="G814" s="98" t="s">
        <v>374</v>
      </c>
      <c r="H814" s="98" t="s">
        <v>516</v>
      </c>
      <c r="I814" s="98" t="s">
        <v>270</v>
      </c>
      <c r="K814" s="100"/>
      <c r="L814" s="108"/>
      <c r="M814" s="100"/>
      <c r="N814" s="100"/>
    </row>
    <row r="815" spans="2:14" s="98" customFormat="1">
      <c r="B815" s="99" t="s">
        <v>735</v>
      </c>
      <c r="C815" s="109">
        <v>46253</v>
      </c>
      <c r="D815" s="98" t="s">
        <v>744</v>
      </c>
      <c r="E815" s="103">
        <v>-5</v>
      </c>
      <c r="F815" s="98" t="s">
        <v>239</v>
      </c>
      <c r="I815" s="98" t="s">
        <v>737</v>
      </c>
      <c r="K815" s="100"/>
      <c r="L815" s="108"/>
      <c r="M815" s="100"/>
      <c r="N815" s="100"/>
    </row>
    <row r="816" spans="2:14" s="98" customFormat="1">
      <c r="B816" s="99" t="s">
        <v>735</v>
      </c>
      <c r="C816" s="109">
        <v>46253</v>
      </c>
      <c r="D816" s="98" t="s">
        <v>740</v>
      </c>
      <c r="E816" s="103">
        <v>-22</v>
      </c>
      <c r="F816" s="98" t="s">
        <v>239</v>
      </c>
      <c r="I816" s="98" t="s">
        <v>737</v>
      </c>
      <c r="K816" s="100"/>
      <c r="L816" s="108"/>
      <c r="M816" s="100"/>
      <c r="N816" s="100"/>
    </row>
    <row r="817" spans="2:14" s="98" customFormat="1">
      <c r="B817" s="99" t="s">
        <v>735</v>
      </c>
      <c r="C817" s="109">
        <v>46253</v>
      </c>
      <c r="D817" s="98" t="s">
        <v>745</v>
      </c>
      <c r="E817" s="103">
        <v>4459</v>
      </c>
      <c r="F817" s="98" t="s">
        <v>240</v>
      </c>
      <c r="G817" s="98" t="s">
        <v>374</v>
      </c>
      <c r="H817" s="98" t="s">
        <v>513</v>
      </c>
      <c r="I817" s="98" t="s">
        <v>242</v>
      </c>
      <c r="K817" s="100"/>
      <c r="L817" s="108"/>
      <c r="M817" s="100"/>
      <c r="N817" s="100"/>
    </row>
    <row r="818" spans="2:14" s="98" customFormat="1">
      <c r="B818" s="99" t="s">
        <v>735</v>
      </c>
      <c r="C818" s="109">
        <v>46253</v>
      </c>
      <c r="D818" s="98" t="s">
        <v>740</v>
      </c>
      <c r="E818" s="103">
        <v>-133</v>
      </c>
      <c r="F818" s="98" t="s">
        <v>239</v>
      </c>
      <c r="I818" s="98" t="s">
        <v>737</v>
      </c>
      <c r="K818" s="100"/>
      <c r="L818" s="108"/>
      <c r="M818" s="100"/>
      <c r="N818" s="100"/>
    </row>
    <row r="819" spans="2:14" s="98" customFormat="1">
      <c r="B819" s="99" t="s">
        <v>735</v>
      </c>
      <c r="C819" s="109">
        <v>46253</v>
      </c>
      <c r="D819" s="98" t="s">
        <v>785</v>
      </c>
      <c r="E819" s="103">
        <v>26672</v>
      </c>
      <c r="F819" s="98" t="s">
        <v>240</v>
      </c>
      <c r="G819" s="98" t="s">
        <v>374</v>
      </c>
      <c r="H819" s="98" t="s">
        <v>516</v>
      </c>
      <c r="I819" s="98" t="s">
        <v>245</v>
      </c>
      <c r="K819" s="100"/>
      <c r="L819" s="108"/>
      <c r="M819" s="100"/>
      <c r="N819" s="100"/>
    </row>
    <row r="820" spans="2:14" s="98" customFormat="1">
      <c r="B820" s="99" t="s">
        <v>735</v>
      </c>
      <c r="C820" s="109">
        <v>46253</v>
      </c>
      <c r="D820" s="98" t="s">
        <v>740</v>
      </c>
      <c r="E820" s="103">
        <v>-3</v>
      </c>
      <c r="F820" s="98" t="s">
        <v>239</v>
      </c>
      <c r="I820" s="98" t="s">
        <v>737</v>
      </c>
      <c r="K820" s="100"/>
      <c r="L820" s="108"/>
      <c r="M820" s="100"/>
      <c r="N820" s="100"/>
    </row>
    <row r="821" spans="2:14" s="98" customFormat="1">
      <c r="B821" s="99" t="s">
        <v>735</v>
      </c>
      <c r="C821" s="109">
        <v>46253</v>
      </c>
      <c r="D821" s="98" t="s">
        <v>778</v>
      </c>
      <c r="E821" s="103">
        <v>550</v>
      </c>
      <c r="F821" s="98" t="s">
        <v>240</v>
      </c>
      <c r="G821" s="98" t="s">
        <v>374</v>
      </c>
      <c r="H821" s="98" t="s">
        <v>516</v>
      </c>
      <c r="I821" s="98" t="s">
        <v>241</v>
      </c>
      <c r="K821" s="100"/>
      <c r="L821" s="108"/>
      <c r="M821" s="100"/>
      <c r="N821" s="100"/>
    </row>
    <row r="822" spans="2:14" s="98" customFormat="1">
      <c r="B822" s="99" t="s">
        <v>735</v>
      </c>
      <c r="C822" s="109">
        <v>46253</v>
      </c>
      <c r="D822" s="98" t="s">
        <v>709</v>
      </c>
      <c r="E822" s="103">
        <v>8000</v>
      </c>
      <c r="F822" s="98" t="s">
        <v>240</v>
      </c>
      <c r="G822" s="98" t="s">
        <v>374</v>
      </c>
      <c r="H822" s="98" t="s">
        <v>516</v>
      </c>
      <c r="I822" s="98" t="s">
        <v>248</v>
      </c>
      <c r="K822" s="100"/>
      <c r="L822" s="108"/>
      <c r="M822" s="100"/>
      <c r="N822" s="100"/>
    </row>
    <row r="823" spans="2:14" s="98" customFormat="1">
      <c r="B823" s="99" t="s">
        <v>735</v>
      </c>
      <c r="C823" s="109">
        <v>46253</v>
      </c>
      <c r="D823" s="98" t="s">
        <v>740</v>
      </c>
      <c r="E823" s="103">
        <v>-15</v>
      </c>
      <c r="F823" s="98" t="s">
        <v>239</v>
      </c>
      <c r="I823" s="98" t="s">
        <v>737</v>
      </c>
      <c r="K823" s="100"/>
      <c r="L823" s="108"/>
      <c r="M823" s="100"/>
      <c r="N823" s="100"/>
    </row>
    <row r="824" spans="2:14" s="98" customFormat="1">
      <c r="B824" s="99" t="s">
        <v>735</v>
      </c>
      <c r="C824" s="109">
        <v>46253</v>
      </c>
      <c r="D824" s="98" t="s">
        <v>795</v>
      </c>
      <c r="E824" s="103">
        <v>3000</v>
      </c>
      <c r="F824" s="98" t="s">
        <v>240</v>
      </c>
      <c r="G824" s="98" t="s">
        <v>374</v>
      </c>
      <c r="H824" s="98" t="s">
        <v>516</v>
      </c>
      <c r="I824" s="98" t="s">
        <v>247</v>
      </c>
      <c r="K824" s="100"/>
      <c r="L824" s="108"/>
      <c r="M824" s="100"/>
      <c r="N824" s="100"/>
    </row>
    <row r="825" spans="2:14" s="98" customFormat="1">
      <c r="B825" s="99" t="s">
        <v>735</v>
      </c>
      <c r="C825" s="109">
        <v>46252</v>
      </c>
      <c r="D825" s="98" t="s">
        <v>297</v>
      </c>
      <c r="E825" s="103">
        <v>3590</v>
      </c>
      <c r="F825" s="98" t="s">
        <v>240</v>
      </c>
      <c r="G825" s="98" t="s">
        <v>374</v>
      </c>
      <c r="H825" s="98" t="s">
        <v>516</v>
      </c>
      <c r="I825" s="98" t="s">
        <v>247</v>
      </c>
      <c r="K825" s="100"/>
      <c r="L825" s="108"/>
      <c r="M825" s="100"/>
      <c r="N825" s="100"/>
    </row>
    <row r="826" spans="2:14" s="98" customFormat="1">
      <c r="B826" s="99" t="s">
        <v>735</v>
      </c>
      <c r="C826" s="109">
        <v>46252</v>
      </c>
      <c r="D826" s="98" t="s">
        <v>744</v>
      </c>
      <c r="E826" s="103">
        <v>-5</v>
      </c>
      <c r="F826" s="98" t="s">
        <v>239</v>
      </c>
      <c r="I826" s="98" t="s">
        <v>737</v>
      </c>
      <c r="K826" s="100"/>
      <c r="L826" s="108"/>
      <c r="M826" s="100"/>
      <c r="N826" s="100"/>
    </row>
    <row r="827" spans="2:14" s="98" customFormat="1">
      <c r="B827" s="99" t="s">
        <v>735</v>
      </c>
      <c r="C827" s="109">
        <v>46252</v>
      </c>
      <c r="D827" s="98" t="s">
        <v>740</v>
      </c>
      <c r="E827" s="103">
        <v>-4</v>
      </c>
      <c r="F827" s="98" t="s">
        <v>239</v>
      </c>
      <c r="I827" s="98" t="s">
        <v>737</v>
      </c>
      <c r="K827" s="100"/>
      <c r="L827" s="108"/>
      <c r="M827" s="100"/>
      <c r="N827" s="100"/>
    </row>
    <row r="828" spans="2:14" s="98" customFormat="1">
      <c r="B828" s="99" t="s">
        <v>735</v>
      </c>
      <c r="C828" s="109">
        <v>46252</v>
      </c>
      <c r="D828" s="98" t="s">
        <v>702</v>
      </c>
      <c r="E828" s="103">
        <v>700</v>
      </c>
      <c r="F828" s="98" t="s">
        <v>240</v>
      </c>
      <c r="G828" s="98" t="s">
        <v>374</v>
      </c>
      <c r="H828" s="98" t="s">
        <v>516</v>
      </c>
      <c r="I828" s="98" t="s">
        <v>247</v>
      </c>
      <c r="K828" s="100"/>
      <c r="L828" s="108"/>
      <c r="M828" s="100"/>
      <c r="N828" s="100"/>
    </row>
    <row r="829" spans="2:14" s="98" customFormat="1">
      <c r="B829" s="99" t="s">
        <v>735</v>
      </c>
      <c r="C829" s="109">
        <v>46252</v>
      </c>
      <c r="D829" s="98" t="s">
        <v>740</v>
      </c>
      <c r="E829" s="103">
        <v>-54</v>
      </c>
      <c r="F829" s="98" t="s">
        <v>239</v>
      </c>
      <c r="I829" s="98" t="s">
        <v>737</v>
      </c>
      <c r="K829" s="100"/>
      <c r="L829" s="108"/>
      <c r="M829" s="100"/>
      <c r="N829" s="100"/>
    </row>
    <row r="830" spans="2:14" s="98" customFormat="1">
      <c r="B830" s="99" t="s">
        <v>735</v>
      </c>
      <c r="C830" s="109">
        <v>46252</v>
      </c>
      <c r="D830" s="98" t="s">
        <v>796</v>
      </c>
      <c r="E830" s="103">
        <v>10810</v>
      </c>
      <c r="F830" s="98" t="s">
        <v>240</v>
      </c>
      <c r="G830" s="98" t="s">
        <v>374</v>
      </c>
      <c r="H830" s="98" t="s">
        <v>516</v>
      </c>
      <c r="I830" s="98" t="s">
        <v>245</v>
      </c>
      <c r="K830" s="100"/>
      <c r="L830" s="108"/>
      <c r="M830" s="100"/>
      <c r="N830" s="100"/>
    </row>
    <row r="831" spans="2:14" s="98" customFormat="1">
      <c r="B831" s="99" t="s">
        <v>735</v>
      </c>
      <c r="C831" s="109">
        <v>46252</v>
      </c>
      <c r="D831" s="98" t="s">
        <v>740</v>
      </c>
      <c r="E831" s="103">
        <v>-45</v>
      </c>
      <c r="F831" s="98" t="s">
        <v>239</v>
      </c>
      <c r="I831" s="98" t="s">
        <v>737</v>
      </c>
      <c r="K831" s="100"/>
      <c r="L831" s="108"/>
      <c r="M831" s="100"/>
      <c r="N831" s="100"/>
    </row>
    <row r="832" spans="2:14" s="98" customFormat="1">
      <c r="B832" s="99" t="s">
        <v>735</v>
      </c>
      <c r="C832" s="109">
        <v>46252</v>
      </c>
      <c r="D832" s="98" t="s">
        <v>784</v>
      </c>
      <c r="E832" s="103">
        <v>9050</v>
      </c>
      <c r="F832" s="98" t="s">
        <v>240</v>
      </c>
      <c r="G832" s="98" t="s">
        <v>374</v>
      </c>
      <c r="H832" s="98" t="s">
        <v>516</v>
      </c>
      <c r="I832" s="98" t="s">
        <v>245</v>
      </c>
      <c r="K832" s="100"/>
      <c r="L832" s="108"/>
      <c r="M832" s="100"/>
      <c r="N832" s="100"/>
    </row>
    <row r="833" spans="2:14" s="98" customFormat="1">
      <c r="B833" s="99" t="s">
        <v>735</v>
      </c>
      <c r="C833" s="109">
        <v>46252</v>
      </c>
      <c r="D833" s="98" t="s">
        <v>711</v>
      </c>
      <c r="E833" s="103">
        <v>14787</v>
      </c>
      <c r="F833" s="98" t="s">
        <v>240</v>
      </c>
      <c r="G833" s="98" t="s">
        <v>374</v>
      </c>
      <c r="H833" s="98" t="s">
        <v>516</v>
      </c>
      <c r="I833" s="98" t="s">
        <v>270</v>
      </c>
      <c r="K833" s="100"/>
      <c r="L833" s="108"/>
      <c r="M833" s="100"/>
      <c r="N833" s="100"/>
    </row>
    <row r="834" spans="2:14" s="98" customFormat="1">
      <c r="B834" s="99" t="s">
        <v>735</v>
      </c>
      <c r="C834" s="109">
        <v>46252</v>
      </c>
      <c r="D834" s="98" t="s">
        <v>740</v>
      </c>
      <c r="E834" s="103">
        <v>-5</v>
      </c>
      <c r="F834" s="98" t="s">
        <v>239</v>
      </c>
      <c r="I834" s="98" t="s">
        <v>737</v>
      </c>
      <c r="K834" s="100"/>
      <c r="L834" s="108"/>
      <c r="M834" s="100"/>
      <c r="N834" s="100"/>
    </row>
    <row r="835" spans="2:14" s="98" customFormat="1">
      <c r="B835" s="99" t="s">
        <v>735</v>
      </c>
      <c r="C835" s="109">
        <v>46252</v>
      </c>
      <c r="D835" s="98" t="s">
        <v>748</v>
      </c>
      <c r="E835" s="103">
        <v>1000</v>
      </c>
      <c r="F835" s="98" t="s">
        <v>240</v>
      </c>
      <c r="G835" s="98" t="s">
        <v>374</v>
      </c>
      <c r="H835" s="98" t="s">
        <v>516</v>
      </c>
      <c r="I835" s="98" t="s">
        <v>247</v>
      </c>
      <c r="K835" s="100"/>
      <c r="L835" s="108"/>
      <c r="M835" s="100"/>
      <c r="N835" s="100"/>
    </row>
    <row r="836" spans="2:14" s="98" customFormat="1">
      <c r="B836" s="99" t="s">
        <v>735</v>
      </c>
      <c r="C836" s="109">
        <v>46252</v>
      </c>
      <c r="D836" s="98" t="s">
        <v>740</v>
      </c>
      <c r="E836" s="103">
        <v>-22</v>
      </c>
      <c r="F836" s="98" t="s">
        <v>239</v>
      </c>
      <c r="I836" s="98" t="s">
        <v>737</v>
      </c>
      <c r="K836" s="100"/>
      <c r="L836" s="108"/>
      <c r="M836" s="100"/>
      <c r="N836" s="100"/>
    </row>
    <row r="837" spans="2:14" s="98" customFormat="1">
      <c r="B837" s="99" t="s">
        <v>735</v>
      </c>
      <c r="C837" s="109">
        <v>46252</v>
      </c>
      <c r="D837" s="98" t="s">
        <v>745</v>
      </c>
      <c r="E837" s="103">
        <v>4459</v>
      </c>
      <c r="F837" s="98" t="s">
        <v>240</v>
      </c>
      <c r="G837" s="98" t="s">
        <v>374</v>
      </c>
      <c r="H837" s="98" t="s">
        <v>513</v>
      </c>
      <c r="I837" s="98" t="s">
        <v>242</v>
      </c>
      <c r="K837" s="100"/>
      <c r="L837" s="108"/>
      <c r="M837" s="100"/>
      <c r="N837" s="100"/>
    </row>
    <row r="838" spans="2:14" s="98" customFormat="1">
      <c r="B838" s="99" t="s">
        <v>735</v>
      </c>
      <c r="C838" s="109">
        <v>46252</v>
      </c>
      <c r="D838" s="98" t="s">
        <v>740</v>
      </c>
      <c r="E838" s="103">
        <v>-493</v>
      </c>
      <c r="F838" s="98" t="s">
        <v>239</v>
      </c>
      <c r="I838" s="98" t="s">
        <v>737</v>
      </c>
      <c r="K838" s="100"/>
      <c r="L838" s="108"/>
      <c r="M838" s="100"/>
      <c r="N838" s="100"/>
    </row>
    <row r="839" spans="2:14" s="98" customFormat="1">
      <c r="B839" s="99" t="s">
        <v>735</v>
      </c>
      <c r="C839" s="109">
        <v>46252</v>
      </c>
      <c r="D839" s="98" t="s">
        <v>741</v>
      </c>
      <c r="E839" s="103">
        <v>-13390</v>
      </c>
      <c r="F839" s="98" t="s">
        <v>239</v>
      </c>
      <c r="I839" s="98" t="s">
        <v>736</v>
      </c>
      <c r="K839" s="100"/>
      <c r="L839" s="108"/>
      <c r="M839" s="100"/>
      <c r="N839" s="100"/>
    </row>
    <row r="840" spans="2:14" s="98" customFormat="1">
      <c r="B840" s="99" t="s">
        <v>735</v>
      </c>
      <c r="C840" s="109">
        <v>46252</v>
      </c>
      <c r="D840" s="98" t="s">
        <v>742</v>
      </c>
      <c r="E840" s="103">
        <v>20890</v>
      </c>
      <c r="F840" s="98" t="s">
        <v>240</v>
      </c>
      <c r="G840" s="98" t="s">
        <v>374</v>
      </c>
      <c r="H840" s="98" t="s">
        <v>516</v>
      </c>
      <c r="I840" s="98" t="s">
        <v>244</v>
      </c>
      <c r="K840" s="100"/>
      <c r="L840" s="108"/>
      <c r="M840" s="100"/>
      <c r="N840" s="100"/>
    </row>
    <row r="841" spans="2:14" s="98" customFormat="1">
      <c r="B841" s="99" t="s">
        <v>735</v>
      </c>
      <c r="C841" s="109">
        <v>46251</v>
      </c>
      <c r="D841" s="98" t="s">
        <v>690</v>
      </c>
      <c r="E841" s="103">
        <v>-73772</v>
      </c>
      <c r="F841" s="98" t="s">
        <v>239</v>
      </c>
      <c r="I841" s="98" t="s">
        <v>738</v>
      </c>
      <c r="K841" s="100"/>
      <c r="L841" s="108"/>
      <c r="M841" s="100"/>
      <c r="N841" s="100"/>
    </row>
    <row r="842" spans="2:14" s="98" customFormat="1">
      <c r="B842" s="99" t="s">
        <v>735</v>
      </c>
      <c r="C842" s="109">
        <v>46251</v>
      </c>
      <c r="D842" s="98" t="s">
        <v>744</v>
      </c>
      <c r="E842" s="103">
        <v>-7</v>
      </c>
      <c r="F842" s="98" t="s">
        <v>239</v>
      </c>
      <c r="I842" s="98" t="s">
        <v>737</v>
      </c>
      <c r="K842" s="100"/>
      <c r="L842" s="108"/>
      <c r="M842" s="100"/>
      <c r="N842" s="100"/>
    </row>
    <row r="843" spans="2:14" s="98" customFormat="1">
      <c r="B843" s="99" t="s">
        <v>735</v>
      </c>
      <c r="C843" s="109">
        <v>46251</v>
      </c>
      <c r="D843" s="98" t="s">
        <v>711</v>
      </c>
      <c r="E843" s="103">
        <v>15287</v>
      </c>
      <c r="F843" s="98" t="s">
        <v>240</v>
      </c>
      <c r="G843" s="98" t="s">
        <v>374</v>
      </c>
      <c r="H843" s="98" t="s">
        <v>516</v>
      </c>
      <c r="I843" s="98" t="s">
        <v>270</v>
      </c>
      <c r="K843" s="100"/>
      <c r="L843" s="108"/>
      <c r="M843" s="100"/>
      <c r="N843" s="100"/>
    </row>
    <row r="844" spans="2:14" s="98" customFormat="1">
      <c r="B844" s="99" t="s">
        <v>735</v>
      </c>
      <c r="C844" s="109">
        <v>46251</v>
      </c>
      <c r="D844" s="98" t="s">
        <v>740</v>
      </c>
      <c r="E844" s="103">
        <v>-22</v>
      </c>
      <c r="F844" s="98" t="s">
        <v>239</v>
      </c>
      <c r="I844" s="98" t="s">
        <v>737</v>
      </c>
      <c r="K844" s="100"/>
      <c r="L844" s="108"/>
      <c r="M844" s="100"/>
      <c r="N844" s="100"/>
    </row>
    <row r="845" spans="2:14" s="98" customFormat="1">
      <c r="B845" s="99" t="s">
        <v>735</v>
      </c>
      <c r="C845" s="109">
        <v>46251</v>
      </c>
      <c r="D845" s="98" t="s">
        <v>745</v>
      </c>
      <c r="E845" s="103">
        <v>4459</v>
      </c>
      <c r="F845" s="98" t="s">
        <v>240</v>
      </c>
      <c r="G845" s="98" t="s">
        <v>374</v>
      </c>
      <c r="H845" s="98" t="s">
        <v>513</v>
      </c>
      <c r="I845" s="98" t="s">
        <v>242</v>
      </c>
      <c r="K845" s="100"/>
      <c r="L845" s="108"/>
      <c r="M845" s="100"/>
      <c r="N845" s="100"/>
    </row>
    <row r="846" spans="2:14" s="98" customFormat="1">
      <c r="B846" s="99" t="s">
        <v>735</v>
      </c>
      <c r="C846" s="109">
        <v>46251</v>
      </c>
      <c r="D846" s="98" t="s">
        <v>758</v>
      </c>
      <c r="E846" s="103">
        <v>-2829</v>
      </c>
      <c r="F846" s="98" t="s">
        <v>239</v>
      </c>
      <c r="I846" s="98" t="s">
        <v>737</v>
      </c>
      <c r="K846" s="100"/>
      <c r="L846" s="108"/>
      <c r="M846" s="100"/>
      <c r="N846" s="100"/>
    </row>
    <row r="847" spans="2:14" s="98" customFormat="1">
      <c r="B847" s="99" t="s">
        <v>735</v>
      </c>
      <c r="C847" s="109">
        <v>46251</v>
      </c>
      <c r="D847" s="98" t="s">
        <v>546</v>
      </c>
      <c r="E847" s="103">
        <v>-31079</v>
      </c>
      <c r="F847" s="98" t="s">
        <v>239</v>
      </c>
      <c r="K847" s="100"/>
      <c r="L847" s="108"/>
      <c r="M847" s="100"/>
      <c r="N847" s="100"/>
    </row>
    <row r="848" spans="2:14" s="98" customFormat="1">
      <c r="B848" s="99" t="s">
        <v>735</v>
      </c>
      <c r="C848" s="109">
        <v>46251</v>
      </c>
      <c r="D848" s="98" t="s">
        <v>740</v>
      </c>
      <c r="E848" s="103">
        <v>-138</v>
      </c>
      <c r="F848" s="98" t="s">
        <v>239</v>
      </c>
      <c r="I848" s="98" t="s">
        <v>737</v>
      </c>
      <c r="K848" s="100"/>
      <c r="L848" s="108"/>
      <c r="M848" s="100"/>
      <c r="N848" s="100"/>
    </row>
    <row r="849" spans="2:14" s="98" customFormat="1">
      <c r="B849" s="99" t="s">
        <v>735</v>
      </c>
      <c r="C849" s="109">
        <v>46251</v>
      </c>
      <c r="D849" s="98" t="s">
        <v>794</v>
      </c>
      <c r="E849" s="103">
        <v>27569</v>
      </c>
      <c r="F849" s="98" t="s">
        <v>240</v>
      </c>
      <c r="G849" s="98" t="s">
        <v>374</v>
      </c>
      <c r="H849" s="98" t="s">
        <v>516</v>
      </c>
      <c r="I849" s="98" t="s">
        <v>245</v>
      </c>
      <c r="K849" s="100"/>
      <c r="L849" s="108"/>
      <c r="M849" s="100"/>
      <c r="N849" s="100"/>
    </row>
    <row r="850" spans="2:14" s="98" customFormat="1">
      <c r="B850" s="99" t="s">
        <v>735</v>
      </c>
      <c r="C850" s="109">
        <v>46250</v>
      </c>
      <c r="D850" s="98" t="s">
        <v>740</v>
      </c>
      <c r="E850" s="103">
        <v>-80</v>
      </c>
      <c r="F850" s="98" t="s">
        <v>239</v>
      </c>
      <c r="I850" s="98" t="s">
        <v>737</v>
      </c>
      <c r="K850" s="100"/>
      <c r="L850" s="108"/>
      <c r="M850" s="100"/>
      <c r="N850" s="100"/>
    </row>
    <row r="851" spans="2:14" s="98" customFormat="1">
      <c r="B851" s="99" t="s">
        <v>735</v>
      </c>
      <c r="C851" s="109">
        <v>46250</v>
      </c>
      <c r="D851" s="98" t="s">
        <v>784</v>
      </c>
      <c r="E851" s="103">
        <v>16030</v>
      </c>
      <c r="F851" s="98" t="s">
        <v>240</v>
      </c>
      <c r="G851" s="98" t="s">
        <v>374</v>
      </c>
      <c r="H851" s="98" t="s">
        <v>516</v>
      </c>
      <c r="I851" s="98" t="s">
        <v>245</v>
      </c>
      <c r="K851" s="100"/>
      <c r="L851" s="108"/>
      <c r="M851" s="100"/>
      <c r="N851" s="100"/>
    </row>
    <row r="852" spans="2:14" s="98" customFormat="1">
      <c r="B852" s="99" t="s">
        <v>735</v>
      </c>
      <c r="C852" s="109">
        <v>46250</v>
      </c>
      <c r="D852" s="98" t="s">
        <v>740</v>
      </c>
      <c r="E852" s="103">
        <v>-137</v>
      </c>
      <c r="F852" s="98" t="s">
        <v>239</v>
      </c>
      <c r="I852" s="98" t="s">
        <v>737</v>
      </c>
      <c r="K852" s="100"/>
      <c r="L852" s="108"/>
      <c r="M852" s="100"/>
      <c r="N852" s="100"/>
    </row>
    <row r="853" spans="2:14" s="98" customFormat="1">
      <c r="B853" s="99" t="s">
        <v>735</v>
      </c>
      <c r="C853" s="109">
        <v>46250</v>
      </c>
      <c r="D853" s="98" t="s">
        <v>785</v>
      </c>
      <c r="E853" s="103">
        <v>27486</v>
      </c>
      <c r="F853" s="98" t="s">
        <v>240</v>
      </c>
      <c r="G853" s="98" t="s">
        <v>374</v>
      </c>
      <c r="H853" s="98" t="s">
        <v>516</v>
      </c>
      <c r="I853" s="98" t="s">
        <v>245</v>
      </c>
      <c r="K853" s="100"/>
      <c r="L853" s="108"/>
      <c r="M853" s="100"/>
      <c r="N853" s="100"/>
    </row>
    <row r="854" spans="2:14" s="98" customFormat="1">
      <c r="B854" s="99" t="s">
        <v>735</v>
      </c>
      <c r="C854" s="109">
        <v>46250</v>
      </c>
      <c r="D854" s="98" t="s">
        <v>740</v>
      </c>
      <c r="E854" s="103">
        <v>-28</v>
      </c>
      <c r="F854" s="98" t="s">
        <v>239</v>
      </c>
      <c r="I854" s="98" t="s">
        <v>737</v>
      </c>
      <c r="K854" s="100"/>
      <c r="L854" s="108"/>
      <c r="M854" s="100"/>
      <c r="N854" s="100"/>
    </row>
    <row r="855" spans="2:14" s="98" customFormat="1">
      <c r="B855" s="99" t="s">
        <v>735</v>
      </c>
      <c r="C855" s="109">
        <v>46250</v>
      </c>
      <c r="D855" s="98" t="s">
        <v>786</v>
      </c>
      <c r="E855" s="103">
        <v>5590</v>
      </c>
      <c r="F855" s="98" t="s">
        <v>240</v>
      </c>
      <c r="G855" s="98" t="s">
        <v>374</v>
      </c>
      <c r="H855" s="98" t="s">
        <v>516</v>
      </c>
      <c r="I855" s="98" t="s">
        <v>244</v>
      </c>
      <c r="K855" s="100"/>
      <c r="L855" s="108"/>
      <c r="M855" s="100"/>
      <c r="N855" s="100"/>
    </row>
    <row r="856" spans="2:14" s="98" customFormat="1">
      <c r="B856" s="99" t="s">
        <v>735</v>
      </c>
      <c r="C856" s="109">
        <v>46250</v>
      </c>
      <c r="D856" s="98" t="s">
        <v>740</v>
      </c>
      <c r="E856" s="103">
        <v>-13</v>
      </c>
      <c r="F856" s="98" t="s">
        <v>239</v>
      </c>
      <c r="I856" s="98" t="s">
        <v>737</v>
      </c>
      <c r="K856" s="100"/>
      <c r="L856" s="108"/>
      <c r="M856" s="100"/>
      <c r="N856" s="100"/>
    </row>
    <row r="857" spans="2:14" s="98" customFormat="1">
      <c r="B857" s="99" t="s">
        <v>735</v>
      </c>
      <c r="C857" s="109">
        <v>46250</v>
      </c>
      <c r="D857" s="98" t="s">
        <v>772</v>
      </c>
      <c r="E857" s="103">
        <v>2500</v>
      </c>
      <c r="F857" s="98" t="s">
        <v>240</v>
      </c>
      <c r="G857" s="98" t="s">
        <v>374</v>
      </c>
      <c r="H857" s="98" t="s">
        <v>516</v>
      </c>
      <c r="I857" s="98" t="s">
        <v>247</v>
      </c>
      <c r="K857" s="100"/>
      <c r="L857" s="108"/>
      <c r="M857" s="100"/>
      <c r="N857" s="100"/>
    </row>
    <row r="858" spans="2:14" s="98" customFormat="1">
      <c r="B858" s="99" t="s">
        <v>735</v>
      </c>
      <c r="C858" s="109">
        <v>46250</v>
      </c>
      <c r="D858" s="98" t="s">
        <v>740</v>
      </c>
      <c r="E858" s="103">
        <v>-26</v>
      </c>
      <c r="F858" s="98" t="s">
        <v>239</v>
      </c>
      <c r="I858" s="98" t="s">
        <v>737</v>
      </c>
      <c r="K858" s="100"/>
      <c r="L858" s="108"/>
      <c r="M858" s="100"/>
      <c r="N858" s="100"/>
    </row>
    <row r="859" spans="2:14" s="98" customFormat="1">
      <c r="B859" s="99" t="s">
        <v>735</v>
      </c>
      <c r="C859" s="109">
        <v>46250</v>
      </c>
      <c r="D859" s="98" t="s">
        <v>787</v>
      </c>
      <c r="E859" s="103">
        <v>5196</v>
      </c>
      <c r="F859" s="98" t="s">
        <v>240</v>
      </c>
      <c r="G859" s="98" t="s">
        <v>374</v>
      </c>
      <c r="H859" s="98" t="s">
        <v>516</v>
      </c>
      <c r="I859" s="98" t="s">
        <v>269</v>
      </c>
      <c r="K859" s="100"/>
      <c r="L859" s="108"/>
      <c r="M859" s="100"/>
      <c r="N859" s="100"/>
    </row>
    <row r="860" spans="2:14" s="98" customFormat="1">
      <c r="B860" s="99" t="s">
        <v>735</v>
      </c>
      <c r="C860" s="109">
        <v>46250</v>
      </c>
      <c r="D860" s="98" t="s">
        <v>297</v>
      </c>
      <c r="E860" s="103">
        <v>3290</v>
      </c>
      <c r="F860" s="98" t="s">
        <v>240</v>
      </c>
      <c r="G860" s="98" t="s">
        <v>374</v>
      </c>
      <c r="H860" s="98" t="s">
        <v>516</v>
      </c>
      <c r="I860" s="98" t="s">
        <v>247</v>
      </c>
      <c r="K860" s="100"/>
      <c r="L860" s="108"/>
      <c r="M860" s="100"/>
      <c r="N860" s="100"/>
    </row>
    <row r="861" spans="2:14" s="98" customFormat="1">
      <c r="B861" s="99" t="s">
        <v>735</v>
      </c>
      <c r="C861" s="109">
        <v>46250</v>
      </c>
      <c r="D861" s="98" t="s">
        <v>297</v>
      </c>
      <c r="E861" s="103">
        <v>9889</v>
      </c>
      <c r="F861" s="98" t="s">
        <v>240</v>
      </c>
      <c r="G861" s="98" t="s">
        <v>374</v>
      </c>
      <c r="H861" s="98" t="s">
        <v>516</v>
      </c>
      <c r="I861" s="98" t="s">
        <v>270</v>
      </c>
      <c r="K861" s="100"/>
      <c r="L861" s="108"/>
      <c r="M861" s="100"/>
      <c r="N861" s="100"/>
    </row>
    <row r="862" spans="2:14" s="98" customFormat="1">
      <c r="B862" s="99" t="s">
        <v>735</v>
      </c>
      <c r="C862" s="109">
        <v>46249</v>
      </c>
      <c r="D862" s="98" t="s">
        <v>740</v>
      </c>
      <c r="E862" s="103">
        <v>-85</v>
      </c>
      <c r="F862" s="98" t="s">
        <v>239</v>
      </c>
      <c r="I862" s="98" t="s">
        <v>737</v>
      </c>
      <c r="K862" s="100"/>
      <c r="L862" s="108"/>
      <c r="M862" s="100"/>
      <c r="N862" s="100"/>
    </row>
    <row r="863" spans="2:14" s="98" customFormat="1">
      <c r="B863" s="99" t="s">
        <v>735</v>
      </c>
      <c r="C863" s="109">
        <v>46249</v>
      </c>
      <c r="D863" s="98" t="s">
        <v>788</v>
      </c>
      <c r="E863" s="103">
        <v>17050</v>
      </c>
      <c r="F863" s="98" t="s">
        <v>240</v>
      </c>
      <c r="G863" s="98" t="s">
        <v>374</v>
      </c>
      <c r="H863" s="98" t="s">
        <v>516</v>
      </c>
      <c r="I863" s="98" t="s">
        <v>248</v>
      </c>
      <c r="K863" s="100"/>
      <c r="L863" s="108"/>
      <c r="M863" s="100"/>
      <c r="N863" s="100"/>
    </row>
    <row r="864" spans="2:14" s="98" customFormat="1">
      <c r="B864" s="99" t="s">
        <v>735</v>
      </c>
      <c r="C864" s="109">
        <v>46249</v>
      </c>
      <c r="D864" s="98" t="s">
        <v>740</v>
      </c>
      <c r="E864" s="103">
        <v>-20</v>
      </c>
      <c r="F864" s="98" t="s">
        <v>239</v>
      </c>
      <c r="I864" s="98" t="s">
        <v>737</v>
      </c>
      <c r="K864" s="100"/>
      <c r="L864" s="108"/>
      <c r="M864" s="100"/>
      <c r="N864" s="100"/>
    </row>
    <row r="865" spans="2:14" s="98" customFormat="1">
      <c r="B865" s="99" t="s">
        <v>735</v>
      </c>
      <c r="C865" s="109">
        <v>46249</v>
      </c>
      <c r="D865" s="98" t="s">
        <v>789</v>
      </c>
      <c r="E865" s="103">
        <v>4000</v>
      </c>
      <c r="F865" s="98" t="s">
        <v>240</v>
      </c>
      <c r="G865" s="98" t="s">
        <v>374</v>
      </c>
      <c r="H865" s="98" t="s">
        <v>516</v>
      </c>
      <c r="I865" s="98" t="s">
        <v>269</v>
      </c>
      <c r="K865" s="100"/>
      <c r="L865" s="108"/>
      <c r="M865" s="100"/>
      <c r="N865" s="100"/>
    </row>
    <row r="866" spans="2:14" s="98" customFormat="1">
      <c r="B866" s="99" t="s">
        <v>735</v>
      </c>
      <c r="C866" s="109">
        <v>46249</v>
      </c>
      <c r="D866" s="98" t="s">
        <v>740</v>
      </c>
      <c r="E866" s="103">
        <v>-30</v>
      </c>
      <c r="F866" s="98" t="s">
        <v>239</v>
      </c>
      <c r="I866" s="98" t="s">
        <v>737</v>
      </c>
      <c r="K866" s="100"/>
      <c r="L866" s="108"/>
      <c r="M866" s="100"/>
      <c r="N866" s="100"/>
    </row>
    <row r="867" spans="2:14" s="98" customFormat="1">
      <c r="B867" s="99" t="s">
        <v>735</v>
      </c>
      <c r="C867" s="109">
        <v>46249</v>
      </c>
      <c r="D867" s="98" t="s">
        <v>790</v>
      </c>
      <c r="E867" s="103">
        <v>5910</v>
      </c>
      <c r="F867" s="98" t="s">
        <v>240</v>
      </c>
      <c r="G867" s="98" t="s">
        <v>374</v>
      </c>
      <c r="H867" s="98" t="s">
        <v>516</v>
      </c>
      <c r="I867" s="98" t="s">
        <v>245</v>
      </c>
      <c r="K867" s="100"/>
      <c r="L867" s="108"/>
      <c r="M867" s="100"/>
      <c r="N867" s="100"/>
    </row>
    <row r="868" spans="2:14" s="98" customFormat="1">
      <c r="B868" s="99" t="s">
        <v>735</v>
      </c>
      <c r="C868" s="109">
        <v>46249</v>
      </c>
      <c r="D868" s="98" t="s">
        <v>792</v>
      </c>
      <c r="E868" s="103">
        <v>10000</v>
      </c>
      <c r="F868" s="98" t="s">
        <v>240</v>
      </c>
      <c r="G868" s="98" t="s">
        <v>374</v>
      </c>
      <c r="H868" s="98" t="s">
        <v>516</v>
      </c>
      <c r="I868" s="98" t="s">
        <v>269</v>
      </c>
      <c r="K868" s="100"/>
      <c r="L868" s="108"/>
      <c r="M868" s="100"/>
      <c r="N868" s="100"/>
    </row>
    <row r="869" spans="2:14" s="98" customFormat="1">
      <c r="B869" s="99" t="s">
        <v>735</v>
      </c>
      <c r="C869" s="109">
        <v>46249</v>
      </c>
      <c r="D869" s="98" t="s">
        <v>740</v>
      </c>
      <c r="E869" s="103">
        <v>-98</v>
      </c>
      <c r="F869" s="98" t="s">
        <v>239</v>
      </c>
      <c r="I869" s="98" t="s">
        <v>737</v>
      </c>
      <c r="K869" s="100"/>
      <c r="L869" s="108"/>
      <c r="M869" s="100"/>
      <c r="N869" s="100"/>
    </row>
    <row r="870" spans="2:14" s="98" customFormat="1">
      <c r="B870" s="99" t="s">
        <v>735</v>
      </c>
      <c r="C870" s="109">
        <v>46249</v>
      </c>
      <c r="D870" s="98" t="s">
        <v>791</v>
      </c>
      <c r="E870" s="103">
        <v>19590</v>
      </c>
      <c r="F870" s="98" t="s">
        <v>240</v>
      </c>
      <c r="G870" s="98" t="s">
        <v>374</v>
      </c>
      <c r="H870" s="98" t="s">
        <v>516</v>
      </c>
      <c r="I870" s="98" t="s">
        <v>243</v>
      </c>
      <c r="K870" s="100"/>
      <c r="L870" s="108"/>
      <c r="M870" s="100"/>
      <c r="N870" s="100"/>
    </row>
    <row r="871" spans="2:14" s="98" customFormat="1">
      <c r="B871" s="99" t="s">
        <v>735</v>
      </c>
      <c r="C871" s="109">
        <v>46249</v>
      </c>
      <c r="D871" s="98" t="s">
        <v>793</v>
      </c>
      <c r="E871" s="103">
        <v>3580</v>
      </c>
      <c r="F871" s="98" t="s">
        <v>240</v>
      </c>
      <c r="G871" s="98" t="s">
        <v>374</v>
      </c>
      <c r="H871" s="98" t="s">
        <v>516</v>
      </c>
      <c r="I871" s="98" t="s">
        <v>247</v>
      </c>
      <c r="K871" s="100"/>
      <c r="L871" s="108"/>
      <c r="M871" s="100"/>
      <c r="N871" s="100"/>
    </row>
    <row r="872" spans="2:14" s="98" customFormat="1">
      <c r="B872" s="99" t="s">
        <v>735</v>
      </c>
      <c r="C872" s="109">
        <v>46249</v>
      </c>
      <c r="D872" s="98" t="s">
        <v>740</v>
      </c>
      <c r="E872" s="103">
        <v>-100</v>
      </c>
      <c r="F872" s="98" t="s">
        <v>239</v>
      </c>
      <c r="I872" s="98" t="s">
        <v>737</v>
      </c>
      <c r="K872" s="100"/>
      <c r="L872" s="108"/>
      <c r="M872" s="100"/>
      <c r="N872" s="100"/>
    </row>
    <row r="873" spans="2:14" s="98" customFormat="1">
      <c r="B873" s="99" t="s">
        <v>735</v>
      </c>
      <c r="C873" s="109">
        <v>46249</v>
      </c>
      <c r="D873" s="98" t="s">
        <v>749</v>
      </c>
      <c r="E873" s="103">
        <v>20000</v>
      </c>
      <c r="F873" s="98" t="s">
        <v>240</v>
      </c>
      <c r="G873" s="98" t="s">
        <v>374</v>
      </c>
      <c r="H873" s="98" t="s">
        <v>516</v>
      </c>
      <c r="I873" s="98" t="s">
        <v>270</v>
      </c>
      <c r="K873" s="100"/>
      <c r="L873" s="108"/>
      <c r="M873" s="100"/>
      <c r="N873" s="100"/>
    </row>
    <row r="874" spans="2:14" s="98" customFormat="1">
      <c r="B874" s="99" t="s">
        <v>735</v>
      </c>
      <c r="C874" s="109">
        <v>46248</v>
      </c>
      <c r="D874" s="98" t="s">
        <v>690</v>
      </c>
      <c r="E874" s="103">
        <v>-75783</v>
      </c>
      <c r="F874" s="98" t="s">
        <v>239</v>
      </c>
      <c r="I874" s="98" t="s">
        <v>738</v>
      </c>
      <c r="K874" s="100"/>
      <c r="L874" s="108"/>
      <c r="M874" s="100"/>
      <c r="N874" s="100"/>
    </row>
    <row r="875" spans="2:14" s="98" customFormat="1">
      <c r="B875" s="99" t="s">
        <v>735</v>
      </c>
      <c r="C875" s="109">
        <v>46248</v>
      </c>
      <c r="D875" s="98" t="s">
        <v>740</v>
      </c>
      <c r="E875" s="103">
        <v>-13</v>
      </c>
      <c r="F875" s="98" t="s">
        <v>239</v>
      </c>
      <c r="I875" s="98" t="s">
        <v>737</v>
      </c>
      <c r="K875" s="100"/>
      <c r="L875" s="108"/>
      <c r="M875" s="100"/>
      <c r="N875" s="100"/>
    </row>
    <row r="876" spans="2:14" s="98" customFormat="1">
      <c r="B876" s="99" t="s">
        <v>735</v>
      </c>
      <c r="C876" s="109">
        <v>46248</v>
      </c>
      <c r="D876" s="98" t="s">
        <v>772</v>
      </c>
      <c r="E876" s="103">
        <v>2500</v>
      </c>
      <c r="F876" s="98" t="s">
        <v>240</v>
      </c>
      <c r="G876" s="98" t="s">
        <v>374</v>
      </c>
      <c r="H876" s="98" t="s">
        <v>516</v>
      </c>
      <c r="I876" s="98" t="s">
        <v>247</v>
      </c>
      <c r="K876" s="100"/>
      <c r="L876" s="108"/>
      <c r="M876" s="100"/>
      <c r="N876" s="100"/>
    </row>
    <row r="877" spans="2:14" s="98" customFormat="1">
      <c r="B877" s="99" t="s">
        <v>735</v>
      </c>
      <c r="C877" s="109">
        <v>46248</v>
      </c>
      <c r="D877" s="98" t="s">
        <v>740</v>
      </c>
      <c r="E877" s="103">
        <v>-11</v>
      </c>
      <c r="F877" s="98" t="s">
        <v>239</v>
      </c>
      <c r="I877" s="98" t="s">
        <v>737</v>
      </c>
      <c r="K877" s="100"/>
      <c r="L877" s="108"/>
      <c r="M877" s="100"/>
      <c r="N877" s="100"/>
    </row>
    <row r="878" spans="2:14" s="98" customFormat="1">
      <c r="B878" s="99" t="s">
        <v>735</v>
      </c>
      <c r="C878" s="109">
        <v>46248</v>
      </c>
      <c r="D878" s="98" t="s">
        <v>702</v>
      </c>
      <c r="E878" s="103">
        <v>2100</v>
      </c>
      <c r="F878" s="98" t="s">
        <v>240</v>
      </c>
      <c r="G878" s="98" t="s">
        <v>374</v>
      </c>
      <c r="H878" s="98" t="s">
        <v>516</v>
      </c>
      <c r="I878" s="98" t="s">
        <v>247</v>
      </c>
      <c r="K878" s="100"/>
      <c r="L878" s="108"/>
      <c r="M878" s="100"/>
      <c r="N878" s="100"/>
    </row>
    <row r="879" spans="2:14" s="98" customFormat="1">
      <c r="B879" s="99" t="s">
        <v>735</v>
      </c>
      <c r="C879" s="109">
        <v>46248</v>
      </c>
      <c r="D879" s="98" t="s">
        <v>744</v>
      </c>
      <c r="E879" s="103">
        <v>-19</v>
      </c>
      <c r="F879" s="98" t="s">
        <v>239</v>
      </c>
      <c r="I879" s="98" t="s">
        <v>737</v>
      </c>
      <c r="K879" s="100"/>
      <c r="L879" s="108"/>
      <c r="M879" s="100"/>
      <c r="N879" s="100"/>
    </row>
    <row r="880" spans="2:14" s="98" customFormat="1">
      <c r="B880" s="99" t="s">
        <v>735</v>
      </c>
      <c r="C880" s="109">
        <v>46248</v>
      </c>
      <c r="D880" s="98" t="s">
        <v>744</v>
      </c>
      <c r="E880" s="103">
        <v>-3</v>
      </c>
      <c r="F880" s="98" t="s">
        <v>239</v>
      </c>
      <c r="I880" s="98" t="s">
        <v>737</v>
      </c>
      <c r="K880" s="100"/>
      <c r="L880" s="108"/>
      <c r="M880" s="100"/>
      <c r="N880" s="100"/>
    </row>
    <row r="881" spans="2:14" s="98" customFormat="1">
      <c r="B881" s="99" t="s">
        <v>735</v>
      </c>
      <c r="C881" s="109">
        <v>46248</v>
      </c>
      <c r="D881" s="98" t="s">
        <v>740</v>
      </c>
      <c r="E881" s="103">
        <v>-7</v>
      </c>
      <c r="F881" s="98" t="s">
        <v>239</v>
      </c>
      <c r="I881" s="98" t="s">
        <v>737</v>
      </c>
      <c r="K881" s="100"/>
      <c r="L881" s="108"/>
      <c r="M881" s="100"/>
      <c r="N881" s="100"/>
    </row>
    <row r="882" spans="2:14" s="98" customFormat="1">
      <c r="B882" s="99" t="s">
        <v>735</v>
      </c>
      <c r="C882" s="109">
        <v>46248</v>
      </c>
      <c r="D882" s="98" t="s">
        <v>778</v>
      </c>
      <c r="E882" s="103">
        <v>1350</v>
      </c>
      <c r="F882" s="98" t="s">
        <v>240</v>
      </c>
      <c r="G882" s="98" t="s">
        <v>374</v>
      </c>
      <c r="H882" s="98" t="s">
        <v>516</v>
      </c>
      <c r="I882" s="98" t="s">
        <v>241</v>
      </c>
      <c r="K882" s="100"/>
      <c r="L882" s="108"/>
      <c r="M882" s="100"/>
      <c r="N882" s="100"/>
    </row>
    <row r="883" spans="2:14" s="98" customFormat="1">
      <c r="B883" s="99" t="s">
        <v>735</v>
      </c>
      <c r="C883" s="109">
        <v>46248</v>
      </c>
      <c r="D883" s="98" t="s">
        <v>740</v>
      </c>
      <c r="E883" s="103">
        <v>-77</v>
      </c>
      <c r="F883" s="98" t="s">
        <v>239</v>
      </c>
      <c r="I883" s="98" t="s">
        <v>737</v>
      </c>
      <c r="K883" s="100"/>
      <c r="L883" s="108"/>
      <c r="M883" s="100"/>
      <c r="N883" s="100"/>
    </row>
    <row r="884" spans="2:14" s="98" customFormat="1">
      <c r="B884" s="99" t="s">
        <v>735</v>
      </c>
      <c r="C884" s="109">
        <v>46248</v>
      </c>
      <c r="D884" s="98" t="s">
        <v>779</v>
      </c>
      <c r="E884" s="103">
        <v>15340</v>
      </c>
      <c r="F884" s="98" t="s">
        <v>240</v>
      </c>
      <c r="G884" s="98" t="s">
        <v>374</v>
      </c>
      <c r="H884" s="98" t="s">
        <v>516</v>
      </c>
      <c r="I884" s="98" t="s">
        <v>269</v>
      </c>
      <c r="K884" s="100"/>
      <c r="L884" s="108"/>
      <c r="M884" s="100"/>
      <c r="N884" s="100"/>
    </row>
    <row r="885" spans="2:14" s="98" customFormat="1">
      <c r="B885" s="99" t="s">
        <v>735</v>
      </c>
      <c r="C885" s="109">
        <v>46248</v>
      </c>
      <c r="D885" s="98" t="s">
        <v>740</v>
      </c>
      <c r="E885" s="103">
        <v>-25</v>
      </c>
      <c r="F885" s="98" t="s">
        <v>239</v>
      </c>
      <c r="I885" s="98" t="s">
        <v>737</v>
      </c>
      <c r="K885" s="100"/>
      <c r="L885" s="108"/>
      <c r="M885" s="100"/>
      <c r="N885" s="100"/>
    </row>
    <row r="886" spans="2:14" s="98" customFormat="1">
      <c r="B886" s="99" t="s">
        <v>735</v>
      </c>
      <c r="C886" s="109">
        <v>46248</v>
      </c>
      <c r="D886" s="98" t="s">
        <v>780</v>
      </c>
      <c r="E886" s="103">
        <v>5000</v>
      </c>
      <c r="F886" s="98" t="s">
        <v>240</v>
      </c>
      <c r="G886" s="98" t="s">
        <v>374</v>
      </c>
      <c r="H886" s="98" t="s">
        <v>516</v>
      </c>
      <c r="I886" s="98" t="s">
        <v>269</v>
      </c>
      <c r="K886" s="100"/>
      <c r="L886" s="108"/>
      <c r="M886" s="100"/>
      <c r="N886" s="100"/>
    </row>
    <row r="887" spans="2:14" s="98" customFormat="1">
      <c r="B887" s="99" t="s">
        <v>735</v>
      </c>
      <c r="C887" s="109">
        <v>46248</v>
      </c>
      <c r="D887" s="98" t="s">
        <v>744</v>
      </c>
      <c r="E887" s="103">
        <v>-2000</v>
      </c>
      <c r="F887" s="98" t="s">
        <v>239</v>
      </c>
      <c r="I887" s="98" t="s">
        <v>737</v>
      </c>
      <c r="K887" s="100"/>
      <c r="L887" s="108"/>
      <c r="M887" s="100"/>
      <c r="N887" s="100"/>
    </row>
    <row r="888" spans="2:14" s="98" customFormat="1">
      <c r="B888" s="99" t="s">
        <v>735</v>
      </c>
      <c r="C888" s="109">
        <v>46248</v>
      </c>
      <c r="D888" s="98" t="s">
        <v>740</v>
      </c>
      <c r="E888" s="103">
        <v>-22</v>
      </c>
      <c r="F888" s="98" t="s">
        <v>239</v>
      </c>
      <c r="I888" s="98" t="s">
        <v>737</v>
      </c>
      <c r="K888" s="100"/>
      <c r="L888" s="108"/>
      <c r="M888" s="100"/>
      <c r="N888" s="100"/>
    </row>
    <row r="889" spans="2:14" s="98" customFormat="1">
      <c r="B889" s="99" t="s">
        <v>735</v>
      </c>
      <c r="C889" s="109">
        <v>46248</v>
      </c>
      <c r="D889" s="98" t="s">
        <v>745</v>
      </c>
      <c r="E889" s="103">
        <v>4459</v>
      </c>
      <c r="F889" s="98" t="s">
        <v>240</v>
      </c>
      <c r="G889" s="98" t="s">
        <v>374</v>
      </c>
      <c r="H889" s="98" t="s">
        <v>513</v>
      </c>
      <c r="I889" s="98" t="s">
        <v>242</v>
      </c>
      <c r="K889" s="100"/>
      <c r="L889" s="108"/>
      <c r="M889" s="100"/>
      <c r="N889" s="100"/>
    </row>
    <row r="890" spans="2:14" s="98" customFormat="1">
      <c r="B890" s="99" t="s">
        <v>735</v>
      </c>
      <c r="C890" s="109">
        <v>46248</v>
      </c>
      <c r="D890" s="98" t="s">
        <v>740</v>
      </c>
      <c r="E890" s="103">
        <v>-5</v>
      </c>
      <c r="F890" s="98" t="s">
        <v>239</v>
      </c>
      <c r="I890" s="98" t="s">
        <v>737</v>
      </c>
      <c r="K890" s="100"/>
      <c r="L890" s="108"/>
      <c r="M890" s="100"/>
      <c r="N890" s="100"/>
    </row>
    <row r="891" spans="2:14" s="98" customFormat="1">
      <c r="B891" s="99" t="s">
        <v>735</v>
      </c>
      <c r="C891" s="109">
        <v>46248</v>
      </c>
      <c r="D891" s="98" t="s">
        <v>781</v>
      </c>
      <c r="E891" s="103">
        <v>1000</v>
      </c>
      <c r="F891" s="98" t="s">
        <v>240</v>
      </c>
      <c r="G891" s="98" t="s">
        <v>374</v>
      </c>
      <c r="H891" s="98" t="s">
        <v>516</v>
      </c>
      <c r="I891" s="98" t="s">
        <v>247</v>
      </c>
      <c r="K891" s="100"/>
      <c r="L891" s="108"/>
      <c r="M891" s="100"/>
      <c r="N891" s="100"/>
    </row>
    <row r="892" spans="2:14" s="98" customFormat="1">
      <c r="B892" s="99" t="s">
        <v>735</v>
      </c>
      <c r="C892" s="109">
        <v>46247</v>
      </c>
      <c r="D892" s="98" t="s">
        <v>744</v>
      </c>
      <c r="E892" s="103">
        <v>-8</v>
      </c>
      <c r="F892" s="98" t="s">
        <v>239</v>
      </c>
      <c r="I892" s="98" t="s">
        <v>737</v>
      </c>
      <c r="K892" s="100"/>
      <c r="L892" s="108"/>
      <c r="M892" s="100"/>
      <c r="N892" s="100"/>
    </row>
    <row r="893" spans="2:14" s="98" customFormat="1">
      <c r="B893" s="99" t="s">
        <v>735</v>
      </c>
      <c r="C893" s="109">
        <v>46247</v>
      </c>
      <c r="D893" s="98" t="s">
        <v>744</v>
      </c>
      <c r="E893" s="103">
        <v>-1</v>
      </c>
      <c r="F893" s="98" t="s">
        <v>239</v>
      </c>
      <c r="I893" s="98" t="s">
        <v>737</v>
      </c>
      <c r="K893" s="100"/>
      <c r="L893" s="108"/>
      <c r="M893" s="100"/>
      <c r="N893" s="100"/>
    </row>
    <row r="894" spans="2:14" s="98" customFormat="1">
      <c r="B894" s="99" t="s">
        <v>735</v>
      </c>
      <c r="C894" s="109">
        <v>46247</v>
      </c>
      <c r="D894" s="98" t="s">
        <v>782</v>
      </c>
      <c r="E894" s="103">
        <v>13518</v>
      </c>
      <c r="F894" s="98" t="s">
        <v>240</v>
      </c>
      <c r="G894" s="98" t="s">
        <v>374</v>
      </c>
      <c r="H894" s="98" t="s">
        <v>516</v>
      </c>
      <c r="I894" s="98" t="s">
        <v>270</v>
      </c>
      <c r="K894" s="100"/>
      <c r="L894" s="108"/>
      <c r="M894" s="100"/>
      <c r="N894" s="100"/>
    </row>
    <row r="895" spans="2:14" s="98" customFormat="1">
      <c r="B895" s="99" t="s">
        <v>735</v>
      </c>
      <c r="C895" s="109">
        <v>46247</v>
      </c>
      <c r="D895" s="98" t="s">
        <v>740</v>
      </c>
      <c r="E895" s="103">
        <v>-18</v>
      </c>
      <c r="F895" s="98" t="s">
        <v>239</v>
      </c>
      <c r="I895" s="98" t="s">
        <v>737</v>
      </c>
      <c r="K895" s="100"/>
      <c r="L895" s="108"/>
      <c r="M895" s="100"/>
      <c r="N895" s="100"/>
    </row>
    <row r="896" spans="2:14" s="98" customFormat="1">
      <c r="B896" s="99" t="s">
        <v>735</v>
      </c>
      <c r="C896" s="109">
        <v>46247</v>
      </c>
      <c r="D896" s="98" t="s">
        <v>604</v>
      </c>
      <c r="E896" s="103">
        <v>3500</v>
      </c>
      <c r="F896" s="98" t="s">
        <v>240</v>
      </c>
      <c r="G896" s="98" t="s">
        <v>374</v>
      </c>
      <c r="H896" s="98" t="s">
        <v>516</v>
      </c>
      <c r="I896" s="98" t="s">
        <v>247</v>
      </c>
      <c r="K896" s="100"/>
      <c r="L896" s="108"/>
      <c r="M896" s="100"/>
      <c r="N896" s="100"/>
    </row>
    <row r="897" spans="2:14" s="98" customFormat="1">
      <c r="B897" s="99" t="s">
        <v>735</v>
      </c>
      <c r="C897" s="109">
        <v>46247</v>
      </c>
      <c r="D897" s="98" t="s">
        <v>740</v>
      </c>
      <c r="E897" s="103">
        <v>-7</v>
      </c>
      <c r="F897" s="98" t="s">
        <v>239</v>
      </c>
      <c r="I897" s="98" t="s">
        <v>737</v>
      </c>
      <c r="K897" s="100"/>
      <c r="L897" s="108"/>
      <c r="M897" s="100"/>
      <c r="N897" s="100"/>
    </row>
    <row r="898" spans="2:14" s="98" customFormat="1">
      <c r="B898" s="99" t="s">
        <v>735</v>
      </c>
      <c r="C898" s="109">
        <v>46247</v>
      </c>
      <c r="D898" s="98" t="s">
        <v>783</v>
      </c>
      <c r="E898" s="103">
        <v>1400</v>
      </c>
      <c r="F898" s="98" t="s">
        <v>240</v>
      </c>
      <c r="G898" s="98" t="s">
        <v>374</v>
      </c>
      <c r="H898" s="98" t="s">
        <v>516</v>
      </c>
      <c r="I898" s="98" t="s">
        <v>247</v>
      </c>
      <c r="K898" s="100"/>
      <c r="L898" s="108"/>
      <c r="M898" s="100"/>
      <c r="N898" s="100"/>
    </row>
    <row r="899" spans="2:14" s="98" customFormat="1">
      <c r="B899" s="99" t="s">
        <v>735</v>
      </c>
      <c r="C899" s="109">
        <v>46247</v>
      </c>
      <c r="D899" s="98" t="s">
        <v>740</v>
      </c>
      <c r="E899" s="103">
        <v>-22</v>
      </c>
      <c r="F899" s="98" t="s">
        <v>239</v>
      </c>
      <c r="I899" s="98" t="s">
        <v>737</v>
      </c>
      <c r="K899" s="100"/>
      <c r="L899" s="108"/>
      <c r="M899" s="100"/>
      <c r="N899" s="100"/>
    </row>
    <row r="900" spans="2:14" s="98" customFormat="1">
      <c r="B900" s="99" t="s">
        <v>735</v>
      </c>
      <c r="C900" s="109">
        <v>46247</v>
      </c>
      <c r="D900" s="98" t="s">
        <v>745</v>
      </c>
      <c r="E900" s="103">
        <v>4459</v>
      </c>
      <c r="F900" s="98" t="s">
        <v>240</v>
      </c>
      <c r="G900" s="98" t="s">
        <v>374</v>
      </c>
      <c r="H900" s="98" t="s">
        <v>513</v>
      </c>
      <c r="I900" s="98" t="s">
        <v>242</v>
      </c>
      <c r="K900" s="100"/>
      <c r="L900" s="108"/>
      <c r="M900" s="100"/>
      <c r="N900" s="100"/>
    </row>
    <row r="901" spans="2:14" s="98" customFormat="1">
      <c r="B901" s="99" t="s">
        <v>735</v>
      </c>
      <c r="C901" s="109">
        <v>46247</v>
      </c>
      <c r="D901" s="98" t="s">
        <v>770</v>
      </c>
      <c r="E901" s="103">
        <v>-6500</v>
      </c>
      <c r="F901" s="98" t="s">
        <v>239</v>
      </c>
      <c r="I901" s="98" t="s">
        <v>738</v>
      </c>
      <c r="K901" s="100"/>
      <c r="L901" s="108"/>
      <c r="M901" s="100"/>
      <c r="N901" s="100"/>
    </row>
    <row r="902" spans="2:14" s="98" customFormat="1">
      <c r="B902" s="99" t="s">
        <v>735</v>
      </c>
      <c r="C902" s="109">
        <v>46246</v>
      </c>
      <c r="D902" s="98" t="s">
        <v>740</v>
      </c>
      <c r="E902" s="103">
        <v>-10</v>
      </c>
      <c r="F902" s="98" t="s">
        <v>239</v>
      </c>
      <c r="I902" s="98" t="s">
        <v>737</v>
      </c>
      <c r="K902" s="100"/>
      <c r="L902" s="108"/>
      <c r="M902" s="100"/>
      <c r="N902" s="100"/>
    </row>
    <row r="903" spans="2:14" s="98" customFormat="1">
      <c r="B903" s="99" t="s">
        <v>735</v>
      </c>
      <c r="C903" s="109">
        <v>46246</v>
      </c>
      <c r="D903" s="98" t="s">
        <v>743</v>
      </c>
      <c r="E903" s="103">
        <v>2016</v>
      </c>
      <c r="F903" s="98" t="s">
        <v>240</v>
      </c>
      <c r="G903" s="98" t="s">
        <v>374</v>
      </c>
      <c r="H903" s="98" t="s">
        <v>516</v>
      </c>
      <c r="I903" s="98" t="s">
        <v>245</v>
      </c>
      <c r="K903" s="100"/>
      <c r="L903" s="108"/>
      <c r="M903" s="100"/>
      <c r="N903" s="100"/>
    </row>
    <row r="904" spans="2:14" s="98" customFormat="1">
      <c r="B904" s="99" t="s">
        <v>735</v>
      </c>
      <c r="C904" s="109">
        <v>46246</v>
      </c>
      <c r="D904" s="98" t="s">
        <v>740</v>
      </c>
      <c r="E904" s="103">
        <v>-264</v>
      </c>
      <c r="F904" s="98" t="s">
        <v>239</v>
      </c>
      <c r="I904" s="98" t="s">
        <v>737</v>
      </c>
      <c r="K904" s="100"/>
      <c r="L904" s="108"/>
      <c r="M904" s="100"/>
      <c r="N904" s="100"/>
    </row>
    <row r="905" spans="2:14" s="98" customFormat="1">
      <c r="B905" s="99" t="s">
        <v>735</v>
      </c>
      <c r="C905" s="109">
        <v>46246</v>
      </c>
      <c r="D905" s="98" t="s">
        <v>743</v>
      </c>
      <c r="E905" s="103">
        <v>52853</v>
      </c>
      <c r="F905" s="98" t="s">
        <v>240</v>
      </c>
      <c r="G905" s="98" t="s">
        <v>374</v>
      </c>
      <c r="H905" s="98" t="s">
        <v>516</v>
      </c>
      <c r="I905" s="98" t="s">
        <v>245</v>
      </c>
      <c r="K905" s="100"/>
      <c r="L905" s="108"/>
      <c r="M905" s="100"/>
      <c r="N905" s="100"/>
    </row>
    <row r="906" spans="2:14" s="98" customFormat="1">
      <c r="B906" s="99" t="s">
        <v>735</v>
      </c>
      <c r="C906" s="109">
        <v>46246</v>
      </c>
      <c r="D906" s="98" t="s">
        <v>744</v>
      </c>
      <c r="E906" s="103">
        <v>-1</v>
      </c>
      <c r="F906" s="98" t="s">
        <v>239</v>
      </c>
      <c r="I906" s="98" t="s">
        <v>737</v>
      </c>
      <c r="K906" s="100"/>
      <c r="L906" s="108"/>
      <c r="M906" s="100"/>
      <c r="N906" s="100"/>
    </row>
    <row r="907" spans="2:14" s="98" customFormat="1">
      <c r="B907" s="99" t="s">
        <v>735</v>
      </c>
      <c r="C907" s="109">
        <v>46246</v>
      </c>
      <c r="D907" s="98" t="s">
        <v>744</v>
      </c>
      <c r="E907" s="103">
        <v>-8</v>
      </c>
      <c r="F907" s="98" t="s">
        <v>239</v>
      </c>
      <c r="I907" s="98" t="s">
        <v>737</v>
      </c>
      <c r="K907" s="100"/>
      <c r="L907" s="108"/>
      <c r="M907" s="100"/>
      <c r="N907" s="100"/>
    </row>
    <row r="908" spans="2:14" s="98" customFormat="1">
      <c r="B908" s="99" t="s">
        <v>735</v>
      </c>
      <c r="C908" s="109">
        <v>46246</v>
      </c>
      <c r="D908" s="98" t="s">
        <v>711</v>
      </c>
      <c r="E908" s="103">
        <v>14787</v>
      </c>
      <c r="F908" s="98" t="s">
        <v>240</v>
      </c>
      <c r="G908" s="98" t="s">
        <v>374</v>
      </c>
      <c r="H908" s="98" t="s">
        <v>516</v>
      </c>
      <c r="I908" s="98" t="s">
        <v>270</v>
      </c>
      <c r="K908" s="100"/>
      <c r="L908" s="108"/>
      <c r="M908" s="100"/>
      <c r="N908" s="100"/>
    </row>
    <row r="909" spans="2:14" s="98" customFormat="1">
      <c r="B909" s="99" t="s">
        <v>735</v>
      </c>
      <c r="C909" s="109">
        <v>46246</v>
      </c>
      <c r="D909" s="98" t="s">
        <v>740</v>
      </c>
      <c r="E909" s="103">
        <v>-45</v>
      </c>
      <c r="F909" s="98" t="s">
        <v>239</v>
      </c>
      <c r="I909" s="98" t="s">
        <v>737</v>
      </c>
      <c r="K909" s="100"/>
      <c r="L909" s="108"/>
      <c r="M909" s="100"/>
      <c r="N909" s="100"/>
    </row>
    <row r="910" spans="2:14" s="98" customFormat="1">
      <c r="B910" s="99" t="s">
        <v>735</v>
      </c>
      <c r="C910" s="109">
        <v>46246</v>
      </c>
      <c r="D910" s="98" t="s">
        <v>771</v>
      </c>
      <c r="E910" s="103">
        <v>8990</v>
      </c>
      <c r="F910" s="98" t="s">
        <v>240</v>
      </c>
      <c r="G910" s="98" t="s">
        <v>374</v>
      </c>
      <c r="H910" s="98" t="s">
        <v>516</v>
      </c>
      <c r="I910" s="98" t="s">
        <v>243</v>
      </c>
      <c r="K910" s="100"/>
      <c r="L910" s="108"/>
      <c r="M910" s="100"/>
      <c r="N910" s="100"/>
    </row>
    <row r="911" spans="2:14" s="98" customFormat="1">
      <c r="B911" s="99" t="s">
        <v>735</v>
      </c>
      <c r="C911" s="109">
        <v>46246</v>
      </c>
      <c r="D911" s="98" t="s">
        <v>740</v>
      </c>
      <c r="E911" s="103">
        <v>-22</v>
      </c>
      <c r="F911" s="98" t="s">
        <v>239</v>
      </c>
      <c r="I911" s="98" t="s">
        <v>737</v>
      </c>
      <c r="K911" s="100"/>
      <c r="L911" s="108"/>
      <c r="M911" s="100"/>
      <c r="N911" s="100"/>
    </row>
    <row r="912" spans="2:14" s="98" customFormat="1">
      <c r="B912" s="99" t="s">
        <v>735</v>
      </c>
      <c r="C912" s="109">
        <v>46246</v>
      </c>
      <c r="D912" s="98" t="s">
        <v>745</v>
      </c>
      <c r="E912" s="103">
        <v>4459</v>
      </c>
      <c r="F912" s="98" t="s">
        <v>240</v>
      </c>
      <c r="G912" s="98" t="s">
        <v>374</v>
      </c>
      <c r="H912" s="98" t="s">
        <v>513</v>
      </c>
      <c r="I912" s="98" t="s">
        <v>242</v>
      </c>
      <c r="K912" s="100"/>
      <c r="L912" s="108"/>
      <c r="M912" s="100"/>
      <c r="N912" s="100"/>
    </row>
    <row r="913" spans="2:14" s="98" customFormat="1">
      <c r="B913" s="99" t="s">
        <v>735</v>
      </c>
      <c r="C913" s="109">
        <v>46246</v>
      </c>
      <c r="D913" s="98" t="s">
        <v>740</v>
      </c>
      <c r="E913" s="103">
        <v>-13</v>
      </c>
      <c r="F913" s="98" t="s">
        <v>239</v>
      </c>
      <c r="I913" s="98" t="s">
        <v>737</v>
      </c>
      <c r="K913" s="100"/>
      <c r="L913" s="108"/>
      <c r="M913" s="100"/>
      <c r="N913" s="100"/>
    </row>
    <row r="914" spans="2:14" s="98" customFormat="1">
      <c r="B914" s="99" t="s">
        <v>735</v>
      </c>
      <c r="C914" s="109">
        <v>46246</v>
      </c>
      <c r="D914" s="98" t="s">
        <v>772</v>
      </c>
      <c r="E914" s="103">
        <v>2500</v>
      </c>
      <c r="F914" s="98" t="s">
        <v>240</v>
      </c>
      <c r="G914" s="98" t="s">
        <v>374</v>
      </c>
      <c r="H914" s="98" t="s">
        <v>516</v>
      </c>
      <c r="I914" s="98" t="s">
        <v>247</v>
      </c>
      <c r="K914" s="100"/>
      <c r="L914" s="108"/>
      <c r="M914" s="100"/>
      <c r="N914" s="100"/>
    </row>
    <row r="915" spans="2:14" s="98" customFormat="1">
      <c r="B915" s="99" t="s">
        <v>735</v>
      </c>
      <c r="C915" s="109">
        <v>46246</v>
      </c>
      <c r="D915" s="98" t="s">
        <v>770</v>
      </c>
      <c r="E915" s="103">
        <v>-15000</v>
      </c>
      <c r="F915" s="98" t="s">
        <v>239</v>
      </c>
      <c r="I915" s="98" t="s">
        <v>738</v>
      </c>
      <c r="K915" s="100"/>
      <c r="L915" s="108"/>
      <c r="M915" s="100"/>
      <c r="N915" s="100"/>
    </row>
    <row r="916" spans="2:14" s="98" customFormat="1">
      <c r="B916" s="99" t="s">
        <v>735</v>
      </c>
      <c r="C916" s="109">
        <v>46245</v>
      </c>
      <c r="D916" s="98" t="s">
        <v>690</v>
      </c>
      <c r="E916" s="103">
        <v>-30449</v>
      </c>
      <c r="F916" s="98" t="s">
        <v>239</v>
      </c>
      <c r="I916" s="98" t="s">
        <v>738</v>
      </c>
      <c r="K916" s="100"/>
      <c r="L916" s="108"/>
      <c r="M916" s="100"/>
      <c r="N916" s="100"/>
    </row>
    <row r="917" spans="2:14" s="98" customFormat="1">
      <c r="B917" s="99" t="s">
        <v>735</v>
      </c>
      <c r="C917" s="109">
        <v>46245</v>
      </c>
      <c r="D917" s="98" t="s">
        <v>744</v>
      </c>
      <c r="E917" s="103">
        <v>-9</v>
      </c>
      <c r="F917" s="98" t="s">
        <v>239</v>
      </c>
      <c r="I917" s="98" t="s">
        <v>737</v>
      </c>
      <c r="K917" s="100"/>
      <c r="L917" s="108"/>
      <c r="M917" s="100"/>
      <c r="N917" s="100"/>
    </row>
    <row r="918" spans="2:14" s="98" customFormat="1">
      <c r="B918" s="99" t="s">
        <v>735</v>
      </c>
      <c r="C918" s="109">
        <v>46245</v>
      </c>
      <c r="D918" s="98" t="s">
        <v>744</v>
      </c>
      <c r="E918" s="103">
        <v>-1</v>
      </c>
      <c r="F918" s="98" t="s">
        <v>239</v>
      </c>
      <c r="I918" s="98" t="s">
        <v>737</v>
      </c>
      <c r="K918" s="100"/>
      <c r="L918" s="108"/>
      <c r="M918" s="100"/>
      <c r="N918" s="100"/>
    </row>
    <row r="919" spans="2:14" s="98" customFormat="1">
      <c r="B919" s="99" t="s">
        <v>735</v>
      </c>
      <c r="C919" s="109">
        <v>46245</v>
      </c>
      <c r="D919" s="98" t="s">
        <v>740</v>
      </c>
      <c r="E919" s="103">
        <v>-39</v>
      </c>
      <c r="F919" s="98" t="s">
        <v>239</v>
      </c>
      <c r="I919" s="98" t="s">
        <v>737</v>
      </c>
      <c r="K919" s="100"/>
      <c r="L919" s="108"/>
      <c r="M919" s="100"/>
      <c r="N919" s="100"/>
    </row>
    <row r="920" spans="2:14" s="98" customFormat="1">
      <c r="B920" s="99" t="s">
        <v>735</v>
      </c>
      <c r="C920" s="109">
        <v>46245</v>
      </c>
      <c r="D920" s="98" t="s">
        <v>773</v>
      </c>
      <c r="E920" s="103">
        <v>7890</v>
      </c>
      <c r="F920" s="98" t="s">
        <v>240</v>
      </c>
      <c r="G920" s="98" t="s">
        <v>374</v>
      </c>
      <c r="H920" s="98" t="s">
        <v>516</v>
      </c>
      <c r="I920" s="98" t="s">
        <v>247</v>
      </c>
      <c r="K920" s="100"/>
      <c r="L920" s="108"/>
      <c r="M920" s="100"/>
      <c r="N920" s="100"/>
    </row>
    <row r="921" spans="2:14" s="98" customFormat="1">
      <c r="B921" s="99" t="s">
        <v>735</v>
      </c>
      <c r="C921" s="109">
        <v>46245</v>
      </c>
      <c r="D921" s="98" t="s">
        <v>740</v>
      </c>
      <c r="E921" s="103">
        <v>-22</v>
      </c>
      <c r="F921" s="98" t="s">
        <v>239</v>
      </c>
      <c r="I921" s="98" t="s">
        <v>737</v>
      </c>
      <c r="K921" s="100"/>
      <c r="L921" s="108"/>
      <c r="M921" s="100"/>
      <c r="N921" s="100"/>
    </row>
    <row r="922" spans="2:14" s="98" customFormat="1">
      <c r="B922" s="99" t="s">
        <v>735</v>
      </c>
      <c r="C922" s="109">
        <v>46245</v>
      </c>
      <c r="D922" s="98" t="s">
        <v>745</v>
      </c>
      <c r="E922" s="103">
        <v>4459</v>
      </c>
      <c r="F922" s="98" t="s">
        <v>240</v>
      </c>
      <c r="G922" s="98" t="s">
        <v>374</v>
      </c>
      <c r="H922" s="98" t="s">
        <v>513</v>
      </c>
      <c r="I922" s="98" t="s">
        <v>242</v>
      </c>
      <c r="K922" s="100"/>
      <c r="L922" s="108"/>
      <c r="M922" s="100"/>
      <c r="N922" s="100"/>
    </row>
    <row r="923" spans="2:14" s="98" customFormat="1">
      <c r="B923" s="99" t="s">
        <v>735</v>
      </c>
      <c r="C923" s="109">
        <v>46245</v>
      </c>
      <c r="D923" s="98" t="s">
        <v>711</v>
      </c>
      <c r="E923" s="103">
        <v>14776</v>
      </c>
      <c r="F923" s="98" t="s">
        <v>240</v>
      </c>
      <c r="G923" s="98" t="s">
        <v>374</v>
      </c>
      <c r="H923" s="98" t="s">
        <v>516</v>
      </c>
      <c r="I923" s="98" t="s">
        <v>270</v>
      </c>
      <c r="K923" s="100"/>
      <c r="L923" s="108"/>
      <c r="M923" s="100"/>
      <c r="N923" s="100"/>
    </row>
    <row r="924" spans="2:14" s="98" customFormat="1">
      <c r="B924" s="99" t="s">
        <v>735</v>
      </c>
      <c r="C924" s="109">
        <v>46244</v>
      </c>
      <c r="D924" s="98" t="s">
        <v>770</v>
      </c>
      <c r="E924" s="103">
        <v>-14390</v>
      </c>
      <c r="F924" s="98" t="s">
        <v>239</v>
      </c>
      <c r="I924" s="98" t="s">
        <v>738</v>
      </c>
      <c r="K924" s="100"/>
      <c r="L924" s="108"/>
      <c r="M924" s="100"/>
      <c r="N924" s="100"/>
    </row>
    <row r="925" spans="2:14" s="98" customFormat="1">
      <c r="B925" s="99" t="s">
        <v>735</v>
      </c>
      <c r="C925" s="109">
        <v>46244</v>
      </c>
      <c r="D925" s="98" t="s">
        <v>744</v>
      </c>
      <c r="E925" s="103">
        <v>-2</v>
      </c>
      <c r="F925" s="98" t="s">
        <v>239</v>
      </c>
      <c r="I925" s="98" t="s">
        <v>737</v>
      </c>
      <c r="K925" s="100"/>
      <c r="L925" s="108"/>
      <c r="M925" s="100"/>
      <c r="N925" s="100"/>
    </row>
    <row r="926" spans="2:14" s="98" customFormat="1">
      <c r="B926" s="99" t="s">
        <v>735</v>
      </c>
      <c r="C926" s="109">
        <v>46244</v>
      </c>
      <c r="D926" s="98" t="s">
        <v>744</v>
      </c>
      <c r="E926" s="103">
        <v>-20</v>
      </c>
      <c r="F926" s="98" t="s">
        <v>239</v>
      </c>
      <c r="I926" s="98" t="s">
        <v>737</v>
      </c>
      <c r="K926" s="100"/>
      <c r="L926" s="108"/>
      <c r="M926" s="100"/>
      <c r="N926" s="100"/>
    </row>
    <row r="927" spans="2:14" s="98" customFormat="1">
      <c r="B927" s="99" t="s">
        <v>735</v>
      </c>
      <c r="C927" s="109">
        <v>46244</v>
      </c>
      <c r="D927" s="98" t="s">
        <v>711</v>
      </c>
      <c r="E927" s="103">
        <v>9858</v>
      </c>
      <c r="F927" s="98" t="s">
        <v>240</v>
      </c>
      <c r="G927" s="98" t="s">
        <v>374</v>
      </c>
      <c r="H927" s="98" t="s">
        <v>516</v>
      </c>
      <c r="I927" s="98" t="s">
        <v>270</v>
      </c>
      <c r="K927" s="100"/>
      <c r="L927" s="108"/>
      <c r="M927" s="100"/>
      <c r="N927" s="100"/>
    </row>
    <row r="928" spans="2:14" s="98" customFormat="1">
      <c r="B928" s="99" t="s">
        <v>735</v>
      </c>
      <c r="C928" s="109">
        <v>46244</v>
      </c>
      <c r="D928" s="98" t="s">
        <v>774</v>
      </c>
      <c r="E928" s="103">
        <v>15000</v>
      </c>
      <c r="F928" s="98" t="s">
        <v>240</v>
      </c>
      <c r="G928" s="98" t="s">
        <v>374</v>
      </c>
      <c r="H928" s="98" t="s">
        <v>516</v>
      </c>
      <c r="I928" s="98" t="s">
        <v>243</v>
      </c>
      <c r="K928" s="100"/>
      <c r="L928" s="108"/>
      <c r="M928" s="100"/>
      <c r="N928" s="100"/>
    </row>
    <row r="929" spans="2:14" s="98" customFormat="1">
      <c r="B929" s="99" t="s">
        <v>735</v>
      </c>
      <c r="C929" s="109">
        <v>46244</v>
      </c>
      <c r="D929" s="98" t="s">
        <v>740</v>
      </c>
      <c r="E929" s="103">
        <v>-22</v>
      </c>
      <c r="F929" s="98" t="s">
        <v>239</v>
      </c>
      <c r="I929" s="98" t="s">
        <v>737</v>
      </c>
      <c r="K929" s="100"/>
      <c r="L929" s="108"/>
      <c r="M929" s="100"/>
      <c r="N929" s="100"/>
    </row>
    <row r="930" spans="2:14" s="98" customFormat="1">
      <c r="B930" s="99" t="s">
        <v>735</v>
      </c>
      <c r="C930" s="109">
        <v>46244</v>
      </c>
      <c r="D930" s="98" t="s">
        <v>745</v>
      </c>
      <c r="E930" s="103">
        <v>4459</v>
      </c>
      <c r="F930" s="98" t="s">
        <v>240</v>
      </c>
      <c r="G930" s="98" t="s">
        <v>374</v>
      </c>
      <c r="H930" s="98" t="s">
        <v>513</v>
      </c>
      <c r="I930" s="98" t="s">
        <v>242</v>
      </c>
      <c r="K930" s="100"/>
      <c r="L930" s="108"/>
      <c r="M930" s="100"/>
      <c r="N930" s="100"/>
    </row>
    <row r="931" spans="2:14" s="98" customFormat="1">
      <c r="B931" s="99" t="s">
        <v>735</v>
      </c>
      <c r="C931" s="109">
        <v>46244</v>
      </c>
      <c r="D931" s="98" t="s">
        <v>740</v>
      </c>
      <c r="E931" s="103">
        <v>-16</v>
      </c>
      <c r="F931" s="98" t="s">
        <v>239</v>
      </c>
      <c r="I931" s="98" t="s">
        <v>737</v>
      </c>
      <c r="K931" s="100"/>
      <c r="L931" s="108"/>
      <c r="M931" s="100"/>
      <c r="N931" s="100"/>
    </row>
    <row r="932" spans="2:14" s="98" customFormat="1">
      <c r="B932" s="99" t="s">
        <v>735</v>
      </c>
      <c r="C932" s="109">
        <v>46244</v>
      </c>
      <c r="D932" s="98" t="s">
        <v>702</v>
      </c>
      <c r="E932" s="103">
        <v>3200</v>
      </c>
      <c r="F932" s="98" t="s">
        <v>240</v>
      </c>
      <c r="G932" s="98" t="s">
        <v>374</v>
      </c>
      <c r="H932" s="98" t="s">
        <v>516</v>
      </c>
      <c r="I932" s="98" t="s">
        <v>247</v>
      </c>
      <c r="K932" s="100"/>
      <c r="L932" s="108"/>
      <c r="M932" s="100"/>
      <c r="N932" s="100"/>
    </row>
    <row r="933" spans="2:14" s="98" customFormat="1">
      <c r="B933" s="99" t="s">
        <v>735</v>
      </c>
      <c r="C933" s="109">
        <v>46244</v>
      </c>
      <c r="D933" s="98" t="s">
        <v>740</v>
      </c>
      <c r="E933" s="103">
        <v>-149</v>
      </c>
      <c r="F933" s="98" t="s">
        <v>239</v>
      </c>
      <c r="I933" s="98" t="s">
        <v>737</v>
      </c>
      <c r="K933" s="100"/>
      <c r="L933" s="108"/>
      <c r="M933" s="100"/>
      <c r="N933" s="100"/>
    </row>
    <row r="934" spans="2:14" s="98" customFormat="1">
      <c r="B934" s="99" t="s">
        <v>735</v>
      </c>
      <c r="C934" s="109">
        <v>46244</v>
      </c>
      <c r="D934" s="98" t="s">
        <v>768</v>
      </c>
      <c r="E934" s="103">
        <v>29714</v>
      </c>
      <c r="F934" s="98" t="s">
        <v>240</v>
      </c>
      <c r="G934" s="98" t="s">
        <v>374</v>
      </c>
      <c r="H934" s="98" t="s">
        <v>516</v>
      </c>
      <c r="I934" s="98" t="s">
        <v>245</v>
      </c>
      <c r="K934" s="100"/>
      <c r="L934" s="108"/>
      <c r="M934" s="100"/>
      <c r="N934" s="100"/>
    </row>
    <row r="935" spans="2:14" s="98" customFormat="1">
      <c r="B935" s="99" t="s">
        <v>735</v>
      </c>
      <c r="C935" s="109">
        <v>46243</v>
      </c>
      <c r="D935" s="98" t="s">
        <v>740</v>
      </c>
      <c r="E935" s="103">
        <v>-322</v>
      </c>
      <c r="F935" s="98" t="s">
        <v>239</v>
      </c>
      <c r="I935" s="98" t="s">
        <v>737</v>
      </c>
      <c r="K935" s="100"/>
      <c r="L935" s="108"/>
      <c r="M935" s="100"/>
      <c r="N935" s="100"/>
    </row>
    <row r="936" spans="2:14" s="98" customFormat="1">
      <c r="B936" s="99" t="s">
        <v>735</v>
      </c>
      <c r="C936" s="109">
        <v>46243</v>
      </c>
      <c r="D936" s="98" t="s">
        <v>760</v>
      </c>
      <c r="E936" s="103">
        <v>64491</v>
      </c>
      <c r="F936" s="98" t="s">
        <v>240</v>
      </c>
      <c r="G936" s="98" t="s">
        <v>374</v>
      </c>
      <c r="H936" s="98" t="s">
        <v>516</v>
      </c>
      <c r="I936" s="98" t="s">
        <v>245</v>
      </c>
      <c r="K936" s="100"/>
      <c r="L936" s="108"/>
      <c r="M936" s="100"/>
      <c r="N936" s="100"/>
    </row>
    <row r="937" spans="2:14" s="98" customFormat="1">
      <c r="B937" s="99" t="s">
        <v>735</v>
      </c>
      <c r="C937" s="109">
        <v>46243</v>
      </c>
      <c r="D937" s="98" t="s">
        <v>740</v>
      </c>
      <c r="E937" s="103">
        <v>-28</v>
      </c>
      <c r="F937" s="98" t="s">
        <v>239</v>
      </c>
      <c r="I937" s="98" t="s">
        <v>737</v>
      </c>
      <c r="K937" s="100"/>
      <c r="L937" s="108"/>
      <c r="M937" s="100"/>
      <c r="N937" s="100"/>
    </row>
    <row r="938" spans="2:14" s="98" customFormat="1">
      <c r="B938" s="99" t="s">
        <v>735</v>
      </c>
      <c r="C938" s="109">
        <v>46243</v>
      </c>
      <c r="D938" s="98" t="s">
        <v>761</v>
      </c>
      <c r="E938" s="103">
        <v>5600</v>
      </c>
      <c r="F938" s="98" t="s">
        <v>240</v>
      </c>
      <c r="G938" s="98" t="s">
        <v>374</v>
      </c>
      <c r="H938" s="98" t="s">
        <v>516</v>
      </c>
      <c r="I938" s="98" t="s">
        <v>241</v>
      </c>
      <c r="K938" s="100"/>
      <c r="L938" s="108"/>
      <c r="M938" s="100"/>
      <c r="N938" s="100"/>
    </row>
    <row r="939" spans="2:14" s="98" customFormat="1">
      <c r="B939" s="99" t="s">
        <v>735</v>
      </c>
      <c r="C939" s="109">
        <v>46243</v>
      </c>
      <c r="D939" s="98" t="s">
        <v>740</v>
      </c>
      <c r="E939" s="103">
        <v>-20</v>
      </c>
      <c r="F939" s="98" t="s">
        <v>239</v>
      </c>
      <c r="I939" s="98" t="s">
        <v>737</v>
      </c>
      <c r="K939" s="100"/>
      <c r="L939" s="108"/>
      <c r="M939" s="100"/>
      <c r="N939" s="100"/>
    </row>
    <row r="940" spans="2:14" s="98" customFormat="1">
      <c r="B940" s="99" t="s">
        <v>735</v>
      </c>
      <c r="C940" s="109">
        <v>46243</v>
      </c>
      <c r="D940" s="98" t="s">
        <v>761</v>
      </c>
      <c r="E940" s="103">
        <v>3960</v>
      </c>
      <c r="F940" s="98" t="s">
        <v>240</v>
      </c>
      <c r="G940" s="98" t="s">
        <v>374</v>
      </c>
      <c r="H940" s="98" t="s">
        <v>516</v>
      </c>
      <c r="I940" s="98" t="s">
        <v>248</v>
      </c>
      <c r="K940" s="100"/>
      <c r="L940" s="108"/>
      <c r="M940" s="100"/>
      <c r="N940" s="100"/>
    </row>
    <row r="941" spans="2:14" s="98" customFormat="1">
      <c r="B941" s="99" t="s">
        <v>735</v>
      </c>
      <c r="C941" s="109">
        <v>46243</v>
      </c>
      <c r="D941" s="98" t="s">
        <v>740</v>
      </c>
      <c r="E941" s="103">
        <v>-3</v>
      </c>
      <c r="F941" s="98" t="s">
        <v>239</v>
      </c>
      <c r="I941" s="98" t="s">
        <v>737</v>
      </c>
      <c r="K941" s="100"/>
      <c r="L941" s="108"/>
      <c r="M941" s="100"/>
      <c r="N941" s="100"/>
    </row>
    <row r="942" spans="2:14" s="98" customFormat="1">
      <c r="B942" s="99" t="s">
        <v>735</v>
      </c>
      <c r="C942" s="109">
        <v>46243</v>
      </c>
      <c r="D942" s="98" t="s">
        <v>762</v>
      </c>
      <c r="E942" s="103">
        <v>690</v>
      </c>
      <c r="F942" s="98" t="s">
        <v>240</v>
      </c>
      <c r="G942" s="98" t="s">
        <v>374</v>
      </c>
      <c r="H942" s="98" t="s">
        <v>516</v>
      </c>
      <c r="I942" s="98" t="s">
        <v>268</v>
      </c>
      <c r="K942" s="100"/>
      <c r="L942" s="108"/>
      <c r="M942" s="100"/>
      <c r="N942" s="100"/>
    </row>
    <row r="943" spans="2:14" s="98" customFormat="1">
      <c r="B943" s="99" t="s">
        <v>735</v>
      </c>
      <c r="C943" s="109">
        <v>46243</v>
      </c>
      <c r="D943" s="98" t="s">
        <v>740</v>
      </c>
      <c r="E943" s="103">
        <v>-3</v>
      </c>
      <c r="F943" s="98" t="s">
        <v>239</v>
      </c>
      <c r="I943" s="98" t="s">
        <v>737</v>
      </c>
      <c r="K943" s="100"/>
      <c r="L943" s="108"/>
      <c r="M943" s="100"/>
      <c r="N943" s="100"/>
    </row>
    <row r="944" spans="2:14" s="98" customFormat="1">
      <c r="B944" s="99" t="s">
        <v>735</v>
      </c>
      <c r="C944" s="109">
        <v>46243</v>
      </c>
      <c r="D944" s="98" t="s">
        <v>762</v>
      </c>
      <c r="E944" s="103">
        <v>690</v>
      </c>
      <c r="F944" s="98" t="s">
        <v>240</v>
      </c>
      <c r="G944" s="98" t="s">
        <v>374</v>
      </c>
      <c r="H944" s="98" t="s">
        <v>516</v>
      </c>
      <c r="I944" s="98" t="s">
        <v>268</v>
      </c>
      <c r="K944" s="100"/>
      <c r="L944" s="108"/>
      <c r="M944" s="100"/>
      <c r="N944" s="100"/>
    </row>
    <row r="945" spans="2:14" s="98" customFormat="1">
      <c r="B945" s="99" t="s">
        <v>735</v>
      </c>
      <c r="C945" s="109">
        <v>46243</v>
      </c>
      <c r="D945" s="98" t="s">
        <v>740</v>
      </c>
      <c r="E945" s="103">
        <v>-6</v>
      </c>
      <c r="F945" s="98" t="s">
        <v>239</v>
      </c>
      <c r="I945" s="98" t="s">
        <v>737</v>
      </c>
      <c r="K945" s="100"/>
      <c r="L945" s="108"/>
      <c r="M945" s="100"/>
      <c r="N945" s="100"/>
    </row>
    <row r="946" spans="2:14" s="98" customFormat="1">
      <c r="B946" s="99" t="s">
        <v>735</v>
      </c>
      <c r="C946" s="109">
        <v>46243</v>
      </c>
      <c r="D946" s="98" t="s">
        <v>763</v>
      </c>
      <c r="E946" s="103">
        <v>1190</v>
      </c>
      <c r="F946" s="98" t="s">
        <v>240</v>
      </c>
      <c r="G946" s="98" t="s">
        <v>374</v>
      </c>
      <c r="H946" s="98" t="s">
        <v>516</v>
      </c>
      <c r="I946" s="98" t="s">
        <v>268</v>
      </c>
      <c r="K946" s="100"/>
      <c r="L946" s="108"/>
      <c r="M946" s="100"/>
      <c r="N946" s="100"/>
    </row>
    <row r="947" spans="2:14" s="98" customFormat="1">
      <c r="B947" s="99" t="s">
        <v>735</v>
      </c>
      <c r="C947" s="109">
        <v>46243</v>
      </c>
      <c r="D947" s="98" t="s">
        <v>740</v>
      </c>
      <c r="E947" s="103">
        <v>-175</v>
      </c>
      <c r="F947" s="98" t="s">
        <v>239</v>
      </c>
      <c r="I947" s="98" t="s">
        <v>737</v>
      </c>
      <c r="K947" s="100"/>
      <c r="L947" s="108"/>
      <c r="M947" s="100"/>
      <c r="N947" s="100"/>
    </row>
    <row r="948" spans="2:14" s="98" customFormat="1">
      <c r="B948" s="99" t="s">
        <v>735</v>
      </c>
      <c r="C948" s="109">
        <v>46243</v>
      </c>
      <c r="D948" s="98" t="s">
        <v>764</v>
      </c>
      <c r="E948" s="103">
        <v>34990</v>
      </c>
      <c r="F948" s="98" t="s">
        <v>240</v>
      </c>
      <c r="G948" s="98" t="s">
        <v>374</v>
      </c>
      <c r="H948" s="98" t="s">
        <v>516</v>
      </c>
      <c r="I948" s="98" t="s">
        <v>264</v>
      </c>
      <c r="K948" s="100"/>
      <c r="L948" s="108"/>
      <c r="M948" s="100"/>
      <c r="N948" s="100"/>
    </row>
    <row r="949" spans="2:14" s="98" customFormat="1">
      <c r="B949" s="99" t="s">
        <v>735</v>
      </c>
      <c r="C949" s="109">
        <v>46243</v>
      </c>
      <c r="D949" s="98" t="s">
        <v>740</v>
      </c>
      <c r="E949" s="103">
        <v>-109</v>
      </c>
      <c r="F949" s="98" t="s">
        <v>239</v>
      </c>
      <c r="I949" s="98" t="s">
        <v>737</v>
      </c>
      <c r="K949" s="100"/>
      <c r="L949" s="108"/>
      <c r="M949" s="100"/>
      <c r="N949" s="100"/>
    </row>
    <row r="950" spans="2:14" s="98" customFormat="1">
      <c r="B950" s="99" t="s">
        <v>735</v>
      </c>
      <c r="C950" s="109">
        <v>46243</v>
      </c>
      <c r="D950" s="98" t="s">
        <v>765</v>
      </c>
      <c r="E950" s="103">
        <v>21800</v>
      </c>
      <c r="F950" s="98" t="s">
        <v>240</v>
      </c>
      <c r="G950" s="98" t="s">
        <v>374</v>
      </c>
      <c r="H950" s="98" t="s">
        <v>516</v>
      </c>
      <c r="I950" s="98" t="s">
        <v>268</v>
      </c>
      <c r="K950" s="100"/>
      <c r="L950" s="108"/>
      <c r="M950" s="100"/>
      <c r="N950" s="100"/>
    </row>
    <row r="951" spans="2:14" s="98" customFormat="1">
      <c r="B951" s="99" t="s">
        <v>735</v>
      </c>
      <c r="C951" s="109">
        <v>46243</v>
      </c>
      <c r="D951" s="98" t="s">
        <v>740</v>
      </c>
      <c r="E951" s="103">
        <v>-286</v>
      </c>
      <c r="F951" s="98" t="s">
        <v>239</v>
      </c>
      <c r="I951" s="98" t="s">
        <v>737</v>
      </c>
      <c r="K951" s="100"/>
      <c r="L951" s="108"/>
      <c r="M951" s="100"/>
      <c r="N951" s="100"/>
    </row>
    <row r="952" spans="2:14" s="98" customFormat="1">
      <c r="B952" s="99" t="s">
        <v>735</v>
      </c>
      <c r="C952" s="109">
        <v>46243</v>
      </c>
      <c r="D952" s="98" t="s">
        <v>766</v>
      </c>
      <c r="E952" s="103">
        <v>57200</v>
      </c>
      <c r="F952" s="98" t="s">
        <v>240</v>
      </c>
      <c r="G952" s="98" t="s">
        <v>374</v>
      </c>
      <c r="H952" s="98" t="s">
        <v>516</v>
      </c>
      <c r="I952" s="98" t="s">
        <v>248</v>
      </c>
      <c r="K952" s="100"/>
      <c r="L952" s="108"/>
      <c r="M952" s="100"/>
      <c r="N952" s="100"/>
    </row>
    <row r="953" spans="2:14" s="98" customFormat="1">
      <c r="B953" s="99" t="s">
        <v>735</v>
      </c>
      <c r="C953" s="109">
        <v>46243</v>
      </c>
      <c r="D953" s="98" t="s">
        <v>740</v>
      </c>
      <c r="E953" s="103">
        <v>-327</v>
      </c>
      <c r="F953" s="98" t="s">
        <v>239</v>
      </c>
      <c r="I953" s="98" t="s">
        <v>737</v>
      </c>
      <c r="K953" s="100"/>
      <c r="L953" s="108"/>
      <c r="M953" s="100"/>
      <c r="N953" s="100"/>
    </row>
    <row r="954" spans="2:14" s="98" customFormat="1">
      <c r="B954" s="99" t="s">
        <v>735</v>
      </c>
      <c r="C954" s="109">
        <v>46243</v>
      </c>
      <c r="D954" s="98" t="s">
        <v>767</v>
      </c>
      <c r="E954" s="103">
        <v>65304</v>
      </c>
      <c r="F954" s="98" t="s">
        <v>240</v>
      </c>
      <c r="G954" s="98" t="s">
        <v>374</v>
      </c>
      <c r="H954" s="98" t="s">
        <v>516</v>
      </c>
      <c r="I954" s="98" t="s">
        <v>270</v>
      </c>
      <c r="K954" s="100"/>
      <c r="L954" s="108"/>
      <c r="M954" s="100"/>
      <c r="N954" s="100"/>
    </row>
    <row r="955" spans="2:14" s="98" customFormat="1">
      <c r="B955" s="99" t="s">
        <v>735</v>
      </c>
      <c r="C955" s="109">
        <v>46243</v>
      </c>
      <c r="D955" s="98" t="s">
        <v>297</v>
      </c>
      <c r="E955" s="103">
        <v>3490</v>
      </c>
      <c r="F955" s="98" t="s">
        <v>240</v>
      </c>
      <c r="G955" s="98" t="s">
        <v>374</v>
      </c>
      <c r="H955" s="98" t="s">
        <v>516</v>
      </c>
      <c r="I955" s="98" t="s">
        <v>247</v>
      </c>
      <c r="K955" s="100"/>
      <c r="L955" s="108"/>
      <c r="M955" s="100"/>
      <c r="N955" s="100"/>
    </row>
    <row r="956" spans="2:14" s="98" customFormat="1">
      <c r="B956" s="99" t="s">
        <v>735</v>
      </c>
      <c r="C956" s="109">
        <v>46242</v>
      </c>
      <c r="D956" s="98" t="s">
        <v>740</v>
      </c>
      <c r="E956" s="103">
        <v>-125</v>
      </c>
      <c r="F956" s="98" t="s">
        <v>239</v>
      </c>
      <c r="I956" s="98" t="s">
        <v>737</v>
      </c>
      <c r="K956" s="100"/>
      <c r="L956" s="108"/>
      <c r="M956" s="100"/>
      <c r="N956" s="100"/>
    </row>
    <row r="957" spans="2:14" s="98" customFormat="1">
      <c r="B957" s="99" t="s">
        <v>735</v>
      </c>
      <c r="C957" s="109">
        <v>46242</v>
      </c>
      <c r="D957" s="98" t="s">
        <v>750</v>
      </c>
      <c r="E957" s="103">
        <v>24990</v>
      </c>
      <c r="F957" s="98" t="s">
        <v>240</v>
      </c>
      <c r="G957" s="98" t="s">
        <v>374</v>
      </c>
      <c r="H957" s="98" t="s">
        <v>516</v>
      </c>
      <c r="I957" s="98" t="s">
        <v>273</v>
      </c>
      <c r="K957" s="100"/>
      <c r="L957" s="108"/>
      <c r="M957" s="100"/>
      <c r="N957" s="100"/>
    </row>
    <row r="958" spans="2:14" s="98" customFormat="1">
      <c r="B958" s="99" t="s">
        <v>735</v>
      </c>
      <c r="C958" s="109">
        <v>46242</v>
      </c>
      <c r="D958" s="98" t="s">
        <v>711</v>
      </c>
      <c r="E958" s="103">
        <v>13952</v>
      </c>
      <c r="F958" s="98" t="s">
        <v>240</v>
      </c>
      <c r="G958" s="98" t="s">
        <v>374</v>
      </c>
      <c r="H958" s="98" t="s">
        <v>516</v>
      </c>
      <c r="I958" s="98" t="s">
        <v>270</v>
      </c>
      <c r="K958" s="100"/>
      <c r="L958" s="108"/>
      <c r="M958" s="100"/>
      <c r="N958" s="100"/>
    </row>
    <row r="959" spans="2:14" s="98" customFormat="1">
      <c r="B959" s="99" t="s">
        <v>735</v>
      </c>
      <c r="C959" s="109">
        <v>46242</v>
      </c>
      <c r="D959" s="98" t="s">
        <v>740</v>
      </c>
      <c r="E959" s="103">
        <v>-36</v>
      </c>
      <c r="F959" s="98" t="s">
        <v>239</v>
      </c>
      <c r="I959" s="98" t="s">
        <v>737</v>
      </c>
      <c r="K959" s="100"/>
      <c r="L959" s="108"/>
      <c r="M959" s="100"/>
      <c r="N959" s="100"/>
    </row>
    <row r="960" spans="2:14" s="98" customFormat="1">
      <c r="B960" s="99" t="s">
        <v>735</v>
      </c>
      <c r="C960" s="109">
        <v>46242</v>
      </c>
      <c r="D960" s="98" t="s">
        <v>751</v>
      </c>
      <c r="E960" s="103">
        <v>7100</v>
      </c>
      <c r="F960" s="98" t="s">
        <v>240</v>
      </c>
      <c r="G960" s="98" t="s">
        <v>374</v>
      </c>
      <c r="H960" s="98" t="s">
        <v>516</v>
      </c>
      <c r="I960" s="98" t="s">
        <v>247</v>
      </c>
      <c r="K960" s="100"/>
      <c r="L960" s="108"/>
      <c r="M960" s="100"/>
      <c r="N960" s="100"/>
    </row>
    <row r="961" spans="2:14" s="98" customFormat="1">
      <c r="B961" s="99" t="s">
        <v>735</v>
      </c>
      <c r="C961" s="109">
        <v>46242</v>
      </c>
      <c r="D961" s="98" t="s">
        <v>740</v>
      </c>
      <c r="E961" s="103">
        <v>-17</v>
      </c>
      <c r="F961" s="98" t="s">
        <v>239</v>
      </c>
      <c r="I961" s="98" t="s">
        <v>737</v>
      </c>
      <c r="K961" s="100"/>
      <c r="L961" s="108"/>
      <c r="M961" s="100"/>
      <c r="N961" s="100"/>
    </row>
    <row r="962" spans="2:14" s="98" customFormat="1">
      <c r="B962" s="99" t="s">
        <v>735</v>
      </c>
      <c r="C962" s="109">
        <v>46242</v>
      </c>
      <c r="D962" s="98" t="s">
        <v>752</v>
      </c>
      <c r="E962" s="103">
        <v>3390</v>
      </c>
      <c r="F962" s="98" t="s">
        <v>240</v>
      </c>
      <c r="G962" s="98" t="s">
        <v>374</v>
      </c>
      <c r="H962" s="98" t="s">
        <v>516</v>
      </c>
      <c r="I962" s="98" t="s">
        <v>247</v>
      </c>
      <c r="K962" s="100"/>
      <c r="L962" s="108"/>
      <c r="M962" s="100"/>
      <c r="N962" s="100"/>
    </row>
    <row r="963" spans="2:14" s="98" customFormat="1">
      <c r="B963" s="99" t="s">
        <v>735</v>
      </c>
      <c r="C963" s="109">
        <v>46242</v>
      </c>
      <c r="D963" s="98" t="s">
        <v>740</v>
      </c>
      <c r="E963" s="103">
        <v>-75</v>
      </c>
      <c r="F963" s="98" t="s">
        <v>239</v>
      </c>
      <c r="I963" s="98" t="s">
        <v>737</v>
      </c>
      <c r="K963" s="100"/>
      <c r="L963" s="108"/>
      <c r="M963" s="100"/>
      <c r="N963" s="100"/>
    </row>
    <row r="964" spans="2:14" s="98" customFormat="1">
      <c r="B964" s="99" t="s">
        <v>735</v>
      </c>
      <c r="C964" s="109">
        <v>46242</v>
      </c>
      <c r="D964" s="98" t="s">
        <v>753</v>
      </c>
      <c r="E964" s="103">
        <v>14990</v>
      </c>
      <c r="F964" s="98" t="s">
        <v>240</v>
      </c>
      <c r="G964" s="98" t="s">
        <v>374</v>
      </c>
      <c r="H964" s="98" t="s">
        <v>516</v>
      </c>
      <c r="I964" s="98" t="s">
        <v>245</v>
      </c>
      <c r="K964" s="100"/>
      <c r="L964" s="108"/>
      <c r="M964" s="100"/>
      <c r="N964" s="100"/>
    </row>
    <row r="965" spans="2:14" s="98" customFormat="1">
      <c r="B965" s="99" t="s">
        <v>735</v>
      </c>
      <c r="C965" s="109">
        <v>46242</v>
      </c>
      <c r="D965" s="98" t="s">
        <v>297</v>
      </c>
      <c r="E965" s="103">
        <v>7470</v>
      </c>
      <c r="F965" s="98" t="s">
        <v>240</v>
      </c>
      <c r="G965" s="98" t="s">
        <v>374</v>
      </c>
      <c r="H965" s="98" t="s">
        <v>516</v>
      </c>
      <c r="I965" s="98" t="s">
        <v>247</v>
      </c>
      <c r="K965" s="100"/>
      <c r="L965" s="108"/>
      <c r="M965" s="100"/>
      <c r="N965" s="100"/>
    </row>
    <row r="966" spans="2:14" s="98" customFormat="1">
      <c r="B966" s="99" t="s">
        <v>735</v>
      </c>
      <c r="C966" s="109">
        <v>46242</v>
      </c>
      <c r="D966" s="98" t="s">
        <v>740</v>
      </c>
      <c r="E966" s="103">
        <v>-22</v>
      </c>
      <c r="F966" s="98" t="s">
        <v>239</v>
      </c>
      <c r="I966" s="98" t="s">
        <v>737</v>
      </c>
      <c r="K966" s="100"/>
      <c r="L966" s="108"/>
      <c r="M966" s="100"/>
      <c r="N966" s="100"/>
    </row>
    <row r="967" spans="2:14" s="98" customFormat="1">
      <c r="B967" s="99" t="s">
        <v>735</v>
      </c>
      <c r="C967" s="109">
        <v>46242</v>
      </c>
      <c r="D967" s="98" t="s">
        <v>754</v>
      </c>
      <c r="E967" s="103">
        <v>4400</v>
      </c>
      <c r="F967" s="98" t="s">
        <v>240</v>
      </c>
      <c r="G967" s="98" t="s">
        <v>374</v>
      </c>
      <c r="H967" s="98" t="s">
        <v>516</v>
      </c>
      <c r="I967" s="98" t="s">
        <v>243</v>
      </c>
      <c r="K967" s="100"/>
      <c r="L967" s="108"/>
      <c r="M967" s="100"/>
      <c r="N967" s="100"/>
    </row>
    <row r="968" spans="2:14" s="98" customFormat="1">
      <c r="B968" s="99" t="s">
        <v>735</v>
      </c>
      <c r="C968" s="109">
        <v>46242</v>
      </c>
      <c r="D968" s="98" t="s">
        <v>740</v>
      </c>
      <c r="E968" s="103">
        <v>-5</v>
      </c>
      <c r="F968" s="98" t="s">
        <v>239</v>
      </c>
      <c r="I968" s="98" t="s">
        <v>737</v>
      </c>
      <c r="K968" s="100"/>
      <c r="L968" s="108"/>
      <c r="M968" s="100"/>
      <c r="N968" s="100"/>
    </row>
    <row r="969" spans="2:14" s="98" customFormat="1">
      <c r="B969" s="99" t="s">
        <v>735</v>
      </c>
      <c r="C969" s="109">
        <v>46242</v>
      </c>
      <c r="D969" s="98" t="s">
        <v>755</v>
      </c>
      <c r="E969" s="103">
        <v>990</v>
      </c>
      <c r="F969" s="98" t="s">
        <v>240</v>
      </c>
      <c r="G969" s="98" t="s">
        <v>374</v>
      </c>
      <c r="H969" s="98" t="s">
        <v>516</v>
      </c>
      <c r="I969" s="98" t="s">
        <v>248</v>
      </c>
      <c r="K969" s="100"/>
      <c r="L969" s="108"/>
      <c r="M969" s="100"/>
      <c r="N969" s="100"/>
    </row>
    <row r="970" spans="2:14" s="98" customFormat="1">
      <c r="B970" s="99" t="s">
        <v>735</v>
      </c>
      <c r="C970" s="109">
        <v>46242</v>
      </c>
      <c r="D970" s="98" t="s">
        <v>740</v>
      </c>
      <c r="E970" s="103">
        <v>-24</v>
      </c>
      <c r="F970" s="98" t="s">
        <v>239</v>
      </c>
      <c r="I970" s="98" t="s">
        <v>737</v>
      </c>
      <c r="K970" s="100"/>
      <c r="L970" s="108"/>
      <c r="M970" s="100"/>
      <c r="N970" s="100"/>
    </row>
    <row r="971" spans="2:14" s="98" customFormat="1">
      <c r="B971" s="99" t="s">
        <v>735</v>
      </c>
      <c r="C971" s="109">
        <v>46242</v>
      </c>
      <c r="D971" s="98" t="s">
        <v>756</v>
      </c>
      <c r="E971" s="103">
        <v>4854</v>
      </c>
      <c r="F971" s="98" t="s">
        <v>240</v>
      </c>
      <c r="G971" s="98" t="s">
        <v>374</v>
      </c>
      <c r="H971" s="98" t="s">
        <v>516</v>
      </c>
      <c r="I971" s="98" t="s">
        <v>248</v>
      </c>
      <c r="K971" s="100"/>
      <c r="L971" s="108"/>
      <c r="M971" s="100"/>
      <c r="N971" s="100"/>
    </row>
    <row r="972" spans="2:14" s="98" customFormat="1">
      <c r="B972" s="99" t="s">
        <v>735</v>
      </c>
      <c r="C972" s="109">
        <v>46242</v>
      </c>
      <c r="D972" s="98" t="s">
        <v>757</v>
      </c>
      <c r="E972" s="103">
        <v>15989</v>
      </c>
      <c r="F972" s="98" t="s">
        <v>240</v>
      </c>
      <c r="G972" s="98" t="s">
        <v>374</v>
      </c>
      <c r="H972" s="98" t="s">
        <v>516</v>
      </c>
      <c r="I972" s="98" t="s">
        <v>244</v>
      </c>
      <c r="K972" s="100"/>
      <c r="L972" s="108"/>
      <c r="M972" s="100"/>
      <c r="N972" s="100"/>
    </row>
    <row r="973" spans="2:14" s="98" customFormat="1">
      <c r="B973" s="99" t="s">
        <v>735</v>
      </c>
      <c r="C973" s="109">
        <v>46242</v>
      </c>
      <c r="D973" s="98" t="s">
        <v>758</v>
      </c>
      <c r="E973" s="103">
        <v>-3363</v>
      </c>
      <c r="F973" s="98" t="s">
        <v>239</v>
      </c>
      <c r="I973" s="98" t="s">
        <v>737</v>
      </c>
      <c r="K973" s="100"/>
      <c r="L973" s="108"/>
      <c r="M973" s="100"/>
      <c r="N973" s="100"/>
    </row>
    <row r="974" spans="2:14" s="98" customFormat="1">
      <c r="B974" s="99" t="s">
        <v>735</v>
      </c>
      <c r="C974" s="109">
        <v>46242</v>
      </c>
      <c r="D974" s="98" t="s">
        <v>759</v>
      </c>
      <c r="E974" s="103">
        <v>15690</v>
      </c>
      <c r="F974" s="98" t="s">
        <v>240</v>
      </c>
      <c r="G974" s="98" t="s">
        <v>374</v>
      </c>
      <c r="H974" s="98" t="s">
        <v>516</v>
      </c>
      <c r="I974" s="98" t="s">
        <v>248</v>
      </c>
      <c r="K974" s="100"/>
      <c r="L974" s="108"/>
      <c r="M974" s="100"/>
      <c r="N974" s="100"/>
    </row>
    <row r="975" spans="2:14" s="98" customFormat="1">
      <c r="B975" s="99" t="s">
        <v>735</v>
      </c>
      <c r="C975" s="109">
        <v>46241</v>
      </c>
      <c r="D975" s="98" t="s">
        <v>747</v>
      </c>
      <c r="E975" s="103">
        <v>15086</v>
      </c>
      <c r="F975" s="98" t="s">
        <v>240</v>
      </c>
      <c r="G975" s="98" t="s">
        <v>374</v>
      </c>
      <c r="H975" s="98" t="s">
        <v>516</v>
      </c>
      <c r="I975" s="98" t="s">
        <v>244</v>
      </c>
      <c r="K975" s="100"/>
      <c r="L975" s="108"/>
      <c r="M975" s="100"/>
      <c r="N975" s="100"/>
    </row>
    <row r="976" spans="2:14" s="98" customFormat="1">
      <c r="B976" s="99" t="s">
        <v>735</v>
      </c>
      <c r="C976" s="109">
        <v>46241</v>
      </c>
      <c r="D976" s="98" t="s">
        <v>740</v>
      </c>
      <c r="E976" s="103">
        <v>-22</v>
      </c>
      <c r="F976" s="98" t="s">
        <v>239</v>
      </c>
      <c r="I976" s="98" t="s">
        <v>737</v>
      </c>
      <c r="K976" s="100"/>
      <c r="L976" s="108"/>
      <c r="M976" s="100"/>
      <c r="N976" s="100"/>
    </row>
    <row r="977" spans="2:14" s="98" customFormat="1">
      <c r="B977" s="99" t="s">
        <v>735</v>
      </c>
      <c r="C977" s="109">
        <v>46241</v>
      </c>
      <c r="D977" s="98" t="s">
        <v>745</v>
      </c>
      <c r="E977" s="103">
        <v>4459</v>
      </c>
      <c r="F977" s="98" t="s">
        <v>240</v>
      </c>
      <c r="G977" s="98" t="s">
        <v>374</v>
      </c>
      <c r="H977" s="98" t="s">
        <v>513</v>
      </c>
      <c r="I977" s="98" t="s">
        <v>242</v>
      </c>
      <c r="K977" s="100"/>
      <c r="L977" s="108"/>
      <c r="M977" s="100"/>
      <c r="N977" s="100"/>
    </row>
    <row r="978" spans="2:14" s="98" customFormat="1">
      <c r="B978" s="99" t="s">
        <v>735</v>
      </c>
      <c r="C978" s="109">
        <v>46241</v>
      </c>
      <c r="D978" s="98" t="s">
        <v>740</v>
      </c>
      <c r="E978" s="103">
        <v>-5</v>
      </c>
      <c r="F978" s="98" t="s">
        <v>239</v>
      </c>
      <c r="I978" s="98" t="s">
        <v>737</v>
      </c>
      <c r="K978" s="100"/>
      <c r="L978" s="108"/>
      <c r="M978" s="100"/>
      <c r="N978" s="100"/>
    </row>
    <row r="979" spans="2:14" s="98" customFormat="1">
      <c r="B979" s="99" t="s">
        <v>735</v>
      </c>
      <c r="C979" s="109">
        <v>46241</v>
      </c>
      <c r="D979" s="98" t="s">
        <v>748</v>
      </c>
      <c r="E979" s="103">
        <v>1000</v>
      </c>
      <c r="F979" s="98" t="s">
        <v>240</v>
      </c>
      <c r="G979" s="98" t="s">
        <v>374</v>
      </c>
      <c r="H979" s="98" t="s">
        <v>516</v>
      </c>
      <c r="I979" s="98" t="s">
        <v>247</v>
      </c>
      <c r="K979" s="100"/>
      <c r="L979" s="108"/>
      <c r="M979" s="100"/>
      <c r="N979" s="100"/>
    </row>
    <row r="980" spans="2:14" s="98" customFormat="1">
      <c r="B980" s="99" t="s">
        <v>735</v>
      </c>
      <c r="C980" s="109">
        <v>46241</v>
      </c>
      <c r="D980" s="98" t="s">
        <v>740</v>
      </c>
      <c r="E980" s="103">
        <v>-75</v>
      </c>
      <c r="F980" s="98" t="s">
        <v>239</v>
      </c>
      <c r="I980" s="98" t="s">
        <v>737</v>
      </c>
      <c r="K980" s="100"/>
      <c r="L980" s="108"/>
      <c r="M980" s="100"/>
      <c r="N980" s="100"/>
    </row>
    <row r="981" spans="2:14" s="98" customFormat="1">
      <c r="B981" s="99" t="s">
        <v>735</v>
      </c>
      <c r="C981" s="109">
        <v>46241</v>
      </c>
      <c r="D981" s="98" t="s">
        <v>749</v>
      </c>
      <c r="E981" s="103">
        <v>15000</v>
      </c>
      <c r="F981" s="98" t="s">
        <v>240</v>
      </c>
      <c r="G981" s="98" t="s">
        <v>374</v>
      </c>
      <c r="H981" s="98" t="s">
        <v>516</v>
      </c>
      <c r="I981" s="98" t="s">
        <v>270</v>
      </c>
      <c r="K981" s="100"/>
      <c r="L981" s="108"/>
      <c r="M981" s="100"/>
      <c r="N981" s="100"/>
    </row>
    <row r="982" spans="2:14" s="98" customFormat="1">
      <c r="B982" s="99" t="s">
        <v>735</v>
      </c>
      <c r="C982" s="109">
        <v>46241</v>
      </c>
      <c r="D982" s="98" t="s">
        <v>297</v>
      </c>
      <c r="E982" s="103">
        <v>3380</v>
      </c>
      <c r="F982" s="98" t="s">
        <v>240</v>
      </c>
      <c r="G982" s="98" t="s">
        <v>374</v>
      </c>
      <c r="H982" s="98" t="s">
        <v>516</v>
      </c>
      <c r="I982" s="98" t="s">
        <v>247</v>
      </c>
      <c r="K982" s="100"/>
      <c r="L982" s="108"/>
      <c r="M982" s="100"/>
      <c r="N982" s="100"/>
    </row>
    <row r="983" spans="2:14" s="98" customFormat="1">
      <c r="B983" s="99" t="s">
        <v>735</v>
      </c>
      <c r="C983" s="109">
        <v>46241</v>
      </c>
      <c r="D983" s="98" t="s">
        <v>709</v>
      </c>
      <c r="E983" s="103">
        <v>20000</v>
      </c>
      <c r="F983" s="98" t="s">
        <v>240</v>
      </c>
      <c r="G983" s="98" t="s">
        <v>374</v>
      </c>
      <c r="H983" s="98" t="s">
        <v>516</v>
      </c>
      <c r="I983" s="98" t="s">
        <v>243</v>
      </c>
      <c r="K983" s="100"/>
      <c r="L983" s="108"/>
      <c r="M983" s="100"/>
      <c r="N983" s="100"/>
    </row>
    <row r="984" spans="2:14" s="98" customFormat="1">
      <c r="B984" s="99" t="s">
        <v>735</v>
      </c>
      <c r="C984" s="109">
        <v>46241</v>
      </c>
      <c r="D984" s="98" t="s">
        <v>709</v>
      </c>
      <c r="E984" s="103">
        <v>10000</v>
      </c>
      <c r="F984" s="98" t="s">
        <v>240</v>
      </c>
      <c r="G984" s="98" t="s">
        <v>374</v>
      </c>
      <c r="H984" s="98" t="s">
        <v>516</v>
      </c>
      <c r="I984" s="98" t="s">
        <v>248</v>
      </c>
      <c r="K984" s="100"/>
      <c r="L984" s="108"/>
      <c r="M984" s="100"/>
      <c r="N984" s="100"/>
    </row>
    <row r="985" spans="2:14" s="98" customFormat="1">
      <c r="B985" s="99" t="s">
        <v>735</v>
      </c>
      <c r="C985" s="109">
        <v>46241</v>
      </c>
      <c r="D985" s="98" t="s">
        <v>740</v>
      </c>
      <c r="E985" s="103">
        <v>-4</v>
      </c>
      <c r="F985" s="98" t="s">
        <v>239</v>
      </c>
      <c r="I985" s="98" t="s">
        <v>737</v>
      </c>
      <c r="K985" s="100"/>
      <c r="L985" s="108"/>
      <c r="M985" s="100"/>
      <c r="N985" s="100"/>
    </row>
    <row r="986" spans="2:14" s="98" customFormat="1">
      <c r="B986" s="99" t="s">
        <v>735</v>
      </c>
      <c r="C986" s="109">
        <v>46241</v>
      </c>
      <c r="D986" s="98" t="s">
        <v>746</v>
      </c>
      <c r="E986" s="103">
        <v>720</v>
      </c>
      <c r="F986" s="98" t="s">
        <v>240</v>
      </c>
      <c r="G986" s="98" t="s">
        <v>374</v>
      </c>
      <c r="H986" s="98" t="s">
        <v>516</v>
      </c>
      <c r="I986" s="98" t="s">
        <v>244</v>
      </c>
      <c r="K986" s="100"/>
      <c r="L986" s="108"/>
      <c r="M986" s="100"/>
      <c r="N986" s="100"/>
    </row>
    <row r="987" spans="2:14" s="98" customFormat="1">
      <c r="B987" s="99" t="s">
        <v>735</v>
      </c>
      <c r="C987" s="109">
        <v>46241</v>
      </c>
      <c r="D987" s="98" t="s">
        <v>744</v>
      </c>
      <c r="E987" s="103">
        <v>-3</v>
      </c>
      <c r="F987" s="98" t="s">
        <v>239</v>
      </c>
      <c r="I987" s="98" t="s">
        <v>737</v>
      </c>
      <c r="K987" s="100"/>
      <c r="L987" s="108"/>
      <c r="M987" s="100"/>
      <c r="N987" s="100"/>
    </row>
    <row r="988" spans="2:14" s="98" customFormat="1">
      <c r="B988" s="99" t="s">
        <v>735</v>
      </c>
      <c r="C988" s="109">
        <v>46241</v>
      </c>
      <c r="D988" s="98" t="s">
        <v>744</v>
      </c>
      <c r="E988" s="103">
        <v>-69</v>
      </c>
      <c r="F988" s="98" t="s">
        <v>239</v>
      </c>
      <c r="I988" s="98" t="s">
        <v>737</v>
      </c>
      <c r="K988" s="100"/>
      <c r="L988" s="108"/>
      <c r="M988" s="100"/>
      <c r="N988" s="100"/>
    </row>
    <row r="989" spans="2:14" s="98" customFormat="1">
      <c r="B989" s="99" t="s">
        <v>735</v>
      </c>
      <c r="C989" s="109">
        <v>46241</v>
      </c>
      <c r="D989" s="98" t="s">
        <v>740</v>
      </c>
      <c r="E989" s="103">
        <v>-75</v>
      </c>
      <c r="F989" s="98" t="s">
        <v>239</v>
      </c>
      <c r="I989" s="98" t="s">
        <v>737</v>
      </c>
      <c r="K989" s="100"/>
      <c r="L989" s="108"/>
      <c r="M989" s="100"/>
      <c r="N989" s="100"/>
    </row>
    <row r="990" spans="2:14" s="98" customFormat="1">
      <c r="B990" s="99" t="s">
        <v>735</v>
      </c>
      <c r="C990" s="109">
        <v>46240</v>
      </c>
      <c r="D990" s="98" t="s">
        <v>727</v>
      </c>
      <c r="E990" s="103">
        <v>15000</v>
      </c>
      <c r="F990" s="98" t="s">
        <v>240</v>
      </c>
      <c r="G990" s="98" t="s">
        <v>374</v>
      </c>
      <c r="H990" s="98" t="s">
        <v>516</v>
      </c>
      <c r="I990" s="98" t="s">
        <v>244</v>
      </c>
      <c r="K990" s="100"/>
      <c r="L990" s="108"/>
      <c r="M990" s="100"/>
      <c r="N990" s="100"/>
    </row>
    <row r="991" spans="2:14" s="98" customFormat="1">
      <c r="B991" s="99" t="s">
        <v>735</v>
      </c>
      <c r="C991" s="109">
        <v>46240</v>
      </c>
      <c r="D991" s="98" t="s">
        <v>740</v>
      </c>
      <c r="E991" s="103">
        <v>-736</v>
      </c>
      <c r="F991" s="98" t="s">
        <v>239</v>
      </c>
      <c r="I991" s="98" t="s">
        <v>737</v>
      </c>
      <c r="K991" s="100"/>
      <c r="L991" s="108"/>
      <c r="M991" s="100"/>
      <c r="N991" s="100"/>
    </row>
    <row r="992" spans="2:14" s="98" customFormat="1">
      <c r="B992" s="99" t="s">
        <v>735</v>
      </c>
      <c r="C992" s="109">
        <v>46240</v>
      </c>
      <c r="D992" s="98" t="s">
        <v>741</v>
      </c>
      <c r="E992" s="103">
        <v>-36780</v>
      </c>
      <c r="F992" s="98" t="s">
        <v>239</v>
      </c>
      <c r="I992" s="98" t="s">
        <v>736</v>
      </c>
      <c r="K992" s="100"/>
      <c r="L992" s="108"/>
      <c r="M992" s="100"/>
      <c r="N992" s="100"/>
    </row>
    <row r="993" spans="2:14" s="98" customFormat="1">
      <c r="B993" s="99" t="s">
        <v>735</v>
      </c>
      <c r="C993" s="109">
        <v>46240</v>
      </c>
      <c r="D993" s="98" t="s">
        <v>742</v>
      </c>
      <c r="E993" s="103">
        <v>36780</v>
      </c>
      <c r="F993" s="98" t="s">
        <v>240</v>
      </c>
      <c r="G993" s="98" t="s">
        <v>374</v>
      </c>
      <c r="H993" s="98" t="s">
        <v>516</v>
      </c>
      <c r="I993" s="98" t="s">
        <v>736</v>
      </c>
      <c r="K993" s="100"/>
      <c r="L993" s="108"/>
      <c r="M993" s="100"/>
      <c r="N993" s="100"/>
    </row>
    <row r="994" spans="2:14" s="98" customFormat="1">
      <c r="B994" s="99" t="s">
        <v>735</v>
      </c>
      <c r="C994" s="109">
        <v>46240</v>
      </c>
      <c r="D994" s="98" t="s">
        <v>690</v>
      </c>
      <c r="E994" s="103">
        <v>-72541</v>
      </c>
      <c r="F994" s="98" t="s">
        <v>239</v>
      </c>
      <c r="I994" s="98" t="s">
        <v>738</v>
      </c>
      <c r="K994" s="100"/>
      <c r="L994" s="108"/>
      <c r="M994" s="100"/>
      <c r="N994" s="100"/>
    </row>
    <row r="995" spans="2:14" s="98" customFormat="1">
      <c r="B995" s="99" t="s">
        <v>735</v>
      </c>
      <c r="C995" s="109">
        <v>46240</v>
      </c>
      <c r="D995" s="98" t="s">
        <v>740</v>
      </c>
      <c r="E995" s="103">
        <v>-9</v>
      </c>
      <c r="F995" s="98" t="s">
        <v>239</v>
      </c>
      <c r="I995" s="98" t="s">
        <v>737</v>
      </c>
      <c r="K995" s="100"/>
      <c r="L995" s="108"/>
      <c r="M995" s="100"/>
      <c r="N995" s="100"/>
    </row>
    <row r="996" spans="2:14" s="98" customFormat="1">
      <c r="B996" s="99" t="s">
        <v>735</v>
      </c>
      <c r="C996" s="109">
        <v>46240</v>
      </c>
      <c r="D996" s="98" t="s">
        <v>702</v>
      </c>
      <c r="E996" s="103">
        <v>1800</v>
      </c>
      <c r="F996" s="98" t="s">
        <v>240</v>
      </c>
      <c r="G996" s="98" t="s">
        <v>374</v>
      </c>
      <c r="H996" s="98" t="s">
        <v>516</v>
      </c>
      <c r="I996" s="98" t="s">
        <v>247</v>
      </c>
      <c r="K996" s="100"/>
      <c r="L996" s="108"/>
      <c r="M996" s="100"/>
      <c r="N996" s="100"/>
    </row>
    <row r="997" spans="2:14" s="98" customFormat="1">
      <c r="B997" s="99" t="s">
        <v>735</v>
      </c>
      <c r="C997" s="109">
        <v>46240</v>
      </c>
      <c r="D997" s="98" t="s">
        <v>740</v>
      </c>
      <c r="E997" s="103">
        <v>-108</v>
      </c>
      <c r="F997" s="98" t="s">
        <v>239</v>
      </c>
      <c r="I997" s="98" t="s">
        <v>737</v>
      </c>
      <c r="K997" s="100"/>
      <c r="L997" s="108"/>
      <c r="M997" s="100"/>
      <c r="N997" s="100"/>
    </row>
    <row r="998" spans="2:14" s="98" customFormat="1">
      <c r="B998" s="99" t="s">
        <v>735</v>
      </c>
      <c r="C998" s="109">
        <v>46240</v>
      </c>
      <c r="D998" s="98" t="s">
        <v>743</v>
      </c>
      <c r="E998" s="103">
        <v>21537</v>
      </c>
      <c r="F998" s="98" t="s">
        <v>240</v>
      </c>
      <c r="G998" s="98" t="s">
        <v>374</v>
      </c>
      <c r="H998" s="98" t="s">
        <v>516</v>
      </c>
      <c r="I998" s="98" t="s">
        <v>245</v>
      </c>
      <c r="K998" s="100"/>
      <c r="L998" s="108"/>
      <c r="M998" s="100"/>
      <c r="N998" s="100"/>
    </row>
    <row r="999" spans="2:14" s="98" customFormat="1">
      <c r="B999" s="99" t="s">
        <v>735</v>
      </c>
      <c r="C999" s="109">
        <v>46240</v>
      </c>
      <c r="D999" s="98" t="s">
        <v>744</v>
      </c>
      <c r="E999" s="103">
        <v>-49</v>
      </c>
      <c r="F999" s="98" t="s">
        <v>239</v>
      </c>
      <c r="I999" s="98" t="s">
        <v>737</v>
      </c>
      <c r="K999" s="100"/>
      <c r="L999" s="108"/>
      <c r="M999" s="100"/>
      <c r="N999" s="100"/>
    </row>
    <row r="1000" spans="2:14" s="98" customFormat="1">
      <c r="B1000" s="99" t="s">
        <v>735</v>
      </c>
      <c r="C1000" s="109">
        <v>46240</v>
      </c>
      <c r="D1000" s="98" t="s">
        <v>744</v>
      </c>
      <c r="E1000" s="103">
        <v>-2</v>
      </c>
      <c r="F1000" s="98" t="s">
        <v>239</v>
      </c>
      <c r="I1000" s="98" t="s">
        <v>737</v>
      </c>
      <c r="K1000" s="100"/>
      <c r="L1000" s="108"/>
      <c r="M1000" s="100"/>
      <c r="N1000" s="100"/>
    </row>
    <row r="1001" spans="2:14" s="98" customFormat="1">
      <c r="B1001" s="99" t="s">
        <v>735</v>
      </c>
      <c r="C1001" s="109">
        <v>46240</v>
      </c>
      <c r="D1001" s="98" t="s">
        <v>740</v>
      </c>
      <c r="E1001" s="103">
        <v>-22</v>
      </c>
      <c r="F1001" s="98" t="s">
        <v>239</v>
      </c>
      <c r="I1001" s="98" t="s">
        <v>737</v>
      </c>
      <c r="K1001" s="100"/>
      <c r="L1001" s="108"/>
      <c r="M1001" s="100"/>
      <c r="N1001" s="100"/>
    </row>
    <row r="1002" spans="2:14" s="98" customFormat="1">
      <c r="B1002" s="99" t="s">
        <v>735</v>
      </c>
      <c r="C1002" s="109">
        <v>46240</v>
      </c>
      <c r="D1002" s="98" t="s">
        <v>745</v>
      </c>
      <c r="E1002" s="103">
        <v>4459</v>
      </c>
      <c r="F1002" s="98" t="s">
        <v>240</v>
      </c>
      <c r="G1002" s="98" t="s">
        <v>374</v>
      </c>
      <c r="H1002" s="98" t="s">
        <v>513</v>
      </c>
      <c r="I1002" s="98" t="s">
        <v>242</v>
      </c>
      <c r="K1002" s="100"/>
      <c r="L1002" s="108"/>
      <c r="M1002" s="100"/>
      <c r="N1002" s="100"/>
    </row>
    <row r="1003" spans="2:14" s="98" customFormat="1">
      <c r="B1003" s="99" t="s">
        <v>735</v>
      </c>
      <c r="C1003" s="109">
        <v>46240</v>
      </c>
      <c r="D1003" s="98" t="s">
        <v>686</v>
      </c>
      <c r="E1003" s="103">
        <v>12000</v>
      </c>
      <c r="F1003" s="98" t="s">
        <v>240</v>
      </c>
      <c r="G1003" s="98" t="s">
        <v>374</v>
      </c>
      <c r="H1003" s="98" t="s">
        <v>516</v>
      </c>
      <c r="I1003" s="98" t="s">
        <v>251</v>
      </c>
      <c r="K1003" s="100"/>
      <c r="L1003" s="108"/>
      <c r="M1003" s="100"/>
      <c r="N1003" s="100"/>
    </row>
    <row r="1004" spans="2:14" s="98" customFormat="1">
      <c r="B1004" s="99" t="s">
        <v>735</v>
      </c>
      <c r="C1004" s="109">
        <v>46240</v>
      </c>
      <c r="D1004" s="98" t="s">
        <v>691</v>
      </c>
      <c r="E1004" s="103">
        <v>20050</v>
      </c>
      <c r="F1004" s="98" t="s">
        <v>240</v>
      </c>
      <c r="G1004" s="98" t="s">
        <v>374</v>
      </c>
      <c r="H1004" s="98" t="s">
        <v>516</v>
      </c>
      <c r="I1004" s="98" t="s">
        <v>544</v>
      </c>
      <c r="K1004" s="100"/>
      <c r="L1004" s="108"/>
      <c r="M1004" s="100"/>
      <c r="N1004" s="100"/>
    </row>
    <row r="1005" spans="2:14" s="98" customFormat="1">
      <c r="B1005" s="99" t="s">
        <v>735</v>
      </c>
      <c r="C1005" s="109">
        <v>46240</v>
      </c>
      <c r="D1005" s="98" t="s">
        <v>687</v>
      </c>
      <c r="E1005" s="103">
        <v>43426</v>
      </c>
      <c r="F1005" s="98" t="s">
        <v>240</v>
      </c>
      <c r="G1005" s="98" t="s">
        <v>374</v>
      </c>
      <c r="H1005" s="98" t="s">
        <v>516</v>
      </c>
      <c r="I1005" s="98" t="s">
        <v>736</v>
      </c>
      <c r="K1005" s="100"/>
      <c r="L1005" s="108"/>
      <c r="M1005" s="100"/>
      <c r="N1005" s="100"/>
    </row>
    <row r="1006" spans="2:14" s="98" customFormat="1">
      <c r="B1006" s="99" t="s">
        <v>735</v>
      </c>
      <c r="C1006" s="109">
        <v>46239</v>
      </c>
      <c r="D1006" s="98" t="s">
        <v>696</v>
      </c>
      <c r="E1006" s="103">
        <v>-201</v>
      </c>
      <c r="F1006" s="98" t="s">
        <v>239</v>
      </c>
      <c r="I1006" s="98" t="s">
        <v>737</v>
      </c>
      <c r="K1006" s="100"/>
      <c r="L1006" s="108"/>
      <c r="M1006" s="100"/>
      <c r="N1006" s="100"/>
    </row>
    <row r="1007" spans="2:14" s="98" customFormat="1">
      <c r="B1007" s="99" t="s">
        <v>735</v>
      </c>
      <c r="C1007" s="109">
        <v>46239</v>
      </c>
      <c r="D1007" s="98" t="s">
        <v>695</v>
      </c>
      <c r="E1007" s="103">
        <v>-53</v>
      </c>
      <c r="F1007" s="98" t="s">
        <v>239</v>
      </c>
      <c r="I1007" s="98" t="s">
        <v>737</v>
      </c>
      <c r="K1007" s="100"/>
      <c r="L1007" s="108"/>
      <c r="M1007" s="100"/>
      <c r="N1007" s="100"/>
    </row>
    <row r="1008" spans="2:14" s="98" customFormat="1">
      <c r="B1008" s="99" t="s">
        <v>735</v>
      </c>
      <c r="C1008" s="109">
        <v>46239</v>
      </c>
      <c r="D1008" s="98" t="s">
        <v>692</v>
      </c>
      <c r="E1008" s="103">
        <v>2390</v>
      </c>
      <c r="F1008" s="98" t="s">
        <v>240</v>
      </c>
      <c r="G1008" s="98" t="s">
        <v>374</v>
      </c>
      <c r="H1008" s="98" t="s">
        <v>516</v>
      </c>
      <c r="I1008" s="98" t="s">
        <v>247</v>
      </c>
      <c r="K1008" s="100"/>
      <c r="L1008" s="108"/>
      <c r="M1008" s="100"/>
      <c r="N1008" s="100"/>
    </row>
    <row r="1009" spans="2:14" s="98" customFormat="1">
      <c r="B1009" s="99" t="s">
        <v>735</v>
      </c>
      <c r="C1009" s="109">
        <v>46239</v>
      </c>
      <c r="D1009" s="98" t="s">
        <v>694</v>
      </c>
      <c r="E1009" s="103">
        <v>2500</v>
      </c>
      <c r="F1009" s="98" t="s">
        <v>240</v>
      </c>
      <c r="G1009" s="98" t="s">
        <v>374</v>
      </c>
      <c r="H1009" s="98" t="s">
        <v>516</v>
      </c>
      <c r="I1009" s="98" t="s">
        <v>247</v>
      </c>
      <c r="K1009" s="100"/>
      <c r="L1009" s="108"/>
      <c r="M1009" s="100"/>
      <c r="N1009" s="100"/>
    </row>
    <row r="1010" spans="2:14" s="98" customFormat="1">
      <c r="B1010" s="99" t="s">
        <v>735</v>
      </c>
      <c r="C1010" s="109">
        <v>46239</v>
      </c>
      <c r="D1010" s="98" t="s">
        <v>697</v>
      </c>
      <c r="E1010" s="103">
        <v>4459</v>
      </c>
      <c r="F1010" s="98" t="s">
        <v>240</v>
      </c>
      <c r="G1010" s="98" t="s">
        <v>374</v>
      </c>
      <c r="H1010" s="98" t="s">
        <v>513</v>
      </c>
      <c r="I1010" s="98" t="s">
        <v>242</v>
      </c>
      <c r="K1010" s="100"/>
      <c r="L1010" s="108"/>
      <c r="M1010" s="100"/>
      <c r="N1010" s="100"/>
    </row>
    <row r="1011" spans="2:14" s="98" customFormat="1">
      <c r="B1011" s="99" t="s">
        <v>735</v>
      </c>
      <c r="C1011" s="109">
        <v>46239</v>
      </c>
      <c r="D1011" s="98" t="s">
        <v>693</v>
      </c>
      <c r="E1011" s="103">
        <v>11000</v>
      </c>
      <c r="F1011" s="98" t="s">
        <v>240</v>
      </c>
      <c r="G1011" s="98" t="s">
        <v>374</v>
      </c>
      <c r="H1011" s="98" t="s">
        <v>516</v>
      </c>
      <c r="I1011" s="98" t="s">
        <v>248</v>
      </c>
      <c r="K1011" s="100"/>
      <c r="L1011" s="108"/>
      <c r="M1011" s="100"/>
      <c r="N1011" s="100"/>
    </row>
    <row r="1012" spans="2:14" s="98" customFormat="1">
      <c r="B1012" s="99" t="s">
        <v>735</v>
      </c>
      <c r="C1012" s="109">
        <v>46239</v>
      </c>
      <c r="D1012" s="98" t="s">
        <v>698</v>
      </c>
      <c r="E1012" s="103">
        <v>25000</v>
      </c>
      <c r="F1012" s="98" t="s">
        <v>240</v>
      </c>
      <c r="G1012" s="98" t="s">
        <v>374</v>
      </c>
      <c r="H1012" s="98" t="s">
        <v>516</v>
      </c>
      <c r="I1012" s="98" t="s">
        <v>270</v>
      </c>
      <c r="K1012" s="100"/>
      <c r="L1012" s="108"/>
      <c r="M1012" s="100"/>
      <c r="N1012" s="100"/>
    </row>
    <row r="1013" spans="2:14" s="98" customFormat="1">
      <c r="B1013" s="99" t="s">
        <v>735</v>
      </c>
      <c r="C1013" s="109">
        <v>46239</v>
      </c>
      <c r="D1013" s="98" t="s">
        <v>688</v>
      </c>
      <c r="E1013" s="103">
        <v>200000</v>
      </c>
      <c r="F1013" s="98" t="s">
        <v>240</v>
      </c>
      <c r="G1013" s="98" t="s">
        <v>374</v>
      </c>
      <c r="H1013" s="98" t="s">
        <v>516</v>
      </c>
      <c r="I1013" s="98" t="s">
        <v>739</v>
      </c>
      <c r="K1013" s="100"/>
      <c r="L1013" s="108"/>
      <c r="M1013" s="100"/>
      <c r="N1013" s="100"/>
    </row>
    <row r="1014" spans="2:14" s="98" customFormat="1">
      <c r="B1014" s="99" t="s">
        <v>735</v>
      </c>
      <c r="C1014" s="109">
        <v>46239</v>
      </c>
      <c r="D1014" s="98" t="s">
        <v>689</v>
      </c>
      <c r="E1014" s="103">
        <v>733000</v>
      </c>
      <c r="F1014" s="98" t="s">
        <v>240</v>
      </c>
      <c r="G1014" s="98" t="s">
        <v>374</v>
      </c>
      <c r="H1014" s="98" t="s">
        <v>513</v>
      </c>
      <c r="I1014" s="98" t="s">
        <v>252</v>
      </c>
      <c r="K1014" s="100"/>
      <c r="L1014" s="108"/>
      <c r="M1014" s="100"/>
      <c r="N1014" s="100"/>
    </row>
    <row r="1015" spans="2:14" s="98" customFormat="1">
      <c r="B1015" s="99" t="s">
        <v>735</v>
      </c>
      <c r="C1015" s="109">
        <v>46238</v>
      </c>
      <c r="D1015" s="98" t="s">
        <v>690</v>
      </c>
      <c r="E1015" s="103">
        <v>-12284</v>
      </c>
      <c r="F1015" s="98" t="s">
        <v>239</v>
      </c>
      <c r="I1015" s="98" t="s">
        <v>738</v>
      </c>
      <c r="K1015" s="100"/>
      <c r="L1015" s="108"/>
      <c r="M1015" s="100"/>
      <c r="N1015" s="100"/>
    </row>
    <row r="1016" spans="2:14" s="98" customFormat="1">
      <c r="B1016" s="99" t="s">
        <v>735</v>
      </c>
      <c r="C1016" s="109">
        <v>46238</v>
      </c>
      <c r="D1016" s="98" t="s">
        <v>701</v>
      </c>
      <c r="E1016" s="103">
        <v>-3000</v>
      </c>
      <c r="F1016" s="98" t="s">
        <v>239</v>
      </c>
      <c r="I1016" s="98" t="s">
        <v>737</v>
      </c>
      <c r="K1016" s="100"/>
      <c r="L1016" s="108"/>
      <c r="M1016" s="100"/>
      <c r="N1016" s="100"/>
    </row>
    <row r="1017" spans="2:14" s="98" customFormat="1">
      <c r="B1017" s="99" t="s">
        <v>735</v>
      </c>
      <c r="C1017" s="109">
        <v>46238</v>
      </c>
      <c r="D1017" s="98" t="s">
        <v>696</v>
      </c>
      <c r="E1017" s="103">
        <v>-204</v>
      </c>
      <c r="F1017" s="98" t="s">
        <v>239</v>
      </c>
      <c r="I1017" s="98" t="s">
        <v>737</v>
      </c>
      <c r="K1017" s="100"/>
      <c r="L1017" s="108"/>
      <c r="M1017" s="100"/>
      <c r="N1017" s="100"/>
    </row>
    <row r="1018" spans="2:14" s="98" customFormat="1">
      <c r="B1018" s="99" t="s">
        <v>735</v>
      </c>
      <c r="C1018" s="109">
        <v>46238</v>
      </c>
      <c r="D1018" s="98" t="s">
        <v>695</v>
      </c>
      <c r="E1018" s="103">
        <v>-54</v>
      </c>
      <c r="F1018" s="98" t="s">
        <v>239</v>
      </c>
      <c r="I1018" s="98" t="s">
        <v>737</v>
      </c>
      <c r="K1018" s="100"/>
      <c r="L1018" s="108"/>
      <c r="M1018" s="100"/>
      <c r="N1018" s="100"/>
    </row>
    <row r="1019" spans="2:14" s="98" customFormat="1">
      <c r="B1019" s="99" t="s">
        <v>735</v>
      </c>
      <c r="C1019" s="109">
        <v>46238</v>
      </c>
      <c r="D1019" s="98" t="s">
        <v>702</v>
      </c>
      <c r="E1019" s="103">
        <v>3200</v>
      </c>
      <c r="F1019" s="98" t="s">
        <v>240</v>
      </c>
      <c r="G1019" s="98" t="s">
        <v>374</v>
      </c>
      <c r="H1019" s="98" t="s">
        <v>516</v>
      </c>
      <c r="I1019" s="98" t="s">
        <v>247</v>
      </c>
      <c r="K1019" s="100"/>
      <c r="L1019" s="108"/>
      <c r="M1019" s="100"/>
      <c r="N1019" s="100"/>
    </row>
    <row r="1020" spans="2:14" s="98" customFormat="1">
      <c r="B1020" s="99" t="s">
        <v>735</v>
      </c>
      <c r="C1020" s="109">
        <v>46238</v>
      </c>
      <c r="D1020" s="98" t="s">
        <v>700</v>
      </c>
      <c r="E1020" s="103">
        <v>3810</v>
      </c>
      <c r="F1020" s="98" t="s">
        <v>240</v>
      </c>
      <c r="G1020" s="98" t="s">
        <v>374</v>
      </c>
      <c r="H1020" s="98" t="s">
        <v>516</v>
      </c>
      <c r="I1020" s="98" t="s">
        <v>247</v>
      </c>
      <c r="K1020" s="100"/>
      <c r="L1020" s="108"/>
      <c r="M1020" s="100"/>
      <c r="N1020" s="100"/>
    </row>
    <row r="1021" spans="2:14" s="98" customFormat="1">
      <c r="B1021" s="99" t="s">
        <v>735</v>
      </c>
      <c r="C1021" s="109">
        <v>46238</v>
      </c>
      <c r="D1021" s="98" t="s">
        <v>697</v>
      </c>
      <c r="E1021" s="103">
        <v>4459</v>
      </c>
      <c r="F1021" s="98" t="s">
        <v>240</v>
      </c>
      <c r="G1021" s="98" t="s">
        <v>374</v>
      </c>
      <c r="H1021" s="98" t="s">
        <v>513</v>
      </c>
      <c r="I1021" s="98" t="s">
        <v>242</v>
      </c>
      <c r="K1021" s="100"/>
      <c r="L1021" s="108"/>
      <c r="M1021" s="100"/>
      <c r="N1021" s="100"/>
    </row>
    <row r="1022" spans="2:14" s="98" customFormat="1">
      <c r="B1022" s="99" t="s">
        <v>735</v>
      </c>
      <c r="C1022" s="109">
        <v>46238</v>
      </c>
      <c r="D1022" s="98" t="s">
        <v>704</v>
      </c>
      <c r="E1022" s="103">
        <v>8180</v>
      </c>
      <c r="F1022" s="98" t="s">
        <v>240</v>
      </c>
      <c r="G1022" s="98" t="s">
        <v>374</v>
      </c>
      <c r="H1022" s="98" t="s">
        <v>516</v>
      </c>
      <c r="I1022" s="98" t="s">
        <v>248</v>
      </c>
      <c r="K1022" s="100"/>
      <c r="L1022" s="108"/>
      <c r="M1022" s="100"/>
      <c r="N1022" s="100"/>
    </row>
    <row r="1023" spans="2:14" s="98" customFormat="1">
      <c r="B1023" s="99" t="s">
        <v>735</v>
      </c>
      <c r="C1023" s="109">
        <v>46238</v>
      </c>
      <c r="D1023" s="98" t="s">
        <v>703</v>
      </c>
      <c r="E1023" s="103">
        <v>27589</v>
      </c>
      <c r="F1023" s="98" t="s">
        <v>240</v>
      </c>
      <c r="G1023" s="98" t="s">
        <v>374</v>
      </c>
      <c r="H1023" s="98" t="s">
        <v>513</v>
      </c>
      <c r="I1023" s="98" t="s">
        <v>545</v>
      </c>
      <c r="K1023" s="100"/>
      <c r="L1023" s="108"/>
      <c r="M1023" s="100"/>
      <c r="N1023" s="100"/>
    </row>
    <row r="1024" spans="2:14" s="98" customFormat="1">
      <c r="B1024" s="99" t="s">
        <v>735</v>
      </c>
      <c r="C1024" s="109">
        <v>46238</v>
      </c>
      <c r="D1024" s="98" t="s">
        <v>546</v>
      </c>
      <c r="E1024" s="103">
        <v>31000</v>
      </c>
      <c r="F1024" s="98" t="s">
        <v>240</v>
      </c>
      <c r="G1024" s="98" t="s">
        <v>374</v>
      </c>
      <c r="H1024" s="98" t="s">
        <v>546</v>
      </c>
      <c r="I1024" s="98" t="s">
        <v>983</v>
      </c>
      <c r="K1024" s="100"/>
      <c r="L1024" s="108"/>
      <c r="M1024" s="100"/>
      <c r="N1024" s="100"/>
    </row>
    <row r="1025" spans="2:14" s="98" customFormat="1">
      <c r="B1025" s="99" t="s">
        <v>735</v>
      </c>
      <c r="C1025" s="109">
        <v>46238</v>
      </c>
      <c r="D1025" s="98" t="s">
        <v>699</v>
      </c>
      <c r="E1025" s="103">
        <v>35016</v>
      </c>
      <c r="F1025" s="98" t="s">
        <v>240</v>
      </c>
      <c r="G1025" s="98" t="s">
        <v>374</v>
      </c>
      <c r="H1025" s="98" t="s">
        <v>516</v>
      </c>
      <c r="I1025" s="98" t="s">
        <v>245</v>
      </c>
      <c r="K1025" s="100"/>
      <c r="L1025" s="108"/>
      <c r="M1025" s="100"/>
      <c r="N1025" s="100"/>
    </row>
    <row r="1026" spans="2:14" s="98" customFormat="1">
      <c r="B1026" s="99" t="s">
        <v>735</v>
      </c>
      <c r="C1026" s="109">
        <v>46238</v>
      </c>
      <c r="D1026" s="98" t="s">
        <v>705</v>
      </c>
      <c r="E1026" s="103">
        <v>51500</v>
      </c>
      <c r="F1026" s="98" t="s">
        <v>240</v>
      </c>
      <c r="G1026" s="98" t="s">
        <v>374</v>
      </c>
      <c r="H1026" s="98" t="s">
        <v>513</v>
      </c>
      <c r="I1026" s="98" t="s">
        <v>271</v>
      </c>
      <c r="K1026" s="100"/>
      <c r="L1026" s="108"/>
      <c r="M1026" s="100"/>
      <c r="N1026" s="100"/>
    </row>
    <row r="1027" spans="2:14" s="98" customFormat="1">
      <c r="B1027" s="99" t="s">
        <v>735</v>
      </c>
      <c r="C1027" s="109">
        <v>46237</v>
      </c>
      <c r="D1027" s="98" t="s">
        <v>709</v>
      </c>
      <c r="E1027" s="103">
        <v>-1817180</v>
      </c>
      <c r="F1027" s="98" t="s">
        <v>239</v>
      </c>
      <c r="I1027" s="98" t="s">
        <v>246</v>
      </c>
      <c r="K1027" s="100"/>
      <c r="L1027" s="108"/>
      <c r="M1027" s="100"/>
      <c r="N1027" s="100"/>
    </row>
    <row r="1028" spans="2:14" s="98" customFormat="1">
      <c r="B1028" s="99" t="s">
        <v>735</v>
      </c>
      <c r="C1028" s="109">
        <v>46237</v>
      </c>
      <c r="D1028" s="98" t="s">
        <v>696</v>
      </c>
      <c r="E1028" s="103">
        <v>-63</v>
      </c>
      <c r="F1028" s="98" t="s">
        <v>239</v>
      </c>
      <c r="I1028" s="98" t="s">
        <v>737</v>
      </c>
      <c r="K1028" s="100"/>
      <c r="L1028" s="108"/>
      <c r="M1028" s="100"/>
      <c r="N1028" s="100"/>
    </row>
    <row r="1029" spans="2:14" s="98" customFormat="1">
      <c r="B1029" s="99" t="s">
        <v>735</v>
      </c>
      <c r="C1029" s="109">
        <v>46237</v>
      </c>
      <c r="D1029" s="98" t="s">
        <v>695</v>
      </c>
      <c r="E1029" s="103">
        <v>-17</v>
      </c>
      <c r="F1029" s="98" t="s">
        <v>239</v>
      </c>
      <c r="I1029" s="98" t="s">
        <v>737</v>
      </c>
      <c r="K1029" s="100"/>
      <c r="L1029" s="108"/>
      <c r="M1029" s="100"/>
      <c r="N1029" s="100"/>
    </row>
    <row r="1030" spans="2:14" s="98" customFormat="1">
      <c r="B1030" s="99" t="s">
        <v>735</v>
      </c>
      <c r="C1030" s="109">
        <v>46237</v>
      </c>
      <c r="D1030" s="98" t="s">
        <v>702</v>
      </c>
      <c r="E1030" s="103">
        <v>3200</v>
      </c>
      <c r="F1030" s="98" t="s">
        <v>240</v>
      </c>
      <c r="G1030" s="98" t="s">
        <v>374</v>
      </c>
      <c r="H1030" s="98" t="s">
        <v>516</v>
      </c>
      <c r="I1030" s="98" t="s">
        <v>247</v>
      </c>
      <c r="K1030" s="100"/>
      <c r="L1030" s="108"/>
      <c r="M1030" s="100"/>
      <c r="N1030" s="100"/>
    </row>
    <row r="1031" spans="2:14" s="98" customFormat="1">
      <c r="B1031" s="99" t="s">
        <v>735</v>
      </c>
      <c r="C1031" s="109">
        <v>46237</v>
      </c>
      <c r="D1031" s="98" t="s">
        <v>710</v>
      </c>
      <c r="E1031" s="103">
        <v>3350</v>
      </c>
      <c r="F1031" s="98" t="s">
        <v>240</v>
      </c>
      <c r="G1031" s="98" t="s">
        <v>374</v>
      </c>
      <c r="H1031" s="98" t="s">
        <v>516</v>
      </c>
      <c r="I1031" s="98" t="s">
        <v>247</v>
      </c>
      <c r="K1031" s="100"/>
      <c r="L1031" s="108"/>
      <c r="M1031" s="100"/>
      <c r="N1031" s="100"/>
    </row>
    <row r="1032" spans="2:14" s="98" customFormat="1">
      <c r="B1032" s="99" t="s">
        <v>735</v>
      </c>
      <c r="C1032" s="109">
        <v>46237</v>
      </c>
      <c r="D1032" s="98" t="s">
        <v>697</v>
      </c>
      <c r="E1032" s="103">
        <v>4459</v>
      </c>
      <c r="F1032" s="98" t="s">
        <v>240</v>
      </c>
      <c r="G1032" s="98" t="s">
        <v>374</v>
      </c>
      <c r="H1032" s="98" t="s">
        <v>513</v>
      </c>
      <c r="I1032" s="98" t="s">
        <v>242</v>
      </c>
      <c r="K1032" s="100"/>
      <c r="L1032" s="108"/>
      <c r="M1032" s="100"/>
      <c r="N1032" s="100"/>
    </row>
    <row r="1033" spans="2:14" s="98" customFormat="1">
      <c r="B1033" s="99" t="s">
        <v>735</v>
      </c>
      <c r="C1033" s="109">
        <v>46237</v>
      </c>
      <c r="D1033" s="98" t="s">
        <v>713</v>
      </c>
      <c r="E1033" s="103">
        <v>4590</v>
      </c>
      <c r="F1033" s="98" t="s">
        <v>240</v>
      </c>
      <c r="G1033" s="98" t="s">
        <v>374</v>
      </c>
      <c r="H1033" s="98" t="s">
        <v>516</v>
      </c>
      <c r="I1033" s="98" t="s">
        <v>247</v>
      </c>
      <c r="K1033" s="100"/>
      <c r="L1033" s="108"/>
      <c r="M1033" s="100"/>
      <c r="N1033" s="100"/>
    </row>
    <row r="1034" spans="2:14" s="98" customFormat="1">
      <c r="B1034" s="99" t="s">
        <v>735</v>
      </c>
      <c r="C1034" s="109">
        <v>46237</v>
      </c>
      <c r="D1034" s="98" t="s">
        <v>712</v>
      </c>
      <c r="E1034" s="103">
        <v>13648</v>
      </c>
      <c r="F1034" s="98" t="s">
        <v>240</v>
      </c>
      <c r="G1034" s="98" t="s">
        <v>374</v>
      </c>
      <c r="H1034" s="98" t="s">
        <v>516</v>
      </c>
      <c r="I1034" s="98" t="s">
        <v>245</v>
      </c>
      <c r="K1034" s="100"/>
      <c r="L1034" s="108"/>
      <c r="M1034" s="100"/>
      <c r="N1034" s="100"/>
    </row>
    <row r="1035" spans="2:14" s="98" customFormat="1">
      <c r="B1035" s="99" t="s">
        <v>735</v>
      </c>
      <c r="C1035" s="109">
        <v>46237</v>
      </c>
      <c r="D1035" s="98" t="s">
        <v>711</v>
      </c>
      <c r="E1035" s="103">
        <v>18582</v>
      </c>
      <c r="F1035" s="98" t="s">
        <v>240</v>
      </c>
      <c r="G1035" s="98" t="s">
        <v>374</v>
      </c>
      <c r="H1035" s="98" t="s">
        <v>516</v>
      </c>
      <c r="I1035" s="98" t="s">
        <v>270</v>
      </c>
      <c r="K1035" s="100"/>
      <c r="L1035" s="108"/>
      <c r="M1035" s="100"/>
      <c r="N1035" s="100"/>
    </row>
    <row r="1036" spans="2:14" s="98" customFormat="1">
      <c r="B1036" s="99" t="s">
        <v>735</v>
      </c>
      <c r="C1036" s="109">
        <v>46237</v>
      </c>
      <c r="D1036" s="98" t="s">
        <v>707</v>
      </c>
      <c r="E1036" s="103">
        <v>35981</v>
      </c>
      <c r="F1036" s="98" t="s">
        <v>240</v>
      </c>
      <c r="G1036" s="98" t="s">
        <v>374</v>
      </c>
      <c r="H1036" s="98" t="s">
        <v>513</v>
      </c>
      <c r="I1036" s="98" t="s">
        <v>271</v>
      </c>
      <c r="K1036" s="100"/>
      <c r="L1036" s="108"/>
      <c r="M1036" s="100"/>
      <c r="N1036" s="100"/>
    </row>
    <row r="1037" spans="2:14" s="98" customFormat="1">
      <c r="B1037" s="99" t="s">
        <v>735</v>
      </c>
      <c r="C1037" s="109">
        <v>46237</v>
      </c>
      <c r="D1037" s="98" t="s">
        <v>706</v>
      </c>
      <c r="E1037" s="103">
        <v>66717</v>
      </c>
      <c r="F1037" s="98" t="s">
        <v>240</v>
      </c>
      <c r="G1037" s="98" t="s">
        <v>374</v>
      </c>
      <c r="H1037" s="98" t="s">
        <v>513</v>
      </c>
      <c r="I1037" s="98" t="s">
        <v>271</v>
      </c>
      <c r="K1037" s="100"/>
      <c r="L1037" s="108"/>
      <c r="M1037" s="100"/>
      <c r="N1037" s="100"/>
    </row>
    <row r="1038" spans="2:14" s="98" customFormat="1">
      <c r="B1038" s="99" t="s">
        <v>735</v>
      </c>
      <c r="C1038" s="109">
        <v>46237</v>
      </c>
      <c r="D1038" s="98" t="s">
        <v>708</v>
      </c>
      <c r="E1038" s="103">
        <v>311000</v>
      </c>
      <c r="F1038" s="98" t="s">
        <v>240</v>
      </c>
      <c r="G1038" s="98" t="s">
        <v>374</v>
      </c>
      <c r="H1038" s="98" t="s">
        <v>513</v>
      </c>
      <c r="I1038" s="98" t="s">
        <v>284</v>
      </c>
      <c r="K1038" s="100"/>
      <c r="L1038" s="108"/>
      <c r="M1038" s="100"/>
      <c r="N1038" s="100"/>
    </row>
    <row r="1039" spans="2:14" s="98" customFormat="1">
      <c r="B1039" s="99" t="s">
        <v>735</v>
      </c>
      <c r="C1039" s="109">
        <v>46236</v>
      </c>
      <c r="D1039" s="98" t="s">
        <v>719</v>
      </c>
      <c r="E1039" s="103">
        <v>1000</v>
      </c>
      <c r="F1039" s="98" t="s">
        <v>240</v>
      </c>
      <c r="G1039" s="98" t="s">
        <v>374</v>
      </c>
      <c r="H1039" s="98" t="s">
        <v>516</v>
      </c>
      <c r="I1039" s="98" t="s">
        <v>247</v>
      </c>
      <c r="K1039" s="100"/>
      <c r="L1039" s="108"/>
      <c r="M1039" s="100"/>
      <c r="N1039" s="100"/>
    </row>
    <row r="1040" spans="2:14" s="98" customFormat="1">
      <c r="B1040" s="99" t="s">
        <v>735</v>
      </c>
      <c r="C1040" s="109">
        <v>46236</v>
      </c>
      <c r="D1040" s="98" t="s">
        <v>714</v>
      </c>
      <c r="E1040" s="103">
        <v>4100</v>
      </c>
      <c r="F1040" s="98" t="s">
        <v>240</v>
      </c>
      <c r="G1040" s="98" t="s">
        <v>374</v>
      </c>
      <c r="H1040" s="98" t="s">
        <v>516</v>
      </c>
      <c r="I1040" s="98" t="s">
        <v>247</v>
      </c>
      <c r="K1040" s="100"/>
      <c r="L1040" s="108"/>
      <c r="M1040" s="100"/>
      <c r="N1040" s="100"/>
    </row>
    <row r="1041" spans="2:14" s="98" customFormat="1">
      <c r="B1041" s="99" t="s">
        <v>735</v>
      </c>
      <c r="C1041" s="109">
        <v>46236</v>
      </c>
      <c r="D1041" s="98" t="s">
        <v>715</v>
      </c>
      <c r="E1041" s="103">
        <v>6737</v>
      </c>
      <c r="F1041" s="98" t="s">
        <v>240</v>
      </c>
      <c r="G1041" s="98" t="s">
        <v>374</v>
      </c>
      <c r="H1041" s="98" t="s">
        <v>516</v>
      </c>
      <c r="I1041" s="98" t="s">
        <v>244</v>
      </c>
      <c r="K1041" s="100"/>
      <c r="L1041" s="108"/>
      <c r="M1041" s="100"/>
      <c r="N1041" s="100"/>
    </row>
    <row r="1042" spans="2:14" s="98" customFormat="1">
      <c r="B1042" s="99" t="s">
        <v>735</v>
      </c>
      <c r="C1042" s="109">
        <v>46236</v>
      </c>
      <c r="D1042" s="98" t="s">
        <v>700</v>
      </c>
      <c r="E1042" s="103">
        <v>7170</v>
      </c>
      <c r="F1042" s="98" t="s">
        <v>240</v>
      </c>
      <c r="G1042" s="98" t="s">
        <v>374</v>
      </c>
      <c r="H1042" s="98" t="s">
        <v>516</v>
      </c>
      <c r="I1042" s="98" t="s">
        <v>247</v>
      </c>
      <c r="K1042" s="100"/>
      <c r="L1042" s="108"/>
      <c r="M1042" s="100"/>
      <c r="N1042" s="100"/>
    </row>
    <row r="1043" spans="2:14" s="98" customFormat="1">
      <c r="B1043" s="99" t="s">
        <v>735</v>
      </c>
      <c r="C1043" s="109">
        <v>46236</v>
      </c>
      <c r="D1043" s="98" t="s">
        <v>699</v>
      </c>
      <c r="E1043" s="103">
        <v>7344</v>
      </c>
      <c r="F1043" s="98" t="s">
        <v>240</v>
      </c>
      <c r="G1043" s="98" t="s">
        <v>374</v>
      </c>
      <c r="H1043" s="98" t="s">
        <v>516</v>
      </c>
      <c r="I1043" s="98" t="s">
        <v>245</v>
      </c>
      <c r="K1043" s="100"/>
      <c r="L1043" s="108"/>
      <c r="M1043" s="100"/>
      <c r="N1043" s="100"/>
    </row>
    <row r="1044" spans="2:14" s="98" customFormat="1">
      <c r="B1044" s="99" t="s">
        <v>735</v>
      </c>
      <c r="C1044" s="109">
        <v>46236</v>
      </c>
      <c r="D1044" s="98" t="s">
        <v>716</v>
      </c>
      <c r="E1044" s="103">
        <v>11480</v>
      </c>
      <c r="F1044" s="98" t="s">
        <v>240</v>
      </c>
      <c r="G1044" s="98" t="s">
        <v>374</v>
      </c>
      <c r="H1044" s="98" t="s">
        <v>516</v>
      </c>
      <c r="I1044" s="98" t="s">
        <v>245</v>
      </c>
      <c r="K1044" s="100"/>
      <c r="L1044" s="108"/>
      <c r="M1044" s="100"/>
      <c r="N1044" s="100"/>
    </row>
    <row r="1045" spans="2:14" s="98" customFormat="1">
      <c r="B1045" s="99" t="s">
        <v>735</v>
      </c>
      <c r="C1045" s="109">
        <v>46236</v>
      </c>
      <c r="D1045" s="98" t="s">
        <v>718</v>
      </c>
      <c r="E1045" s="103">
        <v>22000</v>
      </c>
      <c r="F1045" s="98" t="s">
        <v>240</v>
      </c>
      <c r="G1045" s="98" t="s">
        <v>374</v>
      </c>
      <c r="H1045" s="98" t="s">
        <v>516</v>
      </c>
      <c r="I1045" s="98" t="s">
        <v>244</v>
      </c>
      <c r="K1045" s="100"/>
      <c r="L1045" s="108"/>
      <c r="M1045" s="100"/>
      <c r="N1045" s="100"/>
    </row>
    <row r="1046" spans="2:14" s="98" customFormat="1">
      <c r="B1046" s="99" t="s">
        <v>735</v>
      </c>
      <c r="C1046" s="109">
        <v>46236</v>
      </c>
      <c r="D1046" s="98" t="s">
        <v>699</v>
      </c>
      <c r="E1046" s="103">
        <v>71481</v>
      </c>
      <c r="F1046" s="98" t="s">
        <v>240</v>
      </c>
      <c r="G1046" s="98" t="s">
        <v>374</v>
      </c>
      <c r="H1046" s="98" t="s">
        <v>516</v>
      </c>
      <c r="I1046" s="98" t="s">
        <v>245</v>
      </c>
      <c r="K1046" s="100"/>
      <c r="L1046" s="108"/>
      <c r="M1046" s="100"/>
      <c r="N1046" s="100"/>
    </row>
    <row r="1047" spans="2:14" s="98" customFormat="1">
      <c r="B1047" s="99" t="s">
        <v>735</v>
      </c>
      <c r="C1047" s="109">
        <v>46236</v>
      </c>
      <c r="D1047" s="98" t="s">
        <v>717</v>
      </c>
      <c r="E1047" s="103">
        <v>140000</v>
      </c>
      <c r="F1047" s="98" t="s">
        <v>240</v>
      </c>
      <c r="G1047" s="98" t="s">
        <v>374</v>
      </c>
      <c r="H1047" s="98" t="s">
        <v>516</v>
      </c>
      <c r="I1047" s="98" t="s">
        <v>273</v>
      </c>
      <c r="K1047" s="100"/>
      <c r="L1047" s="108"/>
      <c r="M1047" s="100"/>
      <c r="N1047" s="100"/>
    </row>
    <row r="1048" spans="2:14" s="98" customFormat="1">
      <c r="B1048" s="99" t="s">
        <v>735</v>
      </c>
      <c r="C1048" s="109">
        <v>46235</v>
      </c>
      <c r="D1048" s="98" t="s">
        <v>724</v>
      </c>
      <c r="E1048" s="103">
        <v>1490</v>
      </c>
      <c r="F1048" s="98" t="s">
        <v>240</v>
      </c>
      <c r="G1048" s="98" t="s">
        <v>374</v>
      </c>
      <c r="H1048" s="98" t="s">
        <v>516</v>
      </c>
      <c r="I1048" s="98" t="s">
        <v>247</v>
      </c>
      <c r="K1048" s="100"/>
      <c r="L1048" s="108"/>
      <c r="M1048" s="100"/>
      <c r="N1048" s="100"/>
    </row>
    <row r="1049" spans="2:14" s="98" customFormat="1">
      <c r="B1049" s="99" t="s">
        <v>735</v>
      </c>
      <c r="C1049" s="109">
        <v>46235</v>
      </c>
      <c r="D1049" s="98" t="s">
        <v>720</v>
      </c>
      <c r="E1049" s="103">
        <v>1849</v>
      </c>
      <c r="F1049" s="98" t="s">
        <v>240</v>
      </c>
      <c r="G1049" s="98" t="s">
        <v>374</v>
      </c>
      <c r="H1049" s="98" t="s">
        <v>513</v>
      </c>
      <c r="I1049" s="98" t="s">
        <v>544</v>
      </c>
      <c r="K1049" s="100"/>
      <c r="L1049" s="108"/>
      <c r="M1049" s="100"/>
      <c r="N1049" s="100"/>
    </row>
    <row r="1050" spans="2:14" s="98" customFormat="1">
      <c r="B1050" s="99" t="s">
        <v>735</v>
      </c>
      <c r="C1050" s="109">
        <v>46235</v>
      </c>
      <c r="D1050" s="98" t="s">
        <v>723</v>
      </c>
      <c r="E1050" s="103">
        <v>2300</v>
      </c>
      <c r="F1050" s="98" t="s">
        <v>240</v>
      </c>
      <c r="G1050" s="98" t="s">
        <v>374</v>
      </c>
      <c r="H1050" s="98" t="s">
        <v>516</v>
      </c>
      <c r="I1050" s="98" t="s">
        <v>241</v>
      </c>
      <c r="K1050" s="100"/>
      <c r="L1050" s="108"/>
      <c r="M1050" s="100"/>
      <c r="N1050" s="100"/>
    </row>
    <row r="1051" spans="2:14" s="98" customFormat="1">
      <c r="B1051" s="99" t="s">
        <v>735</v>
      </c>
      <c r="C1051" s="109">
        <v>46235</v>
      </c>
      <c r="D1051" s="98" t="s">
        <v>725</v>
      </c>
      <c r="E1051" s="103">
        <v>3990</v>
      </c>
      <c r="F1051" s="98" t="s">
        <v>240</v>
      </c>
      <c r="G1051" s="98" t="s">
        <v>374</v>
      </c>
      <c r="H1051" s="98" t="s">
        <v>516</v>
      </c>
      <c r="I1051" s="98" t="s">
        <v>243</v>
      </c>
      <c r="K1051" s="100"/>
      <c r="L1051" s="108"/>
      <c r="M1051" s="100"/>
      <c r="N1051" s="100"/>
    </row>
    <row r="1052" spans="2:14" s="98" customFormat="1">
      <c r="B1052" s="99" t="s">
        <v>735</v>
      </c>
      <c r="C1052" s="109">
        <v>46235</v>
      </c>
      <c r="D1052" s="98" t="s">
        <v>726</v>
      </c>
      <c r="E1052" s="103">
        <v>4690</v>
      </c>
      <c r="F1052" s="98" t="s">
        <v>240</v>
      </c>
      <c r="G1052" s="98" t="s">
        <v>374</v>
      </c>
      <c r="H1052" s="98" t="s">
        <v>516</v>
      </c>
      <c r="I1052" s="98" t="s">
        <v>268</v>
      </c>
      <c r="K1052" s="100"/>
      <c r="L1052" s="108"/>
      <c r="M1052" s="100"/>
      <c r="N1052" s="100"/>
    </row>
    <row r="1053" spans="2:14" s="98" customFormat="1">
      <c r="B1053" s="99" t="s">
        <v>735</v>
      </c>
      <c r="C1053" s="109">
        <v>46235</v>
      </c>
      <c r="D1053" s="98" t="s">
        <v>725</v>
      </c>
      <c r="E1053" s="103">
        <v>7990</v>
      </c>
      <c r="F1053" s="98" t="s">
        <v>240</v>
      </c>
      <c r="G1053" s="98" t="s">
        <v>374</v>
      </c>
      <c r="H1053" s="98" t="s">
        <v>516</v>
      </c>
      <c r="I1053" s="98" t="s">
        <v>243</v>
      </c>
      <c r="K1053" s="100"/>
      <c r="L1053" s="108"/>
      <c r="M1053" s="100"/>
      <c r="N1053" s="100"/>
    </row>
    <row r="1054" spans="2:14" s="98" customFormat="1">
      <c r="B1054" s="99" t="s">
        <v>735</v>
      </c>
      <c r="C1054" s="109">
        <v>46235</v>
      </c>
      <c r="D1054" s="98" t="s">
        <v>719</v>
      </c>
      <c r="E1054" s="103">
        <v>10290</v>
      </c>
      <c r="F1054" s="98" t="s">
        <v>240</v>
      </c>
      <c r="G1054" s="98" t="s">
        <v>374</v>
      </c>
      <c r="H1054" s="98" t="s">
        <v>516</v>
      </c>
      <c r="I1054" s="98" t="s">
        <v>247</v>
      </c>
      <c r="K1054" s="100"/>
      <c r="L1054" s="108"/>
      <c r="M1054" s="100"/>
      <c r="N1054" s="100"/>
    </row>
    <row r="1055" spans="2:14" s="98" customFormat="1">
      <c r="B1055" s="99" t="s">
        <v>735</v>
      </c>
      <c r="C1055" s="109">
        <v>46235</v>
      </c>
      <c r="D1055" s="98" t="s">
        <v>727</v>
      </c>
      <c r="E1055" s="103">
        <v>11000</v>
      </c>
      <c r="F1055" s="98" t="s">
        <v>240</v>
      </c>
      <c r="G1055" s="98" t="s">
        <v>374</v>
      </c>
      <c r="H1055" s="98" t="s">
        <v>516</v>
      </c>
      <c r="I1055" s="98" t="s">
        <v>244</v>
      </c>
      <c r="K1055" s="100"/>
      <c r="L1055" s="108"/>
      <c r="M1055" s="100"/>
      <c r="N1055" s="100"/>
    </row>
    <row r="1056" spans="2:14" s="98" customFormat="1">
      <c r="B1056" s="99" t="s">
        <v>735</v>
      </c>
      <c r="C1056" s="109">
        <v>46235</v>
      </c>
      <c r="D1056" s="98" t="s">
        <v>704</v>
      </c>
      <c r="E1056" s="103">
        <v>13350</v>
      </c>
      <c r="F1056" s="98" t="s">
        <v>240</v>
      </c>
      <c r="G1056" s="98" t="s">
        <v>374</v>
      </c>
      <c r="H1056" s="98" t="s">
        <v>516</v>
      </c>
      <c r="I1056" s="98" t="s">
        <v>248</v>
      </c>
      <c r="K1056" s="100"/>
      <c r="L1056" s="108"/>
      <c r="M1056" s="100"/>
      <c r="N1056" s="100"/>
    </row>
    <row r="1057" spans="2:14" s="98" customFormat="1">
      <c r="B1057" s="99" t="s">
        <v>735</v>
      </c>
      <c r="C1057" s="109">
        <v>46235</v>
      </c>
      <c r="D1057" s="98" t="s">
        <v>711</v>
      </c>
      <c r="E1057" s="103">
        <v>14843</v>
      </c>
      <c r="F1057" s="98" t="s">
        <v>240</v>
      </c>
      <c r="G1057" s="98" t="s">
        <v>374</v>
      </c>
      <c r="H1057" s="98" t="s">
        <v>516</v>
      </c>
      <c r="I1057" s="98" t="s">
        <v>270</v>
      </c>
      <c r="K1057" s="100"/>
      <c r="L1057" s="108"/>
      <c r="M1057" s="100"/>
      <c r="N1057" s="100"/>
    </row>
    <row r="1058" spans="2:14" s="98" customFormat="1">
      <c r="B1058" s="99" t="s">
        <v>735</v>
      </c>
      <c r="C1058" s="109">
        <v>46235</v>
      </c>
      <c r="D1058" s="98" t="s">
        <v>722</v>
      </c>
      <c r="E1058" s="103">
        <v>16500</v>
      </c>
      <c r="F1058" s="98" t="s">
        <v>240</v>
      </c>
      <c r="G1058" s="98" t="s">
        <v>374</v>
      </c>
      <c r="H1058" s="98" t="s">
        <v>516</v>
      </c>
      <c r="I1058" s="98" t="s">
        <v>243</v>
      </c>
      <c r="K1058" s="100"/>
      <c r="L1058" s="108"/>
      <c r="M1058" s="100"/>
      <c r="N1058" s="100"/>
    </row>
    <row r="1059" spans="2:14" s="98" customFormat="1">
      <c r="B1059" s="99" t="s">
        <v>735</v>
      </c>
      <c r="C1059" s="109">
        <v>46235</v>
      </c>
      <c r="D1059" s="98" t="s">
        <v>721</v>
      </c>
      <c r="E1059" s="103">
        <v>34214</v>
      </c>
      <c r="F1059" s="98" t="s">
        <v>240</v>
      </c>
      <c r="G1059" s="98" t="s">
        <v>374</v>
      </c>
      <c r="H1059" s="98" t="s">
        <v>516</v>
      </c>
      <c r="I1059" s="98" t="s">
        <v>245</v>
      </c>
      <c r="K1059" s="100"/>
      <c r="L1059" s="108"/>
      <c r="M1059" s="100"/>
      <c r="N1059" s="100"/>
    </row>
    <row r="1060" spans="2:14" s="98" customFormat="1">
      <c r="B1060" s="99" t="s">
        <v>735</v>
      </c>
      <c r="C1060" s="109">
        <v>46235</v>
      </c>
      <c r="D1060" s="98" t="s">
        <v>709</v>
      </c>
      <c r="E1060" s="103">
        <v>60000</v>
      </c>
      <c r="F1060" s="98" t="s">
        <v>240</v>
      </c>
      <c r="G1060" s="98" t="s">
        <v>374</v>
      </c>
      <c r="H1060" s="98" t="s">
        <v>516</v>
      </c>
      <c r="I1060" s="98" t="s">
        <v>263</v>
      </c>
      <c r="K1060" s="100"/>
      <c r="L1060" s="108"/>
      <c r="M1060" s="100"/>
      <c r="N1060" s="100"/>
    </row>
    <row r="1061" spans="2:14" s="98" customFormat="1">
      <c r="B1061" s="99" t="s">
        <v>735</v>
      </c>
      <c r="C1061" s="109">
        <v>46235</v>
      </c>
      <c r="D1061" s="98" t="s">
        <v>725</v>
      </c>
      <c r="E1061" s="103">
        <v>63930</v>
      </c>
      <c r="F1061" s="98" t="s">
        <v>240</v>
      </c>
      <c r="G1061" s="98" t="s">
        <v>374</v>
      </c>
      <c r="H1061" s="98" t="s">
        <v>516</v>
      </c>
      <c r="I1061" s="98" t="s">
        <v>243</v>
      </c>
      <c r="K1061" s="100"/>
      <c r="L1061" s="108"/>
      <c r="M1061" s="100"/>
      <c r="N1061" s="100"/>
    </row>
    <row r="1062" spans="2:14" s="98" customFormat="1">
      <c r="B1062" s="99" t="s">
        <v>735</v>
      </c>
      <c r="C1062" s="109">
        <v>46235</v>
      </c>
      <c r="D1062" s="98" t="s">
        <v>728</v>
      </c>
      <c r="E1062" s="103">
        <v>119700</v>
      </c>
      <c r="F1062" s="98" t="s">
        <v>240</v>
      </c>
      <c r="G1062" s="98" t="s">
        <v>374</v>
      </c>
      <c r="H1062" s="98" t="s">
        <v>516</v>
      </c>
      <c r="I1062" s="98" t="s">
        <v>272</v>
      </c>
      <c r="K1062" s="100"/>
      <c r="L1062" s="108"/>
      <c r="M1062" s="100"/>
      <c r="N1062" s="100"/>
    </row>
    <row r="1063" spans="2:14" s="98" customFormat="1">
      <c r="B1063" s="99" t="s">
        <v>735</v>
      </c>
      <c r="C1063" s="109">
        <v>46234</v>
      </c>
      <c r="D1063" s="98" t="s">
        <v>734</v>
      </c>
      <c r="E1063" s="103">
        <v>-1000000</v>
      </c>
      <c r="F1063" s="98" t="s">
        <v>239</v>
      </c>
      <c r="I1063" s="98" t="s">
        <v>246</v>
      </c>
      <c r="K1063" s="100"/>
      <c r="L1063" s="108"/>
      <c r="M1063" s="100"/>
      <c r="N1063" s="100"/>
    </row>
    <row r="1064" spans="2:14" s="98" customFormat="1">
      <c r="B1064" s="99" t="s">
        <v>735</v>
      </c>
      <c r="C1064" s="109">
        <v>46234</v>
      </c>
      <c r="D1064" s="98" t="s">
        <v>709</v>
      </c>
      <c r="E1064" s="103">
        <v>-300000</v>
      </c>
      <c r="F1064" s="98" t="s">
        <v>239</v>
      </c>
      <c r="I1064" s="98" t="s">
        <v>246</v>
      </c>
      <c r="K1064" s="100"/>
      <c r="L1064" s="108"/>
      <c r="M1064" s="100"/>
      <c r="N1064" s="100"/>
    </row>
    <row r="1065" spans="2:14" s="98" customFormat="1">
      <c r="B1065" s="99" t="s">
        <v>735</v>
      </c>
      <c r="C1065" s="109">
        <v>46234</v>
      </c>
      <c r="D1065" s="98" t="s">
        <v>696</v>
      </c>
      <c r="E1065" s="103">
        <v>-1</v>
      </c>
      <c r="F1065" s="98" t="s">
        <v>239</v>
      </c>
      <c r="I1065" s="98" t="s">
        <v>737</v>
      </c>
      <c r="K1065" s="100"/>
      <c r="L1065" s="108"/>
      <c r="M1065" s="100"/>
      <c r="N1065" s="100"/>
    </row>
    <row r="1066" spans="2:14" s="98" customFormat="1">
      <c r="B1066" s="99" t="s">
        <v>735</v>
      </c>
      <c r="C1066" s="109">
        <v>46234</v>
      </c>
      <c r="D1066" s="98" t="s">
        <v>730</v>
      </c>
      <c r="E1066" s="103">
        <v>890</v>
      </c>
      <c r="F1066" s="98" t="s">
        <v>240</v>
      </c>
      <c r="G1066" s="98" t="s">
        <v>374</v>
      </c>
      <c r="H1066" s="98" t="s">
        <v>516</v>
      </c>
      <c r="I1066" s="98" t="s">
        <v>247</v>
      </c>
      <c r="K1066" s="100"/>
      <c r="L1066" s="108"/>
      <c r="M1066" s="100"/>
      <c r="N1066" s="100"/>
    </row>
    <row r="1067" spans="2:14" s="98" customFormat="1">
      <c r="B1067" s="99" t="s">
        <v>735</v>
      </c>
      <c r="C1067" s="109">
        <v>46234</v>
      </c>
      <c r="D1067" s="98" t="s">
        <v>713</v>
      </c>
      <c r="E1067" s="103">
        <v>1550</v>
      </c>
      <c r="F1067" s="98" t="s">
        <v>240</v>
      </c>
      <c r="G1067" s="98" t="s">
        <v>374</v>
      </c>
      <c r="H1067" s="98" t="s">
        <v>516</v>
      </c>
      <c r="I1067" s="98" t="s">
        <v>247</v>
      </c>
      <c r="K1067" s="100"/>
      <c r="L1067" s="108"/>
      <c r="M1067" s="100"/>
      <c r="N1067" s="100"/>
    </row>
    <row r="1068" spans="2:14" s="98" customFormat="1">
      <c r="B1068" s="99" t="s">
        <v>735</v>
      </c>
      <c r="C1068" s="109">
        <v>46234</v>
      </c>
      <c r="D1068" s="98" t="s">
        <v>732</v>
      </c>
      <c r="E1068" s="103">
        <v>5500</v>
      </c>
      <c r="F1068" s="98" t="s">
        <v>240</v>
      </c>
      <c r="G1068" s="98" t="s">
        <v>374</v>
      </c>
      <c r="H1068" s="98" t="s">
        <v>516</v>
      </c>
      <c r="I1068" s="98" t="s">
        <v>268</v>
      </c>
      <c r="K1068" s="100"/>
      <c r="L1068" s="108"/>
      <c r="M1068" s="100"/>
      <c r="N1068" s="100"/>
    </row>
    <row r="1069" spans="2:14" s="98" customFormat="1">
      <c r="B1069" s="99" t="s">
        <v>735</v>
      </c>
      <c r="C1069" s="109">
        <v>46234</v>
      </c>
      <c r="D1069" s="98" t="s">
        <v>731</v>
      </c>
      <c r="E1069" s="103">
        <v>10231</v>
      </c>
      <c r="F1069" s="98" t="s">
        <v>240</v>
      </c>
      <c r="G1069" s="98" t="s">
        <v>374</v>
      </c>
      <c r="H1069" s="98" t="s">
        <v>516</v>
      </c>
      <c r="I1069" s="98" t="s">
        <v>244</v>
      </c>
      <c r="K1069" s="100"/>
      <c r="L1069" s="108"/>
      <c r="M1069" s="100"/>
      <c r="N1069" s="100"/>
    </row>
    <row r="1070" spans="2:14" s="98" customFormat="1">
      <c r="B1070" s="99" t="s">
        <v>735</v>
      </c>
      <c r="C1070" s="109">
        <v>46234</v>
      </c>
      <c r="D1070" s="98" t="s">
        <v>733</v>
      </c>
      <c r="E1070" s="103">
        <v>13200</v>
      </c>
      <c r="F1070" s="98" t="s">
        <v>240</v>
      </c>
      <c r="G1070" s="98" t="s">
        <v>374</v>
      </c>
      <c r="H1070" s="98" t="s">
        <v>516</v>
      </c>
      <c r="I1070" s="98" t="s">
        <v>247</v>
      </c>
      <c r="K1070" s="100"/>
      <c r="L1070" s="108"/>
      <c r="M1070" s="100"/>
      <c r="N1070" s="100"/>
    </row>
    <row r="1071" spans="2:14" s="98" customFormat="1">
      <c r="B1071" s="99" t="s">
        <v>735</v>
      </c>
      <c r="C1071" s="109">
        <v>46234</v>
      </c>
      <c r="D1071" s="98" t="s">
        <v>729</v>
      </c>
      <c r="E1071" s="103">
        <v>27870</v>
      </c>
      <c r="F1071" s="98" t="s">
        <v>240</v>
      </c>
      <c r="G1071" s="98" t="s">
        <v>374</v>
      </c>
      <c r="H1071" s="98" t="s">
        <v>516</v>
      </c>
      <c r="I1071" s="98" t="s">
        <v>248</v>
      </c>
      <c r="K1071" s="100"/>
      <c r="L1071" s="108"/>
      <c r="M1071" s="100"/>
      <c r="N1071" s="100"/>
    </row>
    <row r="1072" spans="2:14" s="98" customFormat="1">
      <c r="B1072" s="99" t="s">
        <v>665</v>
      </c>
      <c r="C1072" s="109">
        <v>45935.056250000001</v>
      </c>
      <c r="D1072" s="98" t="s">
        <v>22</v>
      </c>
      <c r="E1072" s="103">
        <v>733000</v>
      </c>
      <c r="F1072" s="98" t="s">
        <v>240</v>
      </c>
      <c r="G1072" s="98" t="s">
        <v>374</v>
      </c>
      <c r="H1072" s="98" t="s">
        <v>513</v>
      </c>
      <c r="I1072" s="98" t="s">
        <v>252</v>
      </c>
      <c r="K1072" s="100"/>
      <c r="L1072" s="108"/>
      <c r="M1072" s="100"/>
      <c r="N1072" s="100"/>
    </row>
    <row r="1073" spans="2:14" s="98" customFormat="1">
      <c r="B1073" s="99" t="s">
        <v>665</v>
      </c>
      <c r="C1073" s="109">
        <v>45935.036805555559</v>
      </c>
      <c r="D1073" s="98" t="s">
        <v>22</v>
      </c>
      <c r="E1073" s="103">
        <v>27100</v>
      </c>
      <c r="F1073" s="98" t="s">
        <v>240</v>
      </c>
      <c r="G1073" s="98" t="s">
        <v>374</v>
      </c>
      <c r="H1073" s="98" t="s">
        <v>513</v>
      </c>
      <c r="I1073" s="98" t="s">
        <v>271</v>
      </c>
      <c r="K1073" s="100"/>
      <c r="L1073" s="108"/>
      <c r="M1073" s="100"/>
      <c r="N1073" s="100"/>
    </row>
    <row r="1074" spans="2:14" s="98" customFormat="1">
      <c r="B1074" s="99" t="s">
        <v>665</v>
      </c>
      <c r="C1074" s="109">
        <v>45934.822916666664</v>
      </c>
      <c r="D1074" s="98" t="s">
        <v>668</v>
      </c>
      <c r="E1074" s="103">
        <v>9200</v>
      </c>
      <c r="F1074" s="98" t="s">
        <v>240</v>
      </c>
      <c r="G1074" s="98" t="s">
        <v>373</v>
      </c>
      <c r="H1074" s="98" t="s">
        <v>516</v>
      </c>
      <c r="I1074" s="98" t="s">
        <v>268</v>
      </c>
      <c r="K1074" s="100"/>
      <c r="L1074" s="108"/>
      <c r="M1074" s="100"/>
      <c r="N1074" s="100"/>
    </row>
    <row r="1075" spans="2:14" s="98" customFormat="1">
      <c r="B1075" s="99" t="s">
        <v>665</v>
      </c>
      <c r="C1075" s="109">
        <v>45934.628472222219</v>
      </c>
      <c r="D1075" s="98" t="s">
        <v>601</v>
      </c>
      <c r="E1075" s="103">
        <v>1100</v>
      </c>
      <c r="F1075" s="98" t="s">
        <v>240</v>
      </c>
      <c r="G1075" s="98" t="s">
        <v>373</v>
      </c>
      <c r="H1075" s="98" t="s">
        <v>516</v>
      </c>
      <c r="I1075" s="98" t="s">
        <v>268</v>
      </c>
      <c r="K1075" s="100"/>
      <c r="L1075" s="108"/>
      <c r="M1075" s="100"/>
      <c r="N1075" s="100"/>
    </row>
    <row r="1076" spans="2:14" s="98" customFormat="1">
      <c r="B1076" s="99" t="s">
        <v>665</v>
      </c>
      <c r="C1076" s="109">
        <v>45934.536805555559</v>
      </c>
      <c r="D1076" s="98" t="s">
        <v>669</v>
      </c>
      <c r="E1076" s="103">
        <v>1100</v>
      </c>
      <c r="F1076" s="98" t="s">
        <v>240</v>
      </c>
      <c r="G1076" s="98" t="s">
        <v>373</v>
      </c>
      <c r="H1076" s="98" t="s">
        <v>516</v>
      </c>
      <c r="I1076" s="98" t="s">
        <v>268</v>
      </c>
      <c r="K1076" s="100"/>
      <c r="L1076" s="108"/>
      <c r="M1076" s="100"/>
      <c r="N1076" s="100"/>
    </row>
    <row r="1077" spans="2:14" s="98" customFormat="1">
      <c r="B1077" s="99" t="s">
        <v>665</v>
      </c>
      <c r="C1077" s="109">
        <v>45934.482638888891</v>
      </c>
      <c r="D1077" s="98" t="s">
        <v>22</v>
      </c>
      <c r="E1077" s="103">
        <v>40000</v>
      </c>
      <c r="F1077" s="98" t="s">
        <v>240</v>
      </c>
      <c r="G1077" s="98" t="s">
        <v>374</v>
      </c>
      <c r="H1077" s="98" t="s">
        <v>516</v>
      </c>
      <c r="I1077" s="98" t="s">
        <v>263</v>
      </c>
      <c r="K1077" s="100"/>
      <c r="L1077" s="108"/>
      <c r="M1077" s="100"/>
      <c r="N1077" s="100"/>
    </row>
    <row r="1078" spans="2:14" s="98" customFormat="1">
      <c r="B1078" s="99" t="s">
        <v>665</v>
      </c>
      <c r="C1078" s="109">
        <v>45933.804861111108</v>
      </c>
      <c r="D1078" s="98" t="s">
        <v>670</v>
      </c>
      <c r="E1078" s="103">
        <v>50000</v>
      </c>
      <c r="F1078" s="98" t="s">
        <v>240</v>
      </c>
      <c r="G1078" s="98" t="s">
        <v>373</v>
      </c>
      <c r="H1078" s="98" t="s">
        <v>516</v>
      </c>
      <c r="I1078" s="98" t="s">
        <v>244</v>
      </c>
      <c r="K1078" s="100"/>
      <c r="L1078" s="108"/>
      <c r="M1078" s="100"/>
      <c r="N1078" s="100"/>
    </row>
    <row r="1079" spans="2:14" s="98" customFormat="1">
      <c r="B1079" s="99" t="s">
        <v>665</v>
      </c>
      <c r="C1079" s="109">
        <v>45933.78125</v>
      </c>
      <c r="D1079" s="98" t="s">
        <v>671</v>
      </c>
      <c r="E1079" s="103">
        <v>1190</v>
      </c>
      <c r="F1079" s="98" t="s">
        <v>240</v>
      </c>
      <c r="G1079" s="98" t="s">
        <v>373</v>
      </c>
      <c r="H1079" s="98" t="s">
        <v>516</v>
      </c>
      <c r="I1079" s="98" t="s">
        <v>242</v>
      </c>
      <c r="K1079" s="100"/>
      <c r="L1079" s="108"/>
      <c r="M1079" s="100"/>
      <c r="N1079" s="100"/>
    </row>
    <row r="1080" spans="2:14" s="98" customFormat="1">
      <c r="B1080" s="99" t="s">
        <v>665</v>
      </c>
      <c r="C1080" s="109">
        <v>45933.758333333331</v>
      </c>
      <c r="D1080" s="98" t="s">
        <v>672</v>
      </c>
      <c r="E1080" s="103">
        <v>1590</v>
      </c>
      <c r="F1080" s="98" t="s">
        <v>240</v>
      </c>
      <c r="G1080" s="98" t="s">
        <v>373</v>
      </c>
      <c r="H1080" s="98" t="s">
        <v>516</v>
      </c>
      <c r="I1080" s="98" t="s">
        <v>247</v>
      </c>
      <c r="K1080" s="100"/>
      <c r="L1080" s="108"/>
      <c r="M1080" s="100"/>
      <c r="N1080" s="100"/>
    </row>
    <row r="1081" spans="2:14" s="98" customFormat="1">
      <c r="B1081" s="99" t="s">
        <v>665</v>
      </c>
      <c r="C1081" s="109">
        <v>45933.749305555553</v>
      </c>
      <c r="D1081" s="98" t="s">
        <v>596</v>
      </c>
      <c r="E1081" s="103">
        <v>2550</v>
      </c>
      <c r="F1081" s="98" t="s">
        <v>240</v>
      </c>
      <c r="G1081" s="98" t="s">
        <v>373</v>
      </c>
      <c r="H1081" s="98" t="s">
        <v>516</v>
      </c>
      <c r="I1081" s="98" t="s">
        <v>248</v>
      </c>
      <c r="K1081" s="100"/>
      <c r="L1081" s="108"/>
      <c r="M1081" s="100"/>
      <c r="N1081" s="100"/>
    </row>
    <row r="1082" spans="2:14" s="98" customFormat="1">
      <c r="B1082" s="99" t="s">
        <v>665</v>
      </c>
      <c r="C1082" s="109">
        <v>45933.582638888889</v>
      </c>
      <c r="D1082" s="98" t="s">
        <v>297</v>
      </c>
      <c r="E1082" s="103">
        <v>4580</v>
      </c>
      <c r="F1082" s="98" t="s">
        <v>240</v>
      </c>
      <c r="G1082" s="98" t="s">
        <v>373</v>
      </c>
      <c r="H1082" s="98" t="s">
        <v>516</v>
      </c>
      <c r="I1082" s="98" t="s">
        <v>247</v>
      </c>
      <c r="K1082" s="100"/>
      <c r="L1082" s="108"/>
      <c r="M1082" s="100"/>
      <c r="N1082" s="100"/>
    </row>
    <row r="1083" spans="2:14" s="98" customFormat="1">
      <c r="B1083" s="99" t="s">
        <v>665</v>
      </c>
      <c r="C1083" s="109">
        <v>45933.506944444445</v>
      </c>
      <c r="D1083" s="98" t="s">
        <v>492</v>
      </c>
      <c r="E1083" s="103">
        <v>1700</v>
      </c>
      <c r="F1083" s="98" t="s">
        <v>240</v>
      </c>
      <c r="G1083" s="98" t="s">
        <v>373</v>
      </c>
      <c r="H1083" s="98" t="s">
        <v>516</v>
      </c>
      <c r="I1083" s="98" t="s">
        <v>242</v>
      </c>
      <c r="K1083" s="100"/>
      <c r="L1083" s="108"/>
      <c r="M1083" s="100"/>
      <c r="N1083" s="100"/>
    </row>
    <row r="1084" spans="2:14" s="98" customFormat="1">
      <c r="B1084" s="99" t="s">
        <v>665</v>
      </c>
      <c r="C1084" s="109">
        <v>45933.175694444442</v>
      </c>
      <c r="D1084" s="98" t="s">
        <v>671</v>
      </c>
      <c r="E1084" s="103">
        <v>1190</v>
      </c>
      <c r="F1084" s="98" t="s">
        <v>240</v>
      </c>
      <c r="G1084" s="98" t="s">
        <v>373</v>
      </c>
      <c r="H1084" s="98" t="s">
        <v>516</v>
      </c>
      <c r="I1084" s="98" t="s">
        <v>242</v>
      </c>
      <c r="K1084" s="100"/>
      <c r="L1084" s="108"/>
      <c r="M1084" s="100"/>
      <c r="N1084" s="100"/>
    </row>
    <row r="1085" spans="2:14" s="98" customFormat="1">
      <c r="B1085" s="99" t="s">
        <v>665</v>
      </c>
      <c r="C1085" s="109">
        <v>45932.665972222225</v>
      </c>
      <c r="D1085" s="98" t="s">
        <v>654</v>
      </c>
      <c r="E1085" s="103">
        <v>2000</v>
      </c>
      <c r="F1085" s="98" t="s">
        <v>240</v>
      </c>
      <c r="G1085" s="98" t="s">
        <v>374</v>
      </c>
      <c r="H1085" s="98" t="s">
        <v>516</v>
      </c>
      <c r="I1085" s="98" t="s">
        <v>247</v>
      </c>
      <c r="K1085" s="100"/>
      <c r="L1085" s="108"/>
      <c r="M1085" s="100"/>
      <c r="N1085" s="100"/>
    </row>
    <row r="1086" spans="2:14" s="98" customFormat="1">
      <c r="B1086" s="99" t="s">
        <v>665</v>
      </c>
      <c r="C1086" s="109">
        <v>45932</v>
      </c>
      <c r="D1086" s="98" t="s">
        <v>677</v>
      </c>
      <c r="E1086" s="103">
        <v>1450</v>
      </c>
      <c r="F1086" s="98" t="s">
        <v>240</v>
      </c>
      <c r="G1086" s="98" t="s">
        <v>373</v>
      </c>
      <c r="H1086" s="98" t="s">
        <v>516</v>
      </c>
      <c r="I1086" s="98" t="s">
        <v>241</v>
      </c>
      <c r="K1086" s="100"/>
      <c r="L1086" s="108"/>
      <c r="M1086" s="100"/>
      <c r="N1086" s="100"/>
    </row>
    <row r="1087" spans="2:14" s="98" customFormat="1">
      <c r="B1087" s="99" t="s">
        <v>665</v>
      </c>
      <c r="C1087" s="109">
        <v>45932</v>
      </c>
      <c r="D1087" s="98" t="s">
        <v>625</v>
      </c>
      <c r="E1087" s="103">
        <v>4800</v>
      </c>
      <c r="F1087" s="98" t="s">
        <v>240</v>
      </c>
      <c r="G1087" s="98" t="s">
        <v>373</v>
      </c>
      <c r="H1087" s="98" t="s">
        <v>516</v>
      </c>
      <c r="I1087" s="98" t="s">
        <v>247</v>
      </c>
      <c r="K1087" s="100"/>
      <c r="L1087" s="108"/>
      <c r="M1087" s="100"/>
      <c r="N1087" s="100"/>
    </row>
    <row r="1088" spans="2:14" s="98" customFormat="1">
      <c r="B1088" s="99" t="s">
        <v>665</v>
      </c>
      <c r="C1088" s="109">
        <v>45932</v>
      </c>
      <c r="D1088" s="98" t="s">
        <v>286</v>
      </c>
      <c r="E1088" s="103">
        <v>17040</v>
      </c>
      <c r="F1088" s="98" t="s">
        <v>240</v>
      </c>
      <c r="G1088" s="98" t="s">
        <v>373</v>
      </c>
      <c r="H1088" s="98" t="s">
        <v>516</v>
      </c>
      <c r="I1088" s="98" t="s">
        <v>248</v>
      </c>
      <c r="K1088" s="100"/>
      <c r="L1088" s="108"/>
      <c r="M1088" s="100"/>
      <c r="N1088" s="100"/>
    </row>
    <row r="1089" spans="2:14" s="98" customFormat="1">
      <c r="B1089" s="99" t="s">
        <v>665</v>
      </c>
      <c r="C1089" s="109">
        <v>45931.939583333333</v>
      </c>
      <c r="D1089" s="98" t="s">
        <v>655</v>
      </c>
      <c r="E1089" s="103">
        <v>2700</v>
      </c>
      <c r="F1089" s="98" t="s">
        <v>240</v>
      </c>
      <c r="G1089" s="98" t="s">
        <v>374</v>
      </c>
      <c r="H1089" s="98" t="s">
        <v>516</v>
      </c>
      <c r="I1089" s="98" t="s">
        <v>247</v>
      </c>
      <c r="K1089" s="100"/>
      <c r="L1089" s="108"/>
      <c r="M1089" s="100"/>
      <c r="N1089" s="100"/>
    </row>
    <row r="1090" spans="2:14" s="98" customFormat="1">
      <c r="B1090" s="99" t="s">
        <v>665</v>
      </c>
      <c r="C1090" s="109">
        <v>45931.930555555555</v>
      </c>
      <c r="D1090" s="98" t="s">
        <v>286</v>
      </c>
      <c r="E1090" s="103">
        <v>17040</v>
      </c>
      <c r="F1090" s="98" t="s">
        <v>240</v>
      </c>
      <c r="G1090" s="98" t="s">
        <v>373</v>
      </c>
      <c r="H1090" s="98" t="s">
        <v>516</v>
      </c>
      <c r="I1090" s="98" t="s">
        <v>248</v>
      </c>
      <c r="K1090" s="100"/>
      <c r="L1090" s="108"/>
      <c r="M1090" s="100"/>
      <c r="N1090" s="100"/>
    </row>
    <row r="1091" spans="2:14" s="98" customFormat="1">
      <c r="B1091" s="99" t="s">
        <v>665</v>
      </c>
      <c r="C1091" s="109">
        <v>45931</v>
      </c>
      <c r="D1091" s="98" t="s">
        <v>392</v>
      </c>
      <c r="E1091" s="103">
        <v>1449</v>
      </c>
      <c r="F1091" s="98" t="s">
        <v>240</v>
      </c>
      <c r="G1091" s="98" t="s">
        <v>373</v>
      </c>
      <c r="H1091" s="98" t="s">
        <v>516</v>
      </c>
      <c r="I1091" s="98" t="s">
        <v>544</v>
      </c>
      <c r="K1091" s="100"/>
      <c r="L1091" s="108"/>
      <c r="M1091" s="100"/>
      <c r="N1091" s="100"/>
    </row>
    <row r="1092" spans="2:14" s="98" customFormat="1">
      <c r="B1092" s="99" t="s">
        <v>665</v>
      </c>
      <c r="C1092" s="109">
        <v>45930</v>
      </c>
      <c r="D1092" s="98" t="s">
        <v>685</v>
      </c>
      <c r="E1092" s="103">
        <v>18429</v>
      </c>
      <c r="F1092" s="98" t="s">
        <v>240</v>
      </c>
      <c r="G1092" s="98" t="s">
        <v>373</v>
      </c>
      <c r="H1092" s="98" t="s">
        <v>516</v>
      </c>
      <c r="I1092" s="98" t="s">
        <v>370</v>
      </c>
      <c r="K1092" s="100"/>
      <c r="L1092" s="108"/>
      <c r="M1092" s="100"/>
      <c r="N1092" s="100"/>
    </row>
    <row r="1093" spans="2:14" s="98" customFormat="1">
      <c r="B1093" s="99" t="s">
        <v>665</v>
      </c>
      <c r="C1093" s="109">
        <v>45930</v>
      </c>
      <c r="D1093" s="98" t="s">
        <v>676</v>
      </c>
      <c r="E1093" s="103">
        <v>37685</v>
      </c>
      <c r="F1093" s="98" t="s">
        <v>240</v>
      </c>
      <c r="G1093" s="98" t="s">
        <v>373</v>
      </c>
      <c r="H1093" s="98" t="s">
        <v>516</v>
      </c>
      <c r="I1093" s="98" t="s">
        <v>370</v>
      </c>
      <c r="K1093" s="100"/>
      <c r="L1093" s="108"/>
      <c r="M1093" s="100"/>
      <c r="N1093" s="100"/>
    </row>
    <row r="1094" spans="2:14" s="98" customFormat="1">
      <c r="B1094" s="99" t="s">
        <v>665</v>
      </c>
      <c r="C1094" s="109">
        <v>45930</v>
      </c>
      <c r="D1094" s="98" t="s">
        <v>680</v>
      </c>
      <c r="E1094" s="103">
        <v>10000</v>
      </c>
      <c r="F1094" s="98" t="s">
        <v>240</v>
      </c>
      <c r="G1094" s="98" t="s">
        <v>373</v>
      </c>
      <c r="H1094" s="98" t="s">
        <v>516</v>
      </c>
      <c r="I1094" s="98" t="s">
        <v>270</v>
      </c>
      <c r="K1094" s="100"/>
      <c r="L1094" s="108"/>
      <c r="M1094" s="100"/>
      <c r="N1094" s="100"/>
    </row>
    <row r="1095" spans="2:14" s="98" customFormat="1">
      <c r="B1095" s="99" t="s">
        <v>665</v>
      </c>
      <c r="C1095" s="109">
        <v>45930</v>
      </c>
      <c r="D1095" s="98" t="s">
        <v>294</v>
      </c>
      <c r="E1095" s="103">
        <v>22770</v>
      </c>
      <c r="F1095" s="98" t="s">
        <v>240</v>
      </c>
      <c r="G1095" s="98" t="s">
        <v>373</v>
      </c>
      <c r="H1095" s="98" t="s">
        <v>516</v>
      </c>
      <c r="I1095" s="98" t="s">
        <v>268</v>
      </c>
      <c r="K1095" s="100"/>
      <c r="L1095" s="108"/>
      <c r="M1095" s="100"/>
      <c r="N1095" s="100"/>
    </row>
    <row r="1096" spans="2:14" s="98" customFormat="1">
      <c r="B1096" s="99" t="s">
        <v>665</v>
      </c>
      <c r="C1096" s="109">
        <v>45930</v>
      </c>
      <c r="D1096" s="98" t="s">
        <v>678</v>
      </c>
      <c r="E1096" s="103">
        <v>1800</v>
      </c>
      <c r="F1096" s="98" t="s">
        <v>240</v>
      </c>
      <c r="G1096" s="98" t="s">
        <v>373</v>
      </c>
      <c r="H1096" s="98" t="s">
        <v>516</v>
      </c>
      <c r="I1096" s="98" t="s">
        <v>247</v>
      </c>
      <c r="K1096" s="100"/>
      <c r="L1096" s="108"/>
      <c r="M1096" s="100"/>
      <c r="N1096" s="100"/>
    </row>
    <row r="1097" spans="2:14" s="98" customFormat="1">
      <c r="B1097" s="99" t="s">
        <v>665</v>
      </c>
      <c r="C1097" s="109">
        <v>45930</v>
      </c>
      <c r="D1097" s="98" t="s">
        <v>679</v>
      </c>
      <c r="E1097" s="103">
        <v>1400</v>
      </c>
      <c r="F1097" s="98" t="s">
        <v>240</v>
      </c>
      <c r="G1097" s="98" t="s">
        <v>373</v>
      </c>
      <c r="H1097" s="98" t="s">
        <v>516</v>
      </c>
      <c r="I1097" s="98" t="s">
        <v>247</v>
      </c>
      <c r="K1097" s="100"/>
      <c r="L1097" s="108"/>
      <c r="M1097" s="100"/>
      <c r="N1097" s="100"/>
    </row>
    <row r="1098" spans="2:14" s="98" customFormat="1">
      <c r="B1098" s="99" t="s">
        <v>665</v>
      </c>
      <c r="C1098" s="109">
        <v>45930</v>
      </c>
      <c r="D1098" s="98" t="s">
        <v>682</v>
      </c>
      <c r="E1098" s="103">
        <v>3100</v>
      </c>
      <c r="F1098" s="98" t="s">
        <v>240</v>
      </c>
      <c r="G1098" s="98" t="s">
        <v>373</v>
      </c>
      <c r="H1098" s="98" t="s">
        <v>516</v>
      </c>
      <c r="I1098" s="98" t="s">
        <v>247</v>
      </c>
      <c r="K1098" s="100"/>
      <c r="L1098" s="108"/>
      <c r="M1098" s="100"/>
      <c r="N1098" s="100"/>
    </row>
    <row r="1099" spans="2:14" s="98" customFormat="1">
      <c r="B1099" s="99" t="s">
        <v>665</v>
      </c>
      <c r="C1099" s="109">
        <v>45930</v>
      </c>
      <c r="D1099" s="98" t="s">
        <v>673</v>
      </c>
      <c r="E1099" s="103">
        <v>27589</v>
      </c>
      <c r="F1099" s="98" t="s">
        <v>240</v>
      </c>
      <c r="G1099" s="98" t="s">
        <v>373</v>
      </c>
      <c r="H1099" s="98" t="s">
        <v>513</v>
      </c>
      <c r="I1099" s="98" t="s">
        <v>545</v>
      </c>
      <c r="K1099" s="100"/>
      <c r="L1099" s="108"/>
      <c r="M1099" s="100"/>
      <c r="N1099" s="100"/>
    </row>
    <row r="1100" spans="2:14" s="98" customFormat="1">
      <c r="B1100" s="99" t="s">
        <v>665</v>
      </c>
      <c r="C1100" s="109">
        <v>45930</v>
      </c>
      <c r="D1100" s="98" t="s">
        <v>673</v>
      </c>
      <c r="E1100" s="103">
        <v>27589</v>
      </c>
      <c r="F1100" s="98" t="s">
        <v>240</v>
      </c>
      <c r="G1100" s="98" t="s">
        <v>373</v>
      </c>
      <c r="H1100" s="98" t="s">
        <v>513</v>
      </c>
      <c r="I1100" s="98" t="s">
        <v>545</v>
      </c>
      <c r="K1100" s="100"/>
      <c r="L1100" s="108"/>
      <c r="M1100" s="100"/>
      <c r="N1100" s="100"/>
    </row>
    <row r="1101" spans="2:14" s="98" customFormat="1">
      <c r="B1101" s="99" t="s">
        <v>665</v>
      </c>
      <c r="C1101" s="109">
        <v>45930</v>
      </c>
      <c r="D1101" s="98" t="s">
        <v>681</v>
      </c>
      <c r="E1101" s="103">
        <v>4500</v>
      </c>
      <c r="F1101" s="98" t="s">
        <v>240</v>
      </c>
      <c r="G1101" s="98" t="s">
        <v>373</v>
      </c>
      <c r="H1101" s="98" t="s">
        <v>516</v>
      </c>
      <c r="I1101" s="98" t="s">
        <v>248</v>
      </c>
      <c r="K1101" s="100"/>
      <c r="L1101" s="108"/>
      <c r="M1101" s="100"/>
      <c r="N1101" s="100"/>
    </row>
    <row r="1102" spans="2:14" s="98" customFormat="1">
      <c r="B1102" s="99" t="s">
        <v>665</v>
      </c>
      <c r="C1102" s="109">
        <v>45930</v>
      </c>
      <c r="D1102" s="98" t="s">
        <v>675</v>
      </c>
      <c r="E1102" s="103">
        <v>48906</v>
      </c>
      <c r="F1102" s="98" t="s">
        <v>240</v>
      </c>
      <c r="G1102" s="98" t="s">
        <v>373</v>
      </c>
      <c r="H1102" s="98" t="s">
        <v>516</v>
      </c>
      <c r="I1102" s="98" t="s">
        <v>248</v>
      </c>
      <c r="K1102" s="100"/>
      <c r="L1102" s="108"/>
      <c r="M1102" s="100"/>
      <c r="N1102" s="100"/>
    </row>
    <row r="1103" spans="2:14" s="98" customFormat="1">
      <c r="B1103" s="99" t="s">
        <v>665</v>
      </c>
      <c r="C1103" s="109">
        <v>45930</v>
      </c>
      <c r="D1103" s="98" t="s">
        <v>674</v>
      </c>
      <c r="E1103" s="103">
        <v>5800</v>
      </c>
      <c r="F1103" s="98" t="s">
        <v>240</v>
      </c>
      <c r="G1103" s="98" t="s">
        <v>373</v>
      </c>
      <c r="H1103" s="98" t="s">
        <v>516</v>
      </c>
      <c r="I1103" s="98" t="s">
        <v>248</v>
      </c>
      <c r="K1103" s="100"/>
      <c r="L1103" s="108"/>
      <c r="M1103" s="100"/>
      <c r="N1103" s="100"/>
    </row>
    <row r="1104" spans="2:14" s="98" customFormat="1">
      <c r="B1104" s="99" t="s">
        <v>665</v>
      </c>
      <c r="C1104" s="109">
        <v>45930</v>
      </c>
      <c r="D1104" s="98" t="s">
        <v>683</v>
      </c>
      <c r="E1104" s="103">
        <v>2016</v>
      </c>
      <c r="F1104" s="98" t="s">
        <v>240</v>
      </c>
      <c r="G1104" s="98" t="s">
        <v>373</v>
      </c>
      <c r="H1104" s="98" t="s">
        <v>516</v>
      </c>
      <c r="I1104" s="98" t="s">
        <v>245</v>
      </c>
      <c r="K1104" s="100"/>
      <c r="L1104" s="108"/>
      <c r="M1104" s="100"/>
      <c r="N1104" s="100"/>
    </row>
    <row r="1105" spans="2:14" s="98" customFormat="1">
      <c r="B1105" s="99" t="s">
        <v>665</v>
      </c>
      <c r="C1105" s="109">
        <v>45930</v>
      </c>
      <c r="D1105" s="98" t="s">
        <v>629</v>
      </c>
      <c r="E1105" s="103">
        <v>1790</v>
      </c>
      <c r="F1105" s="98" t="s">
        <v>240</v>
      </c>
      <c r="G1105" s="98" t="s">
        <v>373</v>
      </c>
      <c r="H1105" s="98" t="s">
        <v>516</v>
      </c>
      <c r="I1105" s="98" t="s">
        <v>544</v>
      </c>
      <c r="K1105" s="100"/>
      <c r="L1105" s="108"/>
      <c r="M1105" s="100"/>
      <c r="N1105" s="100"/>
    </row>
    <row r="1106" spans="2:14" s="98" customFormat="1">
      <c r="B1106" s="99" t="s">
        <v>665</v>
      </c>
      <c r="C1106" s="109">
        <v>45929.969444444447</v>
      </c>
      <c r="D1106" s="98" t="s">
        <v>48</v>
      </c>
      <c r="E1106" s="103">
        <v>60000</v>
      </c>
      <c r="F1106" s="98" t="s">
        <v>240</v>
      </c>
      <c r="G1106" s="98" t="s">
        <v>374</v>
      </c>
      <c r="H1106" s="98" t="s">
        <v>513</v>
      </c>
      <c r="I1106" s="98" t="s">
        <v>273</v>
      </c>
      <c r="K1106" s="100"/>
      <c r="L1106" s="108"/>
      <c r="M1106" s="100"/>
      <c r="N1106" s="100"/>
    </row>
    <row r="1107" spans="2:14" s="98" customFormat="1">
      <c r="B1107" s="99" t="s">
        <v>665</v>
      </c>
      <c r="C1107" s="109">
        <v>45929.544444444444</v>
      </c>
      <c r="D1107" s="98" t="s">
        <v>19</v>
      </c>
      <c r="E1107" s="103">
        <v>3700</v>
      </c>
      <c r="F1107" s="98" t="s">
        <v>240</v>
      </c>
      <c r="G1107" s="98" t="s">
        <v>374</v>
      </c>
      <c r="H1107" s="98" t="s">
        <v>516</v>
      </c>
      <c r="I1107" s="98" t="s">
        <v>242</v>
      </c>
      <c r="K1107" s="100"/>
      <c r="L1107" s="108"/>
      <c r="M1107" s="100"/>
      <c r="N1107" s="100"/>
    </row>
    <row r="1108" spans="2:14" s="98" customFormat="1">
      <c r="B1108" s="99" t="s">
        <v>665</v>
      </c>
      <c r="C1108" s="109">
        <v>45929.336111111108</v>
      </c>
      <c r="D1108" s="98" t="s">
        <v>656</v>
      </c>
      <c r="E1108" s="103">
        <v>6679</v>
      </c>
      <c r="F1108" s="98" t="s">
        <v>240</v>
      </c>
      <c r="G1108" s="98" t="s">
        <v>374</v>
      </c>
      <c r="H1108" s="98" t="s">
        <v>516</v>
      </c>
      <c r="I1108" s="98" t="s">
        <v>247</v>
      </c>
      <c r="K1108" s="100"/>
      <c r="L1108" s="108"/>
      <c r="M1108" s="100"/>
      <c r="N1108" s="100"/>
    </row>
    <row r="1109" spans="2:14" s="98" customFormat="1">
      <c r="B1109" s="99" t="s">
        <v>665</v>
      </c>
      <c r="C1109" s="109">
        <v>45929</v>
      </c>
      <c r="D1109" s="98" t="s">
        <v>677</v>
      </c>
      <c r="E1109" s="103">
        <v>850</v>
      </c>
      <c r="F1109" s="98" t="s">
        <v>240</v>
      </c>
      <c r="G1109" s="98" t="s">
        <v>373</v>
      </c>
      <c r="H1109" s="98" t="s">
        <v>516</v>
      </c>
      <c r="I1109" s="98" t="s">
        <v>241</v>
      </c>
      <c r="K1109" s="100"/>
      <c r="L1109" s="108"/>
      <c r="M1109" s="100"/>
      <c r="N1109" s="100"/>
    </row>
    <row r="1110" spans="2:14" s="98" customFormat="1">
      <c r="B1110" s="99" t="s">
        <v>665</v>
      </c>
      <c r="C1110" s="109">
        <v>45929</v>
      </c>
      <c r="D1110" s="98" t="s">
        <v>435</v>
      </c>
      <c r="E1110" s="103">
        <v>24843</v>
      </c>
      <c r="F1110" s="98" t="s">
        <v>240</v>
      </c>
      <c r="G1110" s="98" t="s">
        <v>373</v>
      </c>
      <c r="H1110" s="98" t="s">
        <v>516</v>
      </c>
      <c r="I1110" s="98" t="s">
        <v>245</v>
      </c>
      <c r="K1110" s="100"/>
      <c r="L1110" s="108"/>
      <c r="M1110" s="100"/>
      <c r="N1110" s="100"/>
    </row>
    <row r="1111" spans="2:14" s="98" customFormat="1">
      <c r="B1111" s="99" t="s">
        <v>665</v>
      </c>
      <c r="C1111" s="109">
        <v>45928.84375</v>
      </c>
      <c r="D1111" s="98" t="s">
        <v>657</v>
      </c>
      <c r="E1111" s="103">
        <v>5000</v>
      </c>
      <c r="F1111" s="98" t="s">
        <v>240</v>
      </c>
      <c r="G1111" s="98" t="s">
        <v>374</v>
      </c>
      <c r="H1111" s="98" t="s">
        <v>516</v>
      </c>
      <c r="I1111" s="98" t="s">
        <v>247</v>
      </c>
      <c r="K1111" s="100"/>
      <c r="L1111" s="108"/>
      <c r="M1111" s="100"/>
      <c r="N1111" s="100"/>
    </row>
    <row r="1112" spans="2:14" s="98" customFormat="1">
      <c r="B1112" s="99" t="s">
        <v>665</v>
      </c>
      <c r="C1112" s="109">
        <v>45928.632638888892</v>
      </c>
      <c r="D1112" s="98" t="s">
        <v>561</v>
      </c>
      <c r="E1112" s="103">
        <v>2430</v>
      </c>
      <c r="F1112" s="98" t="s">
        <v>240</v>
      </c>
      <c r="G1112" s="98" t="s">
        <v>374</v>
      </c>
      <c r="H1112" s="98" t="s">
        <v>516</v>
      </c>
      <c r="I1112" s="98" t="s">
        <v>241</v>
      </c>
      <c r="K1112" s="100"/>
      <c r="L1112" s="108"/>
      <c r="M1112" s="100"/>
      <c r="N1112" s="100"/>
    </row>
    <row r="1113" spans="2:14" s="98" customFormat="1">
      <c r="B1113" s="99" t="s">
        <v>665</v>
      </c>
      <c r="C1113" s="109">
        <v>45928.629861111112</v>
      </c>
      <c r="D1113" s="98" t="s">
        <v>172</v>
      </c>
      <c r="E1113" s="103">
        <v>15760</v>
      </c>
      <c r="F1113" s="98" t="s">
        <v>240</v>
      </c>
      <c r="G1113" s="98" t="s">
        <v>374</v>
      </c>
      <c r="H1113" s="98" t="s">
        <v>516</v>
      </c>
      <c r="I1113" s="98" t="s">
        <v>245</v>
      </c>
      <c r="K1113" s="100"/>
      <c r="L1113" s="108"/>
      <c r="M1113" s="100"/>
      <c r="N1113" s="100"/>
    </row>
    <row r="1114" spans="2:14" s="98" customFormat="1">
      <c r="B1114" s="99" t="s">
        <v>665</v>
      </c>
      <c r="C1114" s="109">
        <v>45928.621527777781</v>
      </c>
      <c r="D1114" s="98" t="s">
        <v>658</v>
      </c>
      <c r="E1114" s="103">
        <v>9990</v>
      </c>
      <c r="F1114" s="98" t="s">
        <v>240</v>
      </c>
      <c r="G1114" s="98" t="s">
        <v>374</v>
      </c>
      <c r="H1114" s="98" t="s">
        <v>516</v>
      </c>
      <c r="I1114" s="98" t="s">
        <v>244</v>
      </c>
      <c r="K1114" s="100"/>
      <c r="L1114" s="108"/>
      <c r="M1114" s="100"/>
      <c r="N1114" s="100"/>
    </row>
    <row r="1115" spans="2:14" s="98" customFormat="1">
      <c r="B1115" s="99" t="s">
        <v>665</v>
      </c>
      <c r="C1115" s="109">
        <v>45928.615277777775</v>
      </c>
      <c r="D1115" s="98" t="s">
        <v>659</v>
      </c>
      <c r="E1115" s="103">
        <v>19980</v>
      </c>
      <c r="F1115" s="98" t="s">
        <v>240</v>
      </c>
      <c r="G1115" s="98" t="s">
        <v>374</v>
      </c>
      <c r="H1115" s="98" t="s">
        <v>516</v>
      </c>
      <c r="I1115" s="98" t="s">
        <v>244</v>
      </c>
      <c r="K1115" s="100"/>
      <c r="L1115" s="108"/>
      <c r="M1115" s="100"/>
      <c r="N1115" s="100"/>
    </row>
    <row r="1116" spans="2:14" s="98" customFormat="1">
      <c r="B1116" s="99" t="s">
        <v>665</v>
      </c>
      <c r="C1116" s="109">
        <v>45928.390972222223</v>
      </c>
      <c r="D1116" s="98" t="s">
        <v>51</v>
      </c>
      <c r="E1116" s="103">
        <v>15000</v>
      </c>
      <c r="F1116" s="98" t="s">
        <v>240</v>
      </c>
      <c r="G1116" s="98" t="s">
        <v>374</v>
      </c>
      <c r="H1116" s="98" t="s">
        <v>516</v>
      </c>
      <c r="I1116" s="98" t="s">
        <v>270</v>
      </c>
      <c r="K1116" s="100"/>
      <c r="L1116" s="108"/>
      <c r="M1116" s="100"/>
      <c r="N1116" s="100"/>
    </row>
    <row r="1117" spans="2:14" s="98" customFormat="1">
      <c r="B1117" s="99" t="s">
        <v>665</v>
      </c>
      <c r="C1117" s="109">
        <v>45927.895833333336</v>
      </c>
      <c r="D1117" s="98" t="s">
        <v>6</v>
      </c>
      <c r="E1117" s="103">
        <v>132580</v>
      </c>
      <c r="F1117" s="98" t="s">
        <v>240</v>
      </c>
      <c r="G1117" s="98" t="s">
        <v>374</v>
      </c>
      <c r="H1117" s="98" t="s">
        <v>516</v>
      </c>
      <c r="I1117" s="98" t="s">
        <v>245</v>
      </c>
      <c r="K1117" s="100"/>
      <c r="L1117" s="108"/>
      <c r="M1117" s="100"/>
      <c r="N1117" s="100"/>
    </row>
    <row r="1118" spans="2:14" s="98" customFormat="1">
      <c r="B1118" s="99" t="s">
        <v>665</v>
      </c>
      <c r="C1118" s="109">
        <v>45927.711805555555</v>
      </c>
      <c r="D1118" s="98" t="s">
        <v>660</v>
      </c>
      <c r="E1118" s="103">
        <v>34078</v>
      </c>
      <c r="F1118" s="98" t="s">
        <v>240</v>
      </c>
      <c r="G1118" s="98" t="s">
        <v>374</v>
      </c>
      <c r="H1118" s="98" t="s">
        <v>516</v>
      </c>
      <c r="I1118" s="98" t="s">
        <v>248</v>
      </c>
      <c r="K1118" s="100"/>
      <c r="L1118" s="108"/>
      <c r="M1118" s="100"/>
      <c r="N1118" s="100"/>
    </row>
    <row r="1119" spans="2:14" s="98" customFormat="1">
      <c r="B1119" s="99" t="s">
        <v>665</v>
      </c>
      <c r="C1119" s="109">
        <v>45927.675000000003</v>
      </c>
      <c r="D1119" s="98" t="s">
        <v>661</v>
      </c>
      <c r="E1119" s="103">
        <v>10960</v>
      </c>
      <c r="F1119" s="98" t="s">
        <v>240</v>
      </c>
      <c r="G1119" s="98" t="s">
        <v>374</v>
      </c>
      <c r="H1119" s="98" t="s">
        <v>516</v>
      </c>
      <c r="I1119" s="98" t="s">
        <v>248</v>
      </c>
      <c r="K1119" s="100"/>
      <c r="L1119" s="108"/>
      <c r="M1119" s="100"/>
      <c r="N1119" s="100"/>
    </row>
    <row r="1120" spans="2:14" s="98" customFormat="1">
      <c r="B1120" s="99" t="s">
        <v>665</v>
      </c>
      <c r="C1120" s="109">
        <v>45927.593055555553</v>
      </c>
      <c r="D1120" s="98" t="s">
        <v>662</v>
      </c>
      <c r="E1120" s="103">
        <v>27990</v>
      </c>
      <c r="F1120" s="98" t="s">
        <v>240</v>
      </c>
      <c r="G1120" s="98" t="s">
        <v>374</v>
      </c>
      <c r="H1120" s="98" t="s">
        <v>516</v>
      </c>
      <c r="I1120" s="98" t="s">
        <v>273</v>
      </c>
      <c r="K1120" s="100"/>
      <c r="L1120" s="108"/>
      <c r="M1120" s="100"/>
      <c r="N1120" s="100"/>
    </row>
    <row r="1121" spans="2:14" s="98" customFormat="1">
      <c r="B1121" s="99" t="s">
        <v>665</v>
      </c>
      <c r="C1121" s="109">
        <v>45926.923611111109</v>
      </c>
      <c r="D1121" s="98" t="s">
        <v>11</v>
      </c>
      <c r="E1121" s="103">
        <v>-1563087</v>
      </c>
      <c r="F1121" s="98" t="s">
        <v>239</v>
      </c>
      <c r="I1121" s="98" t="s">
        <v>246</v>
      </c>
      <c r="K1121" s="100"/>
      <c r="L1121" s="108"/>
      <c r="M1121" s="100"/>
      <c r="N1121" s="100"/>
    </row>
    <row r="1122" spans="2:14" s="98" customFormat="1">
      <c r="B1122" s="99" t="s">
        <v>590</v>
      </c>
      <c r="C1122" s="109">
        <v>45926.785416666666</v>
      </c>
      <c r="D1122" s="98" t="s">
        <v>12</v>
      </c>
      <c r="E1122" s="103">
        <v>10620</v>
      </c>
      <c r="F1122" s="98" t="s">
        <v>240</v>
      </c>
      <c r="G1122" s="98" t="s">
        <v>374</v>
      </c>
      <c r="H1122" s="98" t="s">
        <v>516</v>
      </c>
      <c r="I1122" s="98" t="s">
        <v>245</v>
      </c>
      <c r="K1122" s="100"/>
      <c r="L1122" s="108"/>
      <c r="M1122" s="100"/>
      <c r="N1122" s="100"/>
    </row>
    <row r="1123" spans="2:14" s="98" customFormat="1">
      <c r="B1123" s="99" t="s">
        <v>590</v>
      </c>
      <c r="C1123" s="109">
        <v>45926.65902777778</v>
      </c>
      <c r="D1123" s="98" t="s">
        <v>51</v>
      </c>
      <c r="E1123" s="103">
        <v>15000</v>
      </c>
      <c r="F1123" s="98" t="s">
        <v>240</v>
      </c>
      <c r="G1123" s="98" t="s">
        <v>374</v>
      </c>
      <c r="H1123" s="98" t="s">
        <v>516</v>
      </c>
      <c r="I1123" s="98" t="s">
        <v>270</v>
      </c>
      <c r="K1123" s="100"/>
      <c r="L1123" s="108"/>
      <c r="M1123" s="100"/>
      <c r="N1123" s="100"/>
    </row>
    <row r="1124" spans="2:14" s="98" customFormat="1">
      <c r="B1124" s="99" t="s">
        <v>590</v>
      </c>
      <c r="C1124" s="109">
        <v>45926.612500000003</v>
      </c>
      <c r="D1124" s="98" t="s">
        <v>65</v>
      </c>
      <c r="E1124" s="103">
        <v>3250</v>
      </c>
      <c r="F1124" s="98" t="s">
        <v>240</v>
      </c>
      <c r="G1124" s="98" t="s">
        <v>374</v>
      </c>
      <c r="H1124" s="98" t="s">
        <v>516</v>
      </c>
      <c r="I1124" s="98" t="s">
        <v>247</v>
      </c>
      <c r="K1124" s="100"/>
      <c r="L1124" s="108"/>
      <c r="M1124" s="100"/>
      <c r="N1124" s="100"/>
    </row>
    <row r="1125" spans="2:14" s="98" customFormat="1">
      <c r="B1125" s="99" t="s">
        <v>590</v>
      </c>
      <c r="C1125" s="109">
        <v>45926.468055555553</v>
      </c>
      <c r="D1125" s="98" t="s">
        <v>10</v>
      </c>
      <c r="E1125" s="103">
        <v>1350</v>
      </c>
      <c r="F1125" s="98" t="s">
        <v>240</v>
      </c>
      <c r="G1125" s="98" t="s">
        <v>374</v>
      </c>
      <c r="H1125" s="98" t="s">
        <v>516</v>
      </c>
      <c r="I1125" s="98" t="s">
        <v>242</v>
      </c>
      <c r="K1125" s="100"/>
      <c r="L1125" s="108"/>
      <c r="M1125" s="100"/>
      <c r="N1125" s="100"/>
    </row>
    <row r="1126" spans="2:14" s="98" customFormat="1">
      <c r="B1126" s="99" t="s">
        <v>590</v>
      </c>
      <c r="C1126" s="109">
        <v>45926.333333333336</v>
      </c>
      <c r="D1126" s="98" t="s">
        <v>10</v>
      </c>
      <c r="E1126" s="103">
        <v>3300</v>
      </c>
      <c r="F1126" s="98" t="s">
        <v>240</v>
      </c>
      <c r="G1126" s="98" t="s">
        <v>374</v>
      </c>
      <c r="H1126" s="98" t="s">
        <v>516</v>
      </c>
      <c r="I1126" s="98" t="s">
        <v>242</v>
      </c>
      <c r="K1126" s="100"/>
      <c r="L1126" s="108"/>
      <c r="M1126" s="100"/>
      <c r="N1126" s="100"/>
    </row>
    <row r="1127" spans="2:14" s="98" customFormat="1">
      <c r="B1127" s="99" t="s">
        <v>590</v>
      </c>
      <c r="C1127" s="109">
        <v>45925.654166666667</v>
      </c>
      <c r="D1127" s="98" t="s">
        <v>30</v>
      </c>
      <c r="E1127" s="103">
        <v>5290</v>
      </c>
      <c r="F1127" s="98" t="s">
        <v>240</v>
      </c>
      <c r="G1127" s="98" t="s">
        <v>374</v>
      </c>
      <c r="H1127" s="98" t="s">
        <v>516</v>
      </c>
      <c r="I1127" s="98" t="s">
        <v>247</v>
      </c>
      <c r="K1127" s="100"/>
      <c r="L1127" s="108"/>
      <c r="M1127" s="100"/>
      <c r="N1127" s="100"/>
    </row>
    <row r="1128" spans="2:14" s="98" customFormat="1">
      <c r="B1128" s="99" t="s">
        <v>590</v>
      </c>
      <c r="C1128" s="109">
        <v>45925.256249999999</v>
      </c>
      <c r="D1128" s="98" t="s">
        <v>22</v>
      </c>
      <c r="E1128" s="103">
        <v>10000</v>
      </c>
      <c r="F1128" s="98" t="s">
        <v>240</v>
      </c>
      <c r="G1128" s="98" t="s">
        <v>374</v>
      </c>
      <c r="H1128" s="98" t="s">
        <v>516</v>
      </c>
      <c r="I1128" s="98" t="s">
        <v>263</v>
      </c>
      <c r="K1128" s="100"/>
      <c r="L1128" s="108"/>
      <c r="M1128" s="100"/>
      <c r="N1128" s="100"/>
    </row>
    <row r="1129" spans="2:14" s="98" customFormat="1">
      <c r="B1129" s="99" t="s">
        <v>590</v>
      </c>
      <c r="C1129" s="109">
        <v>45924.859027777777</v>
      </c>
      <c r="D1129" s="98" t="s">
        <v>12</v>
      </c>
      <c r="E1129" s="103">
        <v>34209</v>
      </c>
      <c r="F1129" s="98" t="s">
        <v>240</v>
      </c>
      <c r="G1129" s="98" t="s">
        <v>374</v>
      </c>
      <c r="H1129" s="98" t="s">
        <v>516</v>
      </c>
      <c r="I1129" s="98" t="s">
        <v>245</v>
      </c>
      <c r="K1129" s="100"/>
      <c r="L1129" s="108"/>
      <c r="M1129" s="100"/>
      <c r="N1129" s="100"/>
    </row>
    <row r="1130" spans="2:14" s="98" customFormat="1">
      <c r="B1130" s="99" t="s">
        <v>590</v>
      </c>
      <c r="C1130" s="109">
        <v>45924.787499999999</v>
      </c>
      <c r="D1130" s="98" t="s">
        <v>158</v>
      </c>
      <c r="E1130" s="103">
        <v>3000</v>
      </c>
      <c r="F1130" s="98" t="s">
        <v>240</v>
      </c>
      <c r="G1130" s="98" t="s">
        <v>374</v>
      </c>
      <c r="H1130" s="98" t="s">
        <v>516</v>
      </c>
      <c r="I1130" s="98" t="s">
        <v>251</v>
      </c>
      <c r="K1130" s="100"/>
      <c r="L1130" s="108"/>
      <c r="M1130" s="100"/>
      <c r="N1130" s="100"/>
    </row>
    <row r="1131" spans="2:14" s="98" customFormat="1">
      <c r="B1131" s="99" t="s">
        <v>590</v>
      </c>
      <c r="C1131" s="109">
        <v>45924.786111111112</v>
      </c>
      <c r="D1131" s="98" t="s">
        <v>663</v>
      </c>
      <c r="E1131" s="103">
        <v>3000</v>
      </c>
      <c r="F1131" s="98" t="s">
        <v>240</v>
      </c>
      <c r="G1131" s="98" t="s">
        <v>374</v>
      </c>
      <c r="H1131" s="98" t="s">
        <v>516</v>
      </c>
      <c r="I1131" s="98" t="s">
        <v>251</v>
      </c>
      <c r="K1131" s="100"/>
      <c r="L1131" s="108"/>
      <c r="M1131" s="100"/>
      <c r="N1131" s="100"/>
    </row>
    <row r="1132" spans="2:14" s="98" customFormat="1">
      <c r="B1132" s="99" t="s">
        <v>590</v>
      </c>
      <c r="C1132" s="109">
        <v>45924.746527777781</v>
      </c>
      <c r="D1132" s="98" t="s">
        <v>664</v>
      </c>
      <c r="E1132" s="103">
        <v>14000</v>
      </c>
      <c r="F1132" s="98" t="s">
        <v>240</v>
      </c>
      <c r="G1132" s="98" t="s">
        <v>374</v>
      </c>
      <c r="H1132" s="98" t="s">
        <v>516</v>
      </c>
      <c r="I1132" s="98" t="s">
        <v>248</v>
      </c>
      <c r="K1132" s="100"/>
      <c r="L1132" s="108"/>
      <c r="M1132" s="100"/>
      <c r="N1132" s="100"/>
    </row>
    <row r="1133" spans="2:14" s="98" customFormat="1">
      <c r="B1133" s="99" t="s">
        <v>590</v>
      </c>
      <c r="C1133" s="109">
        <v>45924.740972222222</v>
      </c>
      <c r="D1133" s="98" t="s">
        <v>65</v>
      </c>
      <c r="E1133" s="103">
        <v>5490</v>
      </c>
      <c r="F1133" s="98" t="s">
        <v>240</v>
      </c>
      <c r="G1133" s="98" t="s">
        <v>374</v>
      </c>
      <c r="H1133" s="98" t="s">
        <v>516</v>
      </c>
      <c r="I1133" s="98" t="s">
        <v>247</v>
      </c>
      <c r="K1133" s="100"/>
      <c r="L1133" s="108"/>
      <c r="M1133" s="100"/>
      <c r="N1133" s="100"/>
    </row>
    <row r="1134" spans="2:14" s="98" customFormat="1">
      <c r="B1134" s="99" t="s">
        <v>590</v>
      </c>
      <c r="C1134" s="109">
        <v>45924.659722222219</v>
      </c>
      <c r="D1134" s="98" t="s">
        <v>47</v>
      </c>
      <c r="E1134" s="103">
        <v>5850</v>
      </c>
      <c r="F1134" s="98" t="s">
        <v>240</v>
      </c>
      <c r="G1134" s="98" t="s">
        <v>374</v>
      </c>
      <c r="H1134" s="98" t="s">
        <v>516</v>
      </c>
      <c r="I1134" s="98" t="s">
        <v>544</v>
      </c>
      <c r="K1134" s="100"/>
      <c r="L1134" s="108"/>
      <c r="M1134" s="100"/>
      <c r="N1134" s="100"/>
    </row>
    <row r="1135" spans="2:14" s="98" customFormat="1">
      <c r="B1135" s="99" t="s">
        <v>590</v>
      </c>
      <c r="C1135" s="109">
        <v>45923.693749999999</v>
      </c>
      <c r="D1135" s="98" t="s">
        <v>46</v>
      </c>
      <c r="E1135" s="103">
        <v>1700</v>
      </c>
      <c r="F1135" s="98" t="s">
        <v>240</v>
      </c>
      <c r="G1135" s="98" t="s">
        <v>374</v>
      </c>
      <c r="H1135" s="98" t="s">
        <v>516</v>
      </c>
      <c r="I1135" s="98" t="s">
        <v>242</v>
      </c>
      <c r="K1135" s="100"/>
      <c r="L1135" s="108"/>
      <c r="M1135" s="100"/>
      <c r="N1135" s="100"/>
    </row>
    <row r="1136" spans="2:14" s="98" customFormat="1">
      <c r="B1136" s="99" t="s">
        <v>590</v>
      </c>
      <c r="C1136" s="109">
        <v>45922.853472222225</v>
      </c>
      <c r="D1136" s="98" t="s">
        <v>22</v>
      </c>
      <c r="E1136" s="103">
        <v>22400</v>
      </c>
      <c r="F1136" s="98" t="s">
        <v>240</v>
      </c>
      <c r="G1136" s="98" t="s">
        <v>374</v>
      </c>
      <c r="H1136" s="98" t="s">
        <v>516</v>
      </c>
      <c r="I1136" s="98" t="s">
        <v>245</v>
      </c>
      <c r="K1136" s="100"/>
      <c r="L1136" s="108"/>
      <c r="M1136" s="100"/>
      <c r="N1136" s="100"/>
    </row>
    <row r="1137" spans="2:14" s="98" customFormat="1">
      <c r="B1137" s="99" t="s">
        <v>590</v>
      </c>
      <c r="C1137" s="109">
        <v>45922.553472222222</v>
      </c>
      <c r="D1137" s="98" t="s">
        <v>19</v>
      </c>
      <c r="E1137" s="103">
        <v>3700</v>
      </c>
      <c r="F1137" s="98" t="s">
        <v>240</v>
      </c>
      <c r="G1137" s="98" t="s">
        <v>374</v>
      </c>
      <c r="H1137" s="98" t="s">
        <v>516</v>
      </c>
      <c r="I1137" s="98" t="s">
        <v>242</v>
      </c>
      <c r="K1137" s="100"/>
      <c r="L1137" s="108"/>
      <c r="M1137" s="100"/>
      <c r="N1137" s="100"/>
    </row>
    <row r="1138" spans="2:14" s="98" customFormat="1">
      <c r="B1138" s="99" t="s">
        <v>590</v>
      </c>
      <c r="C1138" s="109">
        <v>45922.319444444445</v>
      </c>
      <c r="D1138" s="98" t="s">
        <v>656</v>
      </c>
      <c r="E1138" s="103">
        <v>974</v>
      </c>
      <c r="F1138" s="98" t="s">
        <v>240</v>
      </c>
      <c r="G1138" s="98" t="s">
        <v>374</v>
      </c>
      <c r="H1138" s="98" t="s">
        <v>516</v>
      </c>
      <c r="I1138" s="98" t="s">
        <v>242</v>
      </c>
      <c r="K1138" s="100"/>
      <c r="L1138" s="108"/>
      <c r="M1138" s="100"/>
      <c r="N1138" s="100"/>
    </row>
    <row r="1139" spans="2:14" s="98" customFormat="1">
      <c r="B1139" s="99" t="s">
        <v>590</v>
      </c>
      <c r="C1139" s="109">
        <v>45921.956944444442</v>
      </c>
      <c r="D1139" s="98" t="s">
        <v>48</v>
      </c>
      <c r="E1139" s="103">
        <v>55000</v>
      </c>
      <c r="F1139" s="98" t="s">
        <v>240</v>
      </c>
      <c r="G1139" s="98" t="s">
        <v>374</v>
      </c>
      <c r="H1139" s="98" t="s">
        <v>516</v>
      </c>
      <c r="I1139" s="98" t="s">
        <v>273</v>
      </c>
      <c r="K1139" s="100"/>
      <c r="L1139" s="108"/>
      <c r="M1139" s="100"/>
      <c r="N1139" s="100"/>
    </row>
    <row r="1140" spans="2:14" s="98" customFormat="1">
      <c r="B1140" s="99" t="s">
        <v>590</v>
      </c>
      <c r="C1140" s="109">
        <v>45921.847916666666</v>
      </c>
      <c r="D1140" s="98" t="s">
        <v>643</v>
      </c>
      <c r="E1140" s="103">
        <v>65026</v>
      </c>
      <c r="F1140" s="98" t="s">
        <v>240</v>
      </c>
      <c r="G1140" s="98" t="s">
        <v>374</v>
      </c>
      <c r="H1140" s="98" t="s">
        <v>516</v>
      </c>
      <c r="I1140" s="98" t="s">
        <v>245</v>
      </c>
      <c r="K1140" s="100"/>
      <c r="L1140" s="108"/>
      <c r="M1140" s="100"/>
      <c r="N1140" s="100"/>
    </row>
    <row r="1141" spans="2:14" s="98" customFormat="1">
      <c r="B1141" s="99" t="s">
        <v>590</v>
      </c>
      <c r="C1141" s="109">
        <v>45921.712500000001</v>
      </c>
      <c r="D1141" s="98" t="s">
        <v>644</v>
      </c>
      <c r="E1141" s="103">
        <v>3000</v>
      </c>
      <c r="F1141" s="98" t="s">
        <v>240</v>
      </c>
      <c r="G1141" s="98" t="s">
        <v>374</v>
      </c>
      <c r="H1141" s="98" t="s">
        <v>516</v>
      </c>
      <c r="I1141" s="98" t="s">
        <v>247</v>
      </c>
      <c r="K1141" s="100"/>
      <c r="L1141" s="108"/>
      <c r="M1141" s="100"/>
      <c r="N1141" s="100"/>
    </row>
    <row r="1142" spans="2:14" s="98" customFormat="1">
      <c r="B1142" s="99" t="s">
        <v>590</v>
      </c>
      <c r="C1142" s="109">
        <v>45921.694444444445</v>
      </c>
      <c r="D1142" s="98" t="s">
        <v>645</v>
      </c>
      <c r="E1142" s="103">
        <v>12672</v>
      </c>
      <c r="F1142" s="98" t="s">
        <v>240</v>
      </c>
      <c r="G1142" s="98" t="s">
        <v>374</v>
      </c>
      <c r="H1142" s="98" t="s">
        <v>516</v>
      </c>
      <c r="I1142" s="98" t="s">
        <v>248</v>
      </c>
      <c r="K1142" s="100"/>
      <c r="L1142" s="108"/>
      <c r="M1142" s="100"/>
      <c r="N1142" s="100"/>
    </row>
    <row r="1143" spans="2:14" s="98" customFormat="1">
      <c r="B1143" s="99" t="s">
        <v>590</v>
      </c>
      <c r="C1143" s="109">
        <v>45921.572222222225</v>
      </c>
      <c r="D1143" s="98" t="s">
        <v>561</v>
      </c>
      <c r="E1143" s="103">
        <v>1470</v>
      </c>
      <c r="F1143" s="98" t="s">
        <v>240</v>
      </c>
      <c r="G1143" s="98" t="s">
        <v>374</v>
      </c>
      <c r="H1143" s="98" t="s">
        <v>516</v>
      </c>
      <c r="I1143" s="98" t="s">
        <v>241</v>
      </c>
      <c r="K1143" s="100"/>
      <c r="L1143" s="108"/>
      <c r="M1143" s="100"/>
      <c r="N1143" s="100"/>
    </row>
    <row r="1144" spans="2:14" s="98" customFormat="1">
      <c r="B1144" s="99" t="s">
        <v>590</v>
      </c>
      <c r="C1144" s="109">
        <v>45921.570833333331</v>
      </c>
      <c r="D1144" s="98" t="s">
        <v>172</v>
      </c>
      <c r="E1144" s="103">
        <v>6170</v>
      </c>
      <c r="F1144" s="98" t="s">
        <v>240</v>
      </c>
      <c r="G1144" s="98" t="s">
        <v>374</v>
      </c>
      <c r="H1144" s="98" t="s">
        <v>516</v>
      </c>
      <c r="I1144" s="98" t="s">
        <v>245</v>
      </c>
      <c r="K1144" s="100"/>
      <c r="L1144" s="108"/>
      <c r="M1144" s="100"/>
      <c r="N1144" s="100"/>
    </row>
    <row r="1145" spans="2:14" s="98" customFormat="1">
      <c r="B1145" s="99" t="s">
        <v>590</v>
      </c>
      <c r="C1145" s="109">
        <v>45921.5625</v>
      </c>
      <c r="D1145" s="98" t="s">
        <v>646</v>
      </c>
      <c r="E1145" s="103">
        <v>2390</v>
      </c>
      <c r="F1145" s="98" t="s">
        <v>240</v>
      </c>
      <c r="G1145" s="98" t="s">
        <v>374</v>
      </c>
      <c r="H1145" s="98" t="s">
        <v>516</v>
      </c>
      <c r="I1145" s="98" t="s">
        <v>247</v>
      </c>
      <c r="K1145" s="100"/>
      <c r="L1145" s="108"/>
      <c r="M1145" s="100"/>
      <c r="N1145" s="100"/>
    </row>
    <row r="1146" spans="2:14" s="98" customFormat="1">
      <c r="B1146" s="99" t="s">
        <v>590</v>
      </c>
      <c r="C1146" s="109">
        <v>45921.509722222225</v>
      </c>
      <c r="D1146" s="98" t="s">
        <v>561</v>
      </c>
      <c r="E1146" s="103">
        <v>160</v>
      </c>
      <c r="F1146" s="98" t="s">
        <v>240</v>
      </c>
      <c r="G1146" s="98" t="s">
        <v>374</v>
      </c>
      <c r="H1146" s="98" t="s">
        <v>516</v>
      </c>
      <c r="I1146" s="98" t="s">
        <v>241</v>
      </c>
      <c r="K1146" s="100"/>
      <c r="L1146" s="108"/>
      <c r="M1146" s="100"/>
      <c r="N1146" s="100"/>
    </row>
    <row r="1147" spans="2:14" s="98" customFormat="1">
      <c r="B1147" s="99" t="s">
        <v>590</v>
      </c>
      <c r="C1147" s="109">
        <v>45920.56527777778</v>
      </c>
      <c r="D1147" s="98" t="s">
        <v>561</v>
      </c>
      <c r="E1147" s="103">
        <v>1270</v>
      </c>
      <c r="F1147" s="98" t="s">
        <v>240</v>
      </c>
      <c r="G1147" s="98" t="s">
        <v>374</v>
      </c>
      <c r="H1147" s="98" t="s">
        <v>516</v>
      </c>
      <c r="I1147" s="98" t="s">
        <v>241</v>
      </c>
      <c r="K1147" s="100"/>
      <c r="L1147" s="108"/>
      <c r="M1147" s="100"/>
      <c r="N1147" s="100"/>
    </row>
    <row r="1148" spans="2:14" s="98" customFormat="1">
      <c r="B1148" s="99" t="s">
        <v>590</v>
      </c>
      <c r="C1148" s="109">
        <v>45920.563194444447</v>
      </c>
      <c r="D1148" s="98" t="s">
        <v>172</v>
      </c>
      <c r="E1148" s="103">
        <v>37250</v>
      </c>
      <c r="F1148" s="98" t="s">
        <v>240</v>
      </c>
      <c r="G1148" s="98" t="s">
        <v>374</v>
      </c>
      <c r="H1148" s="98" t="s">
        <v>516</v>
      </c>
      <c r="I1148" s="98" t="s">
        <v>638</v>
      </c>
      <c r="K1148" s="100"/>
      <c r="L1148" s="108"/>
      <c r="M1148" s="100"/>
      <c r="N1148" s="100"/>
    </row>
    <row r="1149" spans="2:14" s="98" customFormat="1">
      <c r="B1149" s="99" t="s">
        <v>590</v>
      </c>
      <c r="C1149" s="109">
        <v>45920.552083333336</v>
      </c>
      <c r="D1149" s="98" t="s">
        <v>588</v>
      </c>
      <c r="E1149" s="103">
        <v>3200</v>
      </c>
      <c r="F1149" s="98" t="s">
        <v>240</v>
      </c>
      <c r="G1149" s="98" t="s">
        <v>374</v>
      </c>
      <c r="H1149" s="98" t="s">
        <v>516</v>
      </c>
      <c r="I1149" s="98" t="s">
        <v>247</v>
      </c>
      <c r="K1149" s="100"/>
      <c r="L1149" s="108"/>
      <c r="M1149" s="100"/>
      <c r="N1149" s="100"/>
    </row>
    <row r="1150" spans="2:14" s="98" customFormat="1">
      <c r="B1150" s="99" t="s">
        <v>590</v>
      </c>
      <c r="C1150" s="109">
        <v>45920</v>
      </c>
      <c r="D1150" s="98" t="s">
        <v>288</v>
      </c>
      <c r="E1150" s="103">
        <v>2369</v>
      </c>
      <c r="F1150" s="98" t="s">
        <v>240</v>
      </c>
      <c r="G1150" s="98" t="s">
        <v>373</v>
      </c>
      <c r="H1150" s="98" t="s">
        <v>516</v>
      </c>
      <c r="I1150" s="98" t="s">
        <v>370</v>
      </c>
      <c r="K1150" s="100"/>
      <c r="L1150" s="108"/>
      <c r="M1150" s="100"/>
      <c r="N1150" s="100"/>
    </row>
    <row r="1151" spans="2:14" s="98" customFormat="1">
      <c r="B1151" s="99" t="s">
        <v>590</v>
      </c>
      <c r="C1151" s="109">
        <v>45919.810416666667</v>
      </c>
      <c r="D1151" s="98" t="s">
        <v>647</v>
      </c>
      <c r="E1151" s="103">
        <v>4900</v>
      </c>
      <c r="F1151" s="98" t="s">
        <v>240</v>
      </c>
      <c r="G1151" s="98" t="s">
        <v>374</v>
      </c>
      <c r="H1151" s="98" t="s">
        <v>516</v>
      </c>
      <c r="I1151" s="98" t="s">
        <v>247</v>
      </c>
      <c r="K1151" s="100"/>
      <c r="L1151" s="108"/>
      <c r="M1151" s="100"/>
      <c r="N1151" s="100"/>
    </row>
    <row r="1152" spans="2:14" s="98" customFormat="1">
      <c r="B1152" s="99" t="s">
        <v>590</v>
      </c>
      <c r="C1152" s="109">
        <v>45919.706250000003</v>
      </c>
      <c r="D1152" s="98" t="s">
        <v>648</v>
      </c>
      <c r="E1152" s="103">
        <v>4000</v>
      </c>
      <c r="F1152" s="98" t="s">
        <v>240</v>
      </c>
      <c r="G1152" s="98" t="s">
        <v>374</v>
      </c>
      <c r="H1152" s="98" t="s">
        <v>516</v>
      </c>
      <c r="I1152" s="98" t="s">
        <v>638</v>
      </c>
      <c r="K1152" s="100"/>
      <c r="L1152" s="108"/>
      <c r="M1152" s="100"/>
      <c r="N1152" s="100"/>
    </row>
    <row r="1153" spans="2:14" s="98" customFormat="1">
      <c r="B1153" s="99" t="s">
        <v>590</v>
      </c>
      <c r="C1153" s="109">
        <v>45919.654861111114</v>
      </c>
      <c r="D1153" s="98" t="s">
        <v>649</v>
      </c>
      <c r="E1153" s="103">
        <v>7000</v>
      </c>
      <c r="F1153" s="98" t="s">
        <v>240</v>
      </c>
      <c r="G1153" s="98" t="s">
        <v>374</v>
      </c>
      <c r="H1153" s="98" t="s">
        <v>516</v>
      </c>
      <c r="I1153" s="98" t="s">
        <v>638</v>
      </c>
      <c r="K1153" s="100"/>
      <c r="L1153" s="108"/>
      <c r="M1153" s="100"/>
      <c r="N1153" s="100"/>
    </row>
    <row r="1154" spans="2:14" s="98" customFormat="1">
      <c r="B1154" s="99" t="s">
        <v>590</v>
      </c>
      <c r="C1154" s="109">
        <v>45918.936111111114</v>
      </c>
      <c r="D1154" s="98" t="s">
        <v>650</v>
      </c>
      <c r="E1154" s="103">
        <v>10000</v>
      </c>
      <c r="F1154" s="98" t="s">
        <v>240</v>
      </c>
      <c r="G1154" s="98" t="s">
        <v>374</v>
      </c>
      <c r="H1154" s="98" t="s">
        <v>516</v>
      </c>
      <c r="I1154" s="98" t="s">
        <v>270</v>
      </c>
      <c r="K1154" s="100"/>
      <c r="L1154" s="108"/>
      <c r="M1154" s="100"/>
      <c r="N1154" s="100"/>
    </row>
    <row r="1155" spans="2:14" s="98" customFormat="1">
      <c r="B1155" s="99" t="s">
        <v>590</v>
      </c>
      <c r="C1155" s="109">
        <v>45917.386805555558</v>
      </c>
      <c r="D1155" s="98" t="s">
        <v>64</v>
      </c>
      <c r="E1155" s="103">
        <v>40000</v>
      </c>
      <c r="F1155" s="98" t="s">
        <v>240</v>
      </c>
      <c r="G1155" s="98" t="s">
        <v>374</v>
      </c>
      <c r="H1155" s="98" t="s">
        <v>516</v>
      </c>
      <c r="I1155" s="98" t="s">
        <v>638</v>
      </c>
      <c r="K1155" s="100"/>
      <c r="L1155" s="108"/>
      <c r="M1155" s="100"/>
      <c r="N1155" s="100"/>
    </row>
    <row r="1156" spans="2:14" s="98" customFormat="1">
      <c r="B1156" s="99" t="s">
        <v>590</v>
      </c>
      <c r="C1156" s="109">
        <v>45917.354861111111</v>
      </c>
      <c r="D1156" s="98" t="s">
        <v>134</v>
      </c>
      <c r="E1156" s="103">
        <v>34000</v>
      </c>
      <c r="F1156" s="98" t="s">
        <v>240</v>
      </c>
      <c r="G1156" s="98" t="s">
        <v>374</v>
      </c>
      <c r="H1156" s="98" t="s">
        <v>516</v>
      </c>
      <c r="I1156" s="98" t="s">
        <v>638</v>
      </c>
      <c r="K1156" s="100"/>
      <c r="L1156" s="108"/>
      <c r="M1156" s="100"/>
      <c r="N1156" s="100"/>
    </row>
    <row r="1157" spans="2:14" s="98" customFormat="1">
      <c r="B1157" s="99" t="s">
        <v>590</v>
      </c>
      <c r="C1157" s="109">
        <v>45917</v>
      </c>
      <c r="D1157" s="98" t="s">
        <v>651</v>
      </c>
      <c r="E1157" s="103">
        <v>1470</v>
      </c>
      <c r="F1157" s="98" t="s">
        <v>240</v>
      </c>
      <c r="G1157" s="98" t="s">
        <v>373</v>
      </c>
      <c r="H1157" s="98" t="s">
        <v>516</v>
      </c>
      <c r="I1157" s="98" t="s">
        <v>241</v>
      </c>
      <c r="K1157" s="100"/>
      <c r="L1157" s="108"/>
      <c r="M1157" s="100"/>
      <c r="N1157" s="100"/>
    </row>
    <row r="1158" spans="2:14" s="98" customFormat="1">
      <c r="B1158" s="99" t="s">
        <v>590</v>
      </c>
      <c r="C1158" s="109">
        <v>45917</v>
      </c>
      <c r="D1158" s="98" t="s">
        <v>652</v>
      </c>
      <c r="E1158" s="103">
        <v>3000</v>
      </c>
      <c r="F1158" s="98" t="s">
        <v>240</v>
      </c>
      <c r="G1158" s="98" t="s">
        <v>373</v>
      </c>
      <c r="H1158" s="98" t="s">
        <v>516</v>
      </c>
      <c r="I1158" s="98" t="s">
        <v>247</v>
      </c>
      <c r="K1158" s="100"/>
      <c r="L1158" s="108"/>
      <c r="M1158" s="100"/>
      <c r="N1158" s="100"/>
    </row>
    <row r="1159" spans="2:14" s="98" customFormat="1">
      <c r="B1159" s="99" t="s">
        <v>590</v>
      </c>
      <c r="C1159" s="109">
        <v>45917</v>
      </c>
      <c r="D1159" s="98" t="s">
        <v>653</v>
      </c>
      <c r="E1159" s="103">
        <v>2695</v>
      </c>
      <c r="F1159" s="98" t="s">
        <v>240</v>
      </c>
      <c r="G1159" s="98" t="s">
        <v>373</v>
      </c>
      <c r="H1159" s="98" t="s">
        <v>516</v>
      </c>
      <c r="I1159" s="98" t="s">
        <v>247</v>
      </c>
      <c r="K1159" s="100"/>
      <c r="L1159" s="108"/>
      <c r="M1159" s="100"/>
      <c r="N1159" s="100"/>
    </row>
    <row r="1160" spans="2:14" s="98" customFormat="1">
      <c r="B1160" s="99" t="s">
        <v>590</v>
      </c>
      <c r="C1160" s="109">
        <v>45916.961111111108</v>
      </c>
      <c r="D1160" s="98" t="s">
        <v>642</v>
      </c>
      <c r="E1160" s="103">
        <v>16800</v>
      </c>
      <c r="F1160" s="98" t="s">
        <v>240</v>
      </c>
      <c r="G1160" s="98" t="s">
        <v>374</v>
      </c>
      <c r="H1160" s="98" t="s">
        <v>516</v>
      </c>
      <c r="I1160" s="98" t="s">
        <v>268</v>
      </c>
      <c r="K1160" s="100"/>
      <c r="L1160" s="108"/>
      <c r="M1160" s="100"/>
      <c r="N1160" s="100"/>
    </row>
    <row r="1161" spans="2:14" s="98" customFormat="1">
      <c r="B1161" s="99" t="s">
        <v>590</v>
      </c>
      <c r="C1161" s="109">
        <v>45916.87777777778</v>
      </c>
      <c r="D1161" s="98" t="s">
        <v>588</v>
      </c>
      <c r="E1161" s="103">
        <v>6000</v>
      </c>
      <c r="F1161" s="98" t="s">
        <v>240</v>
      </c>
      <c r="G1161" s="98" t="s">
        <v>374</v>
      </c>
      <c r="H1161" s="98" t="s">
        <v>516</v>
      </c>
      <c r="I1161" s="98" t="s">
        <v>247</v>
      </c>
      <c r="K1161" s="100"/>
      <c r="L1161" s="108"/>
      <c r="M1161" s="100"/>
      <c r="N1161" s="100"/>
    </row>
    <row r="1162" spans="2:14" s="98" customFormat="1">
      <c r="B1162" s="99" t="s">
        <v>590</v>
      </c>
      <c r="C1162" s="109">
        <v>45916.427083333336</v>
      </c>
      <c r="D1162" s="98" t="s">
        <v>504</v>
      </c>
      <c r="E1162" s="103">
        <v>1737</v>
      </c>
      <c r="F1162" s="98" t="s">
        <v>240</v>
      </c>
      <c r="G1162" s="98" t="s">
        <v>374</v>
      </c>
      <c r="H1162" s="98" t="s">
        <v>516</v>
      </c>
      <c r="I1162" s="98" t="s">
        <v>247</v>
      </c>
      <c r="K1162" s="100"/>
      <c r="L1162" s="108"/>
      <c r="M1162" s="100"/>
      <c r="N1162" s="100"/>
    </row>
    <row r="1163" spans="2:14" s="98" customFormat="1">
      <c r="B1163" s="99" t="s">
        <v>590</v>
      </c>
      <c r="C1163" s="109">
        <v>45916</v>
      </c>
      <c r="D1163" s="98" t="s">
        <v>389</v>
      </c>
      <c r="E1163" s="103">
        <v>1782</v>
      </c>
      <c r="F1163" s="98" t="s">
        <v>240</v>
      </c>
      <c r="G1163" s="98" t="s">
        <v>373</v>
      </c>
      <c r="H1163" s="98" t="s">
        <v>516</v>
      </c>
      <c r="I1163" s="98" t="s">
        <v>242</v>
      </c>
      <c r="K1163" s="100"/>
      <c r="L1163" s="108"/>
      <c r="M1163" s="100"/>
      <c r="N1163" s="100"/>
    </row>
    <row r="1164" spans="2:14" s="98" customFormat="1">
      <c r="B1164" s="99" t="s">
        <v>590</v>
      </c>
      <c r="C1164" s="109">
        <v>45916</v>
      </c>
      <c r="D1164" s="98" t="s">
        <v>389</v>
      </c>
      <c r="E1164" s="103">
        <v>1640</v>
      </c>
      <c r="F1164" s="98" t="s">
        <v>240</v>
      </c>
      <c r="G1164" s="98" t="s">
        <v>373</v>
      </c>
      <c r="H1164" s="98" t="s">
        <v>516</v>
      </c>
      <c r="I1164" s="98" t="s">
        <v>242</v>
      </c>
      <c r="K1164" s="100"/>
      <c r="L1164" s="108"/>
      <c r="M1164" s="100"/>
      <c r="N1164" s="100"/>
    </row>
    <row r="1165" spans="2:14" s="98" customFormat="1">
      <c r="B1165" s="99" t="s">
        <v>590</v>
      </c>
      <c r="C1165" s="109">
        <v>45915.915277777778</v>
      </c>
      <c r="D1165" s="98" t="s">
        <v>589</v>
      </c>
      <c r="E1165" s="103">
        <v>1700</v>
      </c>
      <c r="F1165" s="98" t="s">
        <v>240</v>
      </c>
      <c r="G1165" s="98" t="s">
        <v>374</v>
      </c>
      <c r="H1165" s="98" t="s">
        <v>516</v>
      </c>
      <c r="I1165" s="98" t="s">
        <v>241</v>
      </c>
      <c r="K1165" s="100"/>
      <c r="L1165" s="108"/>
      <c r="M1165" s="100"/>
      <c r="N1165" s="100"/>
    </row>
    <row r="1166" spans="2:14" s="98" customFormat="1">
      <c r="B1166" s="99" t="s">
        <v>590</v>
      </c>
      <c r="C1166" s="109">
        <v>45915.75</v>
      </c>
      <c r="D1166" s="98" t="s">
        <v>641</v>
      </c>
      <c r="E1166" s="103">
        <v>20000</v>
      </c>
      <c r="F1166" s="98" t="s">
        <v>240</v>
      </c>
      <c r="G1166" s="98" t="s">
        <v>374</v>
      </c>
      <c r="H1166" s="98" t="s">
        <v>516</v>
      </c>
      <c r="I1166" s="98" t="s">
        <v>638</v>
      </c>
      <c r="K1166" s="100"/>
      <c r="L1166" s="108"/>
      <c r="M1166" s="100"/>
      <c r="N1166" s="100"/>
    </row>
    <row r="1167" spans="2:14" s="98" customFormat="1">
      <c r="B1167" s="99" t="s">
        <v>590</v>
      </c>
      <c r="C1167" s="109">
        <v>45915.742361111108</v>
      </c>
      <c r="D1167" s="98" t="s">
        <v>640</v>
      </c>
      <c r="E1167" s="103">
        <v>30000</v>
      </c>
      <c r="F1167" s="98" t="s">
        <v>240</v>
      </c>
      <c r="G1167" s="98" t="s">
        <v>374</v>
      </c>
      <c r="H1167" s="98" t="s">
        <v>516</v>
      </c>
      <c r="I1167" s="98" t="s">
        <v>244</v>
      </c>
      <c r="K1167" s="100"/>
      <c r="L1167" s="108"/>
      <c r="M1167" s="100"/>
      <c r="N1167" s="100"/>
    </row>
    <row r="1168" spans="2:14" s="98" customFormat="1">
      <c r="B1168" s="99" t="s">
        <v>590</v>
      </c>
      <c r="C1168" s="109">
        <v>45915.742361111108</v>
      </c>
      <c r="D1168" s="98" t="s">
        <v>12</v>
      </c>
      <c r="E1168" s="103">
        <v>34000</v>
      </c>
      <c r="F1168" s="98" t="s">
        <v>240</v>
      </c>
      <c r="G1168" s="98" t="s">
        <v>374</v>
      </c>
      <c r="H1168" s="98" t="s">
        <v>516</v>
      </c>
      <c r="I1168" s="98" t="s">
        <v>245</v>
      </c>
      <c r="K1168" s="100"/>
      <c r="L1168" s="108"/>
      <c r="M1168" s="100"/>
      <c r="N1168" s="100"/>
    </row>
    <row r="1169" spans="2:14" s="98" customFormat="1">
      <c r="B1169" s="99" t="s">
        <v>590</v>
      </c>
      <c r="C1169" s="109">
        <v>45915.506944444445</v>
      </c>
      <c r="D1169" s="98" t="s">
        <v>642</v>
      </c>
      <c r="E1169" s="103">
        <v>16100</v>
      </c>
      <c r="F1169" s="98" t="s">
        <v>240</v>
      </c>
      <c r="G1169" s="98" t="s">
        <v>374</v>
      </c>
      <c r="H1169" s="98" t="s">
        <v>516</v>
      </c>
      <c r="I1169" s="98" t="s">
        <v>268</v>
      </c>
      <c r="K1169" s="100"/>
      <c r="L1169" s="108"/>
      <c r="M1169" s="100"/>
      <c r="N1169" s="100"/>
    </row>
    <row r="1170" spans="2:14" s="98" customFormat="1">
      <c r="B1170" s="99" t="s">
        <v>590</v>
      </c>
      <c r="C1170" s="109">
        <v>45915</v>
      </c>
      <c r="D1170" s="98" t="s">
        <v>386</v>
      </c>
      <c r="E1170" s="103">
        <v>1190</v>
      </c>
      <c r="F1170" s="98" t="s">
        <v>240</v>
      </c>
      <c r="G1170" s="98" t="s">
        <v>373</v>
      </c>
      <c r="H1170" s="98" t="s">
        <v>516</v>
      </c>
      <c r="I1170" s="98" t="s">
        <v>242</v>
      </c>
      <c r="K1170" s="100"/>
      <c r="L1170" s="108"/>
      <c r="M1170" s="100"/>
      <c r="N1170" s="100"/>
    </row>
    <row r="1171" spans="2:14" s="98" customFormat="1">
      <c r="B1171" s="99" t="s">
        <v>590</v>
      </c>
      <c r="C1171" s="109">
        <v>45915</v>
      </c>
      <c r="D1171" s="98" t="s">
        <v>386</v>
      </c>
      <c r="E1171" s="103">
        <v>1190</v>
      </c>
      <c r="F1171" s="98" t="s">
        <v>240</v>
      </c>
      <c r="G1171" s="98" t="s">
        <v>373</v>
      </c>
      <c r="H1171" s="98" t="s">
        <v>516</v>
      </c>
      <c r="I1171" s="98" t="s">
        <v>242</v>
      </c>
      <c r="K1171" s="100"/>
      <c r="L1171" s="108"/>
      <c r="M1171" s="100"/>
      <c r="N1171" s="100"/>
    </row>
    <row r="1172" spans="2:14" s="98" customFormat="1">
      <c r="B1172" s="99" t="s">
        <v>590</v>
      </c>
      <c r="C1172" s="109">
        <v>45915</v>
      </c>
      <c r="D1172" s="98" t="s">
        <v>386</v>
      </c>
      <c r="E1172" s="103">
        <v>1190</v>
      </c>
      <c r="F1172" s="98" t="s">
        <v>240</v>
      </c>
      <c r="G1172" s="98" t="s">
        <v>373</v>
      </c>
      <c r="H1172" s="98" t="s">
        <v>516</v>
      </c>
      <c r="I1172" s="98" t="s">
        <v>242</v>
      </c>
      <c r="K1172" s="100"/>
      <c r="L1172" s="108"/>
      <c r="M1172" s="100"/>
      <c r="N1172" s="100"/>
    </row>
    <row r="1173" spans="2:14" s="98" customFormat="1">
      <c r="B1173" s="99" t="s">
        <v>590</v>
      </c>
      <c r="C1173" s="109">
        <v>45915</v>
      </c>
      <c r="D1173" s="98" t="s">
        <v>391</v>
      </c>
      <c r="E1173" s="103">
        <v>3700</v>
      </c>
      <c r="F1173" s="98" t="s">
        <v>240</v>
      </c>
      <c r="G1173" s="98" t="s">
        <v>373</v>
      </c>
      <c r="H1173" s="98" t="s">
        <v>516</v>
      </c>
      <c r="I1173" s="98" t="s">
        <v>242</v>
      </c>
      <c r="K1173" s="100"/>
      <c r="L1173" s="108"/>
      <c r="M1173" s="100"/>
      <c r="N1173" s="100"/>
    </row>
    <row r="1174" spans="2:14" s="98" customFormat="1">
      <c r="B1174" s="99" t="s">
        <v>590</v>
      </c>
      <c r="C1174" s="109">
        <v>45914.76666666667</v>
      </c>
      <c r="D1174" s="98" t="s">
        <v>287</v>
      </c>
      <c r="E1174" s="103">
        <v>31313</v>
      </c>
      <c r="F1174" s="98" t="s">
        <v>240</v>
      </c>
      <c r="G1174" s="98" t="s">
        <v>373</v>
      </c>
      <c r="H1174" s="98" t="s">
        <v>516</v>
      </c>
      <c r="I1174" s="98" t="s">
        <v>245</v>
      </c>
      <c r="K1174" s="100"/>
      <c r="L1174" s="108"/>
      <c r="M1174" s="100"/>
      <c r="N1174" s="100"/>
    </row>
    <row r="1175" spans="2:14" s="98" customFormat="1">
      <c r="B1175" s="99" t="s">
        <v>590</v>
      </c>
      <c r="C1175" s="109">
        <v>45914.741666666669</v>
      </c>
      <c r="D1175" s="98" t="s">
        <v>75</v>
      </c>
      <c r="E1175" s="103">
        <v>4490</v>
      </c>
      <c r="F1175" s="98" t="s">
        <v>240</v>
      </c>
      <c r="G1175" s="98" t="s">
        <v>374</v>
      </c>
      <c r="H1175" s="98" t="s">
        <v>516</v>
      </c>
      <c r="I1175" s="98" t="s">
        <v>248</v>
      </c>
      <c r="K1175" s="100"/>
      <c r="L1175" s="108"/>
      <c r="M1175" s="100"/>
      <c r="N1175" s="100"/>
    </row>
    <row r="1176" spans="2:14" s="98" customFormat="1">
      <c r="B1176" s="99" t="s">
        <v>590</v>
      </c>
      <c r="C1176" s="109">
        <v>45914.729166666664</v>
      </c>
      <c r="D1176" s="98" t="s">
        <v>561</v>
      </c>
      <c r="E1176" s="103">
        <v>1550</v>
      </c>
      <c r="F1176" s="98" t="s">
        <v>240</v>
      </c>
      <c r="G1176" s="98" t="s">
        <v>374</v>
      </c>
      <c r="H1176" s="98" t="s">
        <v>516</v>
      </c>
      <c r="I1176" s="98" t="s">
        <v>241</v>
      </c>
      <c r="K1176" s="100"/>
      <c r="L1176" s="108"/>
      <c r="M1176" s="100"/>
      <c r="N1176" s="100"/>
    </row>
    <row r="1177" spans="2:14" s="98" customFormat="1">
      <c r="B1177" s="99" t="s">
        <v>590</v>
      </c>
      <c r="C1177" s="109">
        <v>45914.492361111108</v>
      </c>
      <c r="D1177" s="98" t="s">
        <v>620</v>
      </c>
      <c r="E1177" s="103">
        <v>3400</v>
      </c>
      <c r="F1177" s="98" t="s">
        <v>240</v>
      </c>
      <c r="G1177" s="98" t="s">
        <v>373</v>
      </c>
      <c r="H1177" s="98" t="s">
        <v>516</v>
      </c>
      <c r="I1177" s="98" t="s">
        <v>247</v>
      </c>
      <c r="K1177" s="100"/>
      <c r="L1177" s="108"/>
      <c r="M1177" s="100"/>
      <c r="N1177" s="100"/>
    </row>
    <row r="1178" spans="2:14" s="98" customFormat="1">
      <c r="B1178" s="99" t="s">
        <v>590</v>
      </c>
      <c r="C1178" s="109">
        <v>45914.490277777775</v>
      </c>
      <c r="D1178" s="98" t="s">
        <v>500</v>
      </c>
      <c r="E1178" s="103">
        <v>13900</v>
      </c>
      <c r="F1178" s="98" t="s">
        <v>240</v>
      </c>
      <c r="G1178" s="98" t="s">
        <v>374</v>
      </c>
      <c r="H1178" s="98" t="s">
        <v>516</v>
      </c>
      <c r="I1178" s="98" t="s">
        <v>244</v>
      </c>
      <c r="K1178" s="100"/>
      <c r="L1178" s="108"/>
      <c r="M1178" s="100"/>
      <c r="N1178" s="100"/>
    </row>
    <row r="1179" spans="2:14" s="98" customFormat="1">
      <c r="B1179" s="99" t="s">
        <v>590</v>
      </c>
      <c r="C1179" s="109">
        <v>45913.911805555559</v>
      </c>
      <c r="D1179" s="98" t="s">
        <v>631</v>
      </c>
      <c r="E1179" s="103">
        <v>12100</v>
      </c>
      <c r="F1179" s="98" t="s">
        <v>240</v>
      </c>
      <c r="G1179" s="98" t="s">
        <v>374</v>
      </c>
      <c r="H1179" s="98" t="s">
        <v>516</v>
      </c>
      <c r="I1179" s="98" t="s">
        <v>248</v>
      </c>
      <c r="K1179" s="100"/>
      <c r="L1179" s="108"/>
      <c r="M1179" s="100"/>
      <c r="N1179" s="100"/>
    </row>
    <row r="1180" spans="2:14" s="98" customFormat="1">
      <c r="B1180" s="99" t="s">
        <v>590</v>
      </c>
      <c r="C1180" s="109">
        <v>45913.90625</v>
      </c>
      <c r="D1180" s="98" t="s">
        <v>621</v>
      </c>
      <c r="E1180" s="103">
        <v>13600</v>
      </c>
      <c r="F1180" s="98" t="s">
        <v>240</v>
      </c>
      <c r="G1180" s="98" t="s">
        <v>373</v>
      </c>
      <c r="H1180" s="98" t="s">
        <v>516</v>
      </c>
      <c r="I1180" s="98" t="s">
        <v>268</v>
      </c>
      <c r="K1180" s="100"/>
      <c r="L1180" s="108"/>
      <c r="M1180" s="100"/>
      <c r="N1180" s="100"/>
    </row>
    <row r="1181" spans="2:14" s="98" customFormat="1">
      <c r="B1181" s="99" t="s">
        <v>590</v>
      </c>
      <c r="C1181" s="109">
        <v>45913.904861111114</v>
      </c>
      <c r="D1181" s="98" t="s">
        <v>621</v>
      </c>
      <c r="E1181" s="103">
        <v>9200</v>
      </c>
      <c r="F1181" s="98" t="s">
        <v>240</v>
      </c>
      <c r="G1181" s="98" t="s">
        <v>373</v>
      </c>
      <c r="H1181" s="98" t="s">
        <v>516</v>
      </c>
      <c r="I1181" s="98" t="s">
        <v>268</v>
      </c>
      <c r="K1181" s="100"/>
      <c r="L1181" s="108"/>
      <c r="M1181" s="100"/>
      <c r="N1181" s="100"/>
    </row>
    <row r="1182" spans="2:14" s="98" customFormat="1">
      <c r="B1182" s="99" t="s">
        <v>590</v>
      </c>
      <c r="C1182" s="109">
        <v>45913.52847222222</v>
      </c>
      <c r="D1182" s="98" t="s">
        <v>597</v>
      </c>
      <c r="E1182" s="103">
        <v>30990</v>
      </c>
      <c r="F1182" s="98" t="s">
        <v>240</v>
      </c>
      <c r="G1182" s="98" t="s">
        <v>373</v>
      </c>
      <c r="H1182" s="98" t="s">
        <v>516</v>
      </c>
      <c r="I1182" s="98" t="s">
        <v>243</v>
      </c>
      <c r="K1182" s="100"/>
      <c r="L1182" s="108"/>
      <c r="M1182" s="100"/>
      <c r="N1182" s="100"/>
    </row>
    <row r="1183" spans="2:14" s="98" customFormat="1">
      <c r="B1183" s="99" t="s">
        <v>590</v>
      </c>
      <c r="C1183" s="109">
        <v>45913.506944444445</v>
      </c>
      <c r="D1183" s="98" t="s">
        <v>622</v>
      </c>
      <c r="E1183" s="103">
        <v>1820</v>
      </c>
      <c r="F1183" s="98" t="s">
        <v>240</v>
      </c>
      <c r="G1183" s="98" t="s">
        <v>373</v>
      </c>
      <c r="H1183" s="98" t="s">
        <v>516</v>
      </c>
      <c r="I1183" s="98" t="s">
        <v>247</v>
      </c>
      <c r="K1183" s="100"/>
      <c r="L1183" s="108"/>
      <c r="M1183" s="100"/>
      <c r="N1183" s="100"/>
    </row>
    <row r="1184" spans="2:14" s="98" customFormat="1">
      <c r="B1184" s="99" t="s">
        <v>590</v>
      </c>
      <c r="C1184" s="109">
        <v>45913.504166666666</v>
      </c>
      <c r="D1184" s="98" t="s">
        <v>623</v>
      </c>
      <c r="E1184" s="103">
        <v>11390</v>
      </c>
      <c r="F1184" s="98" t="s">
        <v>240</v>
      </c>
      <c r="G1184" s="98" t="s">
        <v>373</v>
      </c>
      <c r="H1184" s="98" t="s">
        <v>516</v>
      </c>
      <c r="I1184" s="98" t="s">
        <v>245</v>
      </c>
      <c r="K1184" s="100"/>
      <c r="L1184" s="108"/>
      <c r="M1184" s="100"/>
      <c r="N1184" s="100"/>
    </row>
    <row r="1185" spans="2:14" s="98" customFormat="1">
      <c r="B1185" s="99" t="s">
        <v>590</v>
      </c>
      <c r="C1185" s="109">
        <v>45913.450694444444</v>
      </c>
      <c r="D1185" s="98" t="s">
        <v>598</v>
      </c>
      <c r="E1185" s="103">
        <v>2300</v>
      </c>
      <c r="F1185" s="98" t="s">
        <v>240</v>
      </c>
      <c r="G1185" s="98" t="s">
        <v>373</v>
      </c>
      <c r="H1185" s="98" t="s">
        <v>516</v>
      </c>
      <c r="I1185" s="98" t="s">
        <v>247</v>
      </c>
      <c r="K1185" s="100"/>
      <c r="L1185" s="108"/>
      <c r="M1185" s="100"/>
      <c r="N1185" s="100"/>
    </row>
    <row r="1186" spans="2:14" s="98" customFormat="1">
      <c r="B1186" s="99" t="s">
        <v>590</v>
      </c>
      <c r="C1186" s="109">
        <v>45912.40625</v>
      </c>
      <c r="D1186" s="98" t="s">
        <v>30</v>
      </c>
      <c r="E1186" s="103">
        <v>2300</v>
      </c>
      <c r="F1186" s="98" t="s">
        <v>240</v>
      </c>
      <c r="G1186" s="98" t="s">
        <v>374</v>
      </c>
      <c r="H1186" s="98" t="s">
        <v>516</v>
      </c>
      <c r="I1186" s="98" t="s">
        <v>247</v>
      </c>
      <c r="K1186" s="100"/>
      <c r="L1186" s="108"/>
      <c r="M1186" s="100"/>
      <c r="N1186" s="100"/>
    </row>
    <row r="1187" spans="2:14" s="98" customFormat="1">
      <c r="B1187" s="99" t="s">
        <v>590</v>
      </c>
      <c r="C1187" s="109">
        <v>45912</v>
      </c>
      <c r="D1187" s="98" t="s">
        <v>303</v>
      </c>
      <c r="E1187" s="103">
        <v>7990</v>
      </c>
      <c r="F1187" s="98" t="s">
        <v>240</v>
      </c>
      <c r="G1187" s="98" t="s">
        <v>373</v>
      </c>
      <c r="H1187" s="98" t="s">
        <v>516</v>
      </c>
      <c r="I1187" s="98" t="s">
        <v>244</v>
      </c>
      <c r="K1187" s="100"/>
      <c r="L1187" s="108"/>
      <c r="M1187" s="100"/>
      <c r="N1187" s="100"/>
    </row>
    <row r="1188" spans="2:14" s="98" customFormat="1">
      <c r="B1188" s="99" t="s">
        <v>590</v>
      </c>
      <c r="C1188" s="109">
        <v>45912</v>
      </c>
      <c r="D1188" s="98" t="s">
        <v>340</v>
      </c>
      <c r="E1188" s="103">
        <v>17710</v>
      </c>
      <c r="F1188" s="98" t="s">
        <v>240</v>
      </c>
      <c r="G1188" s="98" t="s">
        <v>373</v>
      </c>
      <c r="H1188" s="98" t="s">
        <v>516</v>
      </c>
      <c r="I1188" s="98" t="s">
        <v>248</v>
      </c>
      <c r="K1188" s="100"/>
      <c r="L1188" s="108"/>
      <c r="M1188" s="100"/>
      <c r="N1188" s="100"/>
    </row>
    <row r="1189" spans="2:14" s="98" customFormat="1">
      <c r="B1189" s="99" t="s">
        <v>590</v>
      </c>
      <c r="C1189" s="109">
        <v>45912</v>
      </c>
      <c r="D1189" s="98" t="s">
        <v>307</v>
      </c>
      <c r="E1189" s="103">
        <v>3980</v>
      </c>
      <c r="F1189" s="98" t="s">
        <v>240</v>
      </c>
      <c r="G1189" s="98" t="s">
        <v>373</v>
      </c>
      <c r="H1189" s="98" t="s">
        <v>516</v>
      </c>
      <c r="I1189" s="98" t="s">
        <v>245</v>
      </c>
      <c r="K1189" s="100"/>
      <c r="L1189" s="108"/>
      <c r="M1189" s="100"/>
      <c r="N1189" s="100"/>
    </row>
    <row r="1190" spans="2:14" s="98" customFormat="1">
      <c r="B1190" s="99" t="s">
        <v>590</v>
      </c>
      <c r="C1190" s="109">
        <v>45912</v>
      </c>
      <c r="D1190" s="98" t="s">
        <v>624</v>
      </c>
      <c r="E1190" s="103">
        <v>17123</v>
      </c>
      <c r="F1190" s="98" t="s">
        <v>240</v>
      </c>
      <c r="G1190" s="98" t="s">
        <v>373</v>
      </c>
      <c r="H1190" s="98" t="s">
        <v>516</v>
      </c>
      <c r="I1190" s="98" t="s">
        <v>245</v>
      </c>
      <c r="K1190" s="100"/>
      <c r="L1190" s="108"/>
      <c r="M1190" s="100"/>
      <c r="N1190" s="100"/>
    </row>
    <row r="1191" spans="2:14" s="98" customFormat="1">
      <c r="B1191" s="99" t="s">
        <v>590</v>
      </c>
      <c r="C1191" s="109">
        <v>45911.965277777781</v>
      </c>
      <c r="D1191" s="98" t="s">
        <v>11</v>
      </c>
      <c r="E1191" s="103">
        <v>-450000</v>
      </c>
      <c r="F1191" s="98" t="s">
        <v>239</v>
      </c>
      <c r="I1191" s="98" t="s">
        <v>246</v>
      </c>
      <c r="K1191" s="100"/>
      <c r="L1191" s="108"/>
      <c r="M1191" s="100"/>
      <c r="N1191" s="100"/>
    </row>
    <row r="1192" spans="2:14" s="98" customFormat="1">
      <c r="B1192" s="99" t="s">
        <v>590</v>
      </c>
      <c r="C1192" s="109">
        <v>45911.965277777781</v>
      </c>
      <c r="D1192" s="98" t="s">
        <v>11</v>
      </c>
      <c r="E1192" s="103">
        <v>-120000</v>
      </c>
      <c r="F1192" s="98" t="s">
        <v>239</v>
      </c>
      <c r="I1192" s="98" t="s">
        <v>246</v>
      </c>
      <c r="K1192" s="100"/>
      <c r="L1192" s="108"/>
      <c r="M1192" s="100"/>
      <c r="N1192" s="100"/>
    </row>
    <row r="1193" spans="2:14" s="98" customFormat="1">
      <c r="B1193" s="99" t="s">
        <v>590</v>
      </c>
      <c r="C1193" s="109">
        <v>45911.825694444444</v>
      </c>
      <c r="D1193" s="98" t="s">
        <v>56</v>
      </c>
      <c r="E1193" s="103">
        <v>5100</v>
      </c>
      <c r="F1193" s="98" t="s">
        <v>240</v>
      </c>
      <c r="G1193" s="98" t="s">
        <v>374</v>
      </c>
      <c r="H1193" s="98" t="s">
        <v>516</v>
      </c>
      <c r="I1193" s="98" t="s">
        <v>247</v>
      </c>
      <c r="K1193" s="100"/>
      <c r="L1193" s="108"/>
      <c r="M1193" s="100"/>
      <c r="N1193" s="100"/>
    </row>
    <row r="1194" spans="2:14" s="98" customFormat="1">
      <c r="B1194" s="99" t="s">
        <v>590</v>
      </c>
      <c r="C1194" s="109">
        <v>45911.796527777777</v>
      </c>
      <c r="D1194" s="98" t="s">
        <v>97</v>
      </c>
      <c r="E1194" s="103">
        <v>7290</v>
      </c>
      <c r="F1194" s="98" t="s">
        <v>240</v>
      </c>
      <c r="G1194" s="98" t="s">
        <v>374</v>
      </c>
      <c r="H1194" s="98" t="s">
        <v>516</v>
      </c>
      <c r="I1194" s="98" t="s">
        <v>244</v>
      </c>
      <c r="K1194" s="100"/>
      <c r="L1194" s="108"/>
      <c r="M1194" s="100"/>
      <c r="N1194" s="100"/>
    </row>
    <row r="1195" spans="2:14" s="98" customFormat="1">
      <c r="B1195" s="99" t="s">
        <v>590</v>
      </c>
      <c r="C1195" s="109">
        <v>45911.768750000003</v>
      </c>
      <c r="D1195" s="98" t="s">
        <v>73</v>
      </c>
      <c r="E1195" s="103">
        <v>15000</v>
      </c>
      <c r="F1195" s="98" t="s">
        <v>240</v>
      </c>
      <c r="G1195" s="98" t="s">
        <v>374</v>
      </c>
      <c r="H1195" s="98" t="s">
        <v>516</v>
      </c>
      <c r="I1195" s="98" t="s">
        <v>251</v>
      </c>
      <c r="K1195" s="100"/>
      <c r="L1195" s="108"/>
      <c r="M1195" s="100"/>
      <c r="N1195" s="100"/>
    </row>
    <row r="1196" spans="2:14" s="98" customFormat="1">
      <c r="B1196" s="99" t="s">
        <v>590</v>
      </c>
      <c r="C1196" s="109">
        <v>45911.650694444441</v>
      </c>
      <c r="D1196" s="98" t="s">
        <v>46</v>
      </c>
      <c r="E1196" s="103">
        <v>1800</v>
      </c>
      <c r="F1196" s="98" t="s">
        <v>240</v>
      </c>
      <c r="G1196" s="98" t="s">
        <v>374</v>
      </c>
      <c r="H1196" s="98" t="s">
        <v>516</v>
      </c>
      <c r="I1196" s="98" t="s">
        <v>247</v>
      </c>
      <c r="K1196" s="100"/>
      <c r="L1196" s="108"/>
      <c r="M1196" s="100"/>
      <c r="N1196" s="100"/>
    </row>
    <row r="1197" spans="2:14" s="98" customFormat="1">
      <c r="B1197" s="99" t="s">
        <v>590</v>
      </c>
      <c r="C1197" s="109">
        <v>45911.603472222225</v>
      </c>
      <c r="D1197" s="98" t="s">
        <v>561</v>
      </c>
      <c r="E1197" s="103">
        <v>1020</v>
      </c>
      <c r="F1197" s="98" t="s">
        <v>240</v>
      </c>
      <c r="G1197" s="98" t="s">
        <v>374</v>
      </c>
      <c r="H1197" s="98" t="s">
        <v>516</v>
      </c>
      <c r="I1197" s="98" t="s">
        <v>241</v>
      </c>
      <c r="K1197" s="100"/>
      <c r="L1197" s="108"/>
      <c r="M1197" s="100"/>
      <c r="N1197" s="100"/>
    </row>
    <row r="1198" spans="2:14" s="98" customFormat="1">
      <c r="B1198" s="99" t="s">
        <v>590</v>
      </c>
      <c r="C1198" s="109">
        <v>45911.602777777778</v>
      </c>
      <c r="D1198" s="98" t="s">
        <v>172</v>
      </c>
      <c r="E1198" s="103">
        <v>7990</v>
      </c>
      <c r="F1198" s="98" t="s">
        <v>240</v>
      </c>
      <c r="G1198" s="98" t="s">
        <v>374</v>
      </c>
      <c r="H1198" s="98" t="s">
        <v>516</v>
      </c>
      <c r="I1198" s="98" t="s">
        <v>245</v>
      </c>
      <c r="K1198" s="100"/>
      <c r="L1198" s="108"/>
      <c r="M1198" s="100"/>
      <c r="N1198" s="100"/>
    </row>
    <row r="1199" spans="2:14" s="98" customFormat="1">
      <c r="B1199" s="99" t="s">
        <v>590</v>
      </c>
      <c r="C1199" s="109">
        <v>45911.6</v>
      </c>
      <c r="D1199" s="98" t="s">
        <v>588</v>
      </c>
      <c r="E1199" s="103">
        <v>100</v>
      </c>
      <c r="F1199" s="98" t="s">
        <v>240</v>
      </c>
      <c r="G1199" s="98" t="s">
        <v>374</v>
      </c>
      <c r="H1199" s="98" t="s">
        <v>516</v>
      </c>
      <c r="I1199" s="98" t="s">
        <v>247</v>
      </c>
      <c r="K1199" s="100"/>
      <c r="L1199" s="108"/>
      <c r="M1199" s="100"/>
      <c r="N1199" s="100"/>
    </row>
    <row r="1200" spans="2:14" s="98" customFormat="1">
      <c r="B1200" s="99" t="s">
        <v>590</v>
      </c>
      <c r="C1200" s="109">
        <v>45911.6</v>
      </c>
      <c r="D1200" s="98" t="s">
        <v>588</v>
      </c>
      <c r="E1200" s="103">
        <v>1500</v>
      </c>
      <c r="F1200" s="98" t="s">
        <v>240</v>
      </c>
      <c r="G1200" s="98" t="s">
        <v>374</v>
      </c>
      <c r="H1200" s="98" t="s">
        <v>516</v>
      </c>
      <c r="I1200" s="98" t="s">
        <v>247</v>
      </c>
      <c r="K1200" s="100"/>
      <c r="L1200" s="108"/>
      <c r="M1200" s="100"/>
      <c r="N1200" s="100"/>
    </row>
    <row r="1201" spans="2:14" s="98" customFormat="1">
      <c r="B1201" s="99" t="s">
        <v>590</v>
      </c>
      <c r="C1201" s="109">
        <v>45911.488888888889</v>
      </c>
      <c r="D1201" s="98" t="s">
        <v>632</v>
      </c>
      <c r="E1201" s="103">
        <v>5000</v>
      </c>
      <c r="F1201" s="98" t="s">
        <v>240</v>
      </c>
      <c r="G1201" s="98" t="s">
        <v>374</v>
      </c>
      <c r="H1201" s="98" t="s">
        <v>516</v>
      </c>
      <c r="I1201" s="98" t="s">
        <v>273</v>
      </c>
      <c r="K1201" s="100"/>
      <c r="L1201" s="108"/>
      <c r="M1201" s="100"/>
      <c r="N1201" s="100"/>
    </row>
    <row r="1202" spans="2:14" s="98" customFormat="1">
      <c r="B1202" s="99" t="s">
        <v>590</v>
      </c>
      <c r="C1202" s="109">
        <v>45911</v>
      </c>
      <c r="D1202" s="98" t="s">
        <v>528</v>
      </c>
      <c r="E1202" s="103">
        <v>500</v>
      </c>
      <c r="F1202" s="98" t="s">
        <v>240</v>
      </c>
      <c r="G1202" s="98" t="s">
        <v>373</v>
      </c>
      <c r="H1202" s="98" t="s">
        <v>516</v>
      </c>
      <c r="I1202" s="98" t="s">
        <v>241</v>
      </c>
      <c r="K1202" s="100"/>
      <c r="L1202" s="108"/>
      <c r="M1202" s="100"/>
      <c r="N1202" s="100"/>
    </row>
    <row r="1203" spans="2:14" s="98" customFormat="1">
      <c r="B1203" s="99" t="s">
        <v>590</v>
      </c>
      <c r="C1203" s="109">
        <v>45909</v>
      </c>
      <c r="D1203" s="98" t="s">
        <v>625</v>
      </c>
      <c r="E1203" s="103">
        <v>4800</v>
      </c>
      <c r="F1203" s="98" t="s">
        <v>240</v>
      </c>
      <c r="G1203" s="98" t="s">
        <v>373</v>
      </c>
      <c r="H1203" s="98" t="s">
        <v>516</v>
      </c>
      <c r="I1203" s="98" t="s">
        <v>251</v>
      </c>
      <c r="K1203" s="100"/>
      <c r="L1203" s="108"/>
      <c r="M1203" s="100"/>
      <c r="N1203" s="100"/>
    </row>
    <row r="1204" spans="2:14" s="98" customFormat="1">
      <c r="B1204" s="99" t="s">
        <v>590</v>
      </c>
      <c r="C1204" s="109">
        <v>45909</v>
      </c>
      <c r="D1204" s="98" t="s">
        <v>604</v>
      </c>
      <c r="E1204" s="103">
        <v>1800</v>
      </c>
      <c r="F1204" s="98" t="s">
        <v>240</v>
      </c>
      <c r="G1204" s="98" t="s">
        <v>373</v>
      </c>
      <c r="H1204" s="98" t="s">
        <v>516</v>
      </c>
      <c r="I1204" s="98" t="s">
        <v>247</v>
      </c>
      <c r="K1204" s="100"/>
      <c r="L1204" s="108"/>
      <c r="M1204" s="100"/>
      <c r="N1204" s="100"/>
    </row>
    <row r="1205" spans="2:14" s="98" customFormat="1">
      <c r="B1205" s="99" t="s">
        <v>590</v>
      </c>
      <c r="C1205" s="109">
        <v>45909</v>
      </c>
      <c r="D1205" s="98" t="s">
        <v>297</v>
      </c>
      <c r="E1205" s="103">
        <v>4280</v>
      </c>
      <c r="F1205" s="98" t="s">
        <v>240</v>
      </c>
      <c r="G1205" s="98" t="s">
        <v>373</v>
      </c>
      <c r="H1205" s="98" t="s">
        <v>516</v>
      </c>
      <c r="I1205" s="98" t="s">
        <v>247</v>
      </c>
      <c r="K1205" s="100"/>
      <c r="L1205" s="108"/>
      <c r="M1205" s="100"/>
      <c r="N1205" s="100"/>
    </row>
    <row r="1206" spans="2:14" s="98" customFormat="1">
      <c r="B1206" s="99" t="s">
        <v>590</v>
      </c>
      <c r="C1206" s="109">
        <v>45909</v>
      </c>
      <c r="D1206" s="98" t="s">
        <v>626</v>
      </c>
      <c r="E1206" s="103">
        <v>2412</v>
      </c>
      <c r="F1206" s="98" t="s">
        <v>240</v>
      </c>
      <c r="G1206" s="98" t="s">
        <v>373</v>
      </c>
      <c r="H1206" s="98" t="s">
        <v>516</v>
      </c>
      <c r="I1206" s="98" t="s">
        <v>245</v>
      </c>
      <c r="K1206" s="100"/>
      <c r="L1206" s="108"/>
      <c r="M1206" s="100"/>
      <c r="N1206" s="100"/>
    </row>
    <row r="1207" spans="2:14" s="98" customFormat="1">
      <c r="B1207" s="99" t="s">
        <v>590</v>
      </c>
      <c r="C1207" s="109">
        <v>45908.813194444447</v>
      </c>
      <c r="D1207" s="98" t="s">
        <v>47</v>
      </c>
      <c r="E1207" s="103">
        <v>1790</v>
      </c>
      <c r="F1207" s="98" t="s">
        <v>240</v>
      </c>
      <c r="G1207" s="98" t="s">
        <v>374</v>
      </c>
      <c r="H1207" s="98" t="s">
        <v>516</v>
      </c>
      <c r="I1207" s="98" t="s">
        <v>544</v>
      </c>
      <c r="K1207" s="100"/>
      <c r="L1207" s="108"/>
      <c r="M1207" s="100"/>
      <c r="N1207" s="100"/>
    </row>
    <row r="1208" spans="2:14" s="98" customFormat="1">
      <c r="B1208" s="99" t="s">
        <v>590</v>
      </c>
      <c r="C1208" s="109">
        <v>45908.739583333336</v>
      </c>
      <c r="D1208" s="98" t="s">
        <v>94</v>
      </c>
      <c r="E1208" s="103">
        <v>11880</v>
      </c>
      <c r="F1208" s="98" t="s">
        <v>240</v>
      </c>
      <c r="G1208" s="98" t="s">
        <v>374</v>
      </c>
      <c r="H1208" s="98" t="s">
        <v>516</v>
      </c>
      <c r="I1208" s="98" t="s">
        <v>244</v>
      </c>
      <c r="K1208" s="100"/>
      <c r="L1208" s="108"/>
      <c r="M1208" s="100"/>
      <c r="N1208" s="100"/>
    </row>
    <row r="1209" spans="2:14" s="98" customFormat="1">
      <c r="B1209" s="99" t="s">
        <v>590</v>
      </c>
      <c r="C1209" s="109">
        <v>45908.370833333334</v>
      </c>
      <c r="D1209" s="98" t="s">
        <v>48</v>
      </c>
      <c r="E1209" s="103">
        <v>110000</v>
      </c>
      <c r="F1209" s="98" t="s">
        <v>240</v>
      </c>
      <c r="G1209" s="98" t="s">
        <v>374</v>
      </c>
      <c r="H1209" s="98" t="s">
        <v>513</v>
      </c>
      <c r="I1209" s="98" t="s">
        <v>273</v>
      </c>
      <c r="K1209" s="100"/>
      <c r="L1209" s="108"/>
      <c r="M1209" s="100"/>
      <c r="N1209" s="100"/>
    </row>
    <row r="1210" spans="2:14" s="98" customFormat="1">
      <c r="B1210" s="99" t="s">
        <v>590</v>
      </c>
      <c r="C1210" s="109">
        <v>45908</v>
      </c>
      <c r="D1210" s="98" t="s">
        <v>386</v>
      </c>
      <c r="E1210" s="103">
        <v>1190</v>
      </c>
      <c r="F1210" s="98" t="s">
        <v>240</v>
      </c>
      <c r="G1210" s="98" t="s">
        <v>373</v>
      </c>
      <c r="H1210" s="98" t="s">
        <v>516</v>
      </c>
      <c r="I1210" s="98" t="s">
        <v>242</v>
      </c>
      <c r="K1210" s="100"/>
      <c r="L1210" s="108"/>
      <c r="M1210" s="100"/>
      <c r="N1210" s="100"/>
    </row>
    <row r="1211" spans="2:14" s="98" customFormat="1">
      <c r="B1211" s="99" t="s">
        <v>590</v>
      </c>
      <c r="C1211" s="109">
        <v>45908</v>
      </c>
      <c r="D1211" s="98" t="s">
        <v>386</v>
      </c>
      <c r="E1211" s="103">
        <v>1190</v>
      </c>
      <c r="F1211" s="98" t="s">
        <v>240</v>
      </c>
      <c r="G1211" s="98" t="s">
        <v>373</v>
      </c>
      <c r="H1211" s="98" t="s">
        <v>516</v>
      </c>
      <c r="I1211" s="98" t="s">
        <v>242</v>
      </c>
      <c r="K1211" s="100"/>
      <c r="L1211" s="108"/>
      <c r="M1211" s="100"/>
      <c r="N1211" s="100"/>
    </row>
    <row r="1212" spans="2:14" s="98" customFormat="1">
      <c r="B1212" s="99" t="s">
        <v>590</v>
      </c>
      <c r="C1212" s="109">
        <v>45908</v>
      </c>
      <c r="D1212" s="98" t="s">
        <v>388</v>
      </c>
      <c r="E1212" s="103">
        <v>1700</v>
      </c>
      <c r="F1212" s="98" t="s">
        <v>240</v>
      </c>
      <c r="G1212" s="98" t="s">
        <v>373</v>
      </c>
      <c r="H1212" s="98" t="s">
        <v>516</v>
      </c>
      <c r="I1212" s="98" t="s">
        <v>242</v>
      </c>
      <c r="K1212" s="100"/>
      <c r="L1212" s="108"/>
      <c r="M1212" s="100"/>
      <c r="N1212" s="100"/>
    </row>
    <row r="1213" spans="2:14" s="98" customFormat="1">
      <c r="B1213" s="99" t="s">
        <v>590</v>
      </c>
      <c r="C1213" s="109">
        <v>45908</v>
      </c>
      <c r="D1213" s="98" t="s">
        <v>391</v>
      </c>
      <c r="E1213" s="103">
        <v>3700</v>
      </c>
      <c r="F1213" s="98" t="s">
        <v>240</v>
      </c>
      <c r="G1213" s="98" t="s">
        <v>373</v>
      </c>
      <c r="H1213" s="98" t="s">
        <v>516</v>
      </c>
      <c r="I1213" s="98" t="s">
        <v>242</v>
      </c>
      <c r="K1213" s="100"/>
      <c r="L1213" s="108"/>
      <c r="M1213" s="100"/>
      <c r="N1213" s="100"/>
    </row>
    <row r="1214" spans="2:14" s="98" customFormat="1">
      <c r="B1214" s="99" t="s">
        <v>590</v>
      </c>
      <c r="C1214" s="109">
        <v>45908</v>
      </c>
      <c r="D1214" s="98" t="s">
        <v>493</v>
      </c>
      <c r="E1214" s="103">
        <v>22806</v>
      </c>
      <c r="F1214" s="98" t="s">
        <v>240</v>
      </c>
      <c r="G1214" s="98" t="s">
        <v>373</v>
      </c>
      <c r="H1214" s="98" t="s">
        <v>516</v>
      </c>
      <c r="I1214" s="98" t="s">
        <v>245</v>
      </c>
      <c r="K1214" s="100"/>
      <c r="L1214" s="108"/>
      <c r="M1214" s="100"/>
      <c r="N1214" s="100"/>
    </row>
    <row r="1215" spans="2:14" s="98" customFormat="1">
      <c r="B1215" s="99" t="s">
        <v>590</v>
      </c>
      <c r="C1215" s="109">
        <v>45907</v>
      </c>
      <c r="D1215" s="98" t="s">
        <v>627</v>
      </c>
      <c r="E1215" s="103">
        <v>6000</v>
      </c>
      <c r="F1215" s="98" t="s">
        <v>240</v>
      </c>
      <c r="G1215" s="98" t="s">
        <v>373</v>
      </c>
      <c r="H1215" s="98" t="s">
        <v>516</v>
      </c>
      <c r="I1215" s="98" t="s">
        <v>245</v>
      </c>
      <c r="K1215" s="100"/>
      <c r="L1215" s="108"/>
      <c r="M1215" s="100"/>
      <c r="N1215" s="100"/>
    </row>
    <row r="1216" spans="2:14" s="98" customFormat="1">
      <c r="B1216" s="99" t="s">
        <v>590</v>
      </c>
      <c r="C1216" s="109">
        <v>45907</v>
      </c>
      <c r="D1216" s="98" t="s">
        <v>628</v>
      </c>
      <c r="E1216" s="103">
        <v>77605</v>
      </c>
      <c r="F1216" s="98" t="s">
        <v>240</v>
      </c>
      <c r="G1216" s="98" t="s">
        <v>373</v>
      </c>
      <c r="H1216" s="98" t="s">
        <v>516</v>
      </c>
      <c r="I1216" s="98" t="s">
        <v>245</v>
      </c>
      <c r="K1216" s="100"/>
      <c r="L1216" s="108"/>
      <c r="M1216" s="100"/>
      <c r="N1216" s="100"/>
    </row>
    <row r="1217" spans="2:14" s="98" customFormat="1">
      <c r="B1217" s="99" t="s">
        <v>590</v>
      </c>
      <c r="C1217" s="109">
        <v>45906.797222222223</v>
      </c>
      <c r="D1217" s="98" t="s">
        <v>633</v>
      </c>
      <c r="E1217" s="103">
        <v>13980</v>
      </c>
      <c r="F1217" s="98" t="s">
        <v>240</v>
      </c>
      <c r="G1217" s="98" t="s">
        <v>374</v>
      </c>
      <c r="H1217" s="98" t="s">
        <v>516</v>
      </c>
      <c r="I1217" s="98" t="s">
        <v>243</v>
      </c>
      <c r="K1217" s="100"/>
      <c r="L1217" s="108"/>
      <c r="M1217" s="100"/>
      <c r="N1217" s="100"/>
    </row>
    <row r="1218" spans="2:14" s="98" customFormat="1">
      <c r="B1218" s="99" t="s">
        <v>590</v>
      </c>
      <c r="C1218" s="109">
        <v>45906.791666666664</v>
      </c>
      <c r="D1218" s="98" t="s">
        <v>634</v>
      </c>
      <c r="E1218" s="103">
        <v>7990</v>
      </c>
      <c r="F1218" s="98" t="s">
        <v>240</v>
      </c>
      <c r="G1218" s="98" t="s">
        <v>374</v>
      </c>
      <c r="H1218" s="98" t="s">
        <v>516</v>
      </c>
      <c r="I1218" s="98" t="s">
        <v>243</v>
      </c>
      <c r="K1218" s="100"/>
      <c r="L1218" s="108"/>
      <c r="M1218" s="100"/>
      <c r="N1218" s="100"/>
    </row>
    <row r="1219" spans="2:14" s="98" customFormat="1">
      <c r="B1219" s="99" t="s">
        <v>590</v>
      </c>
      <c r="C1219" s="109">
        <v>45906</v>
      </c>
      <c r="D1219" s="98" t="s">
        <v>629</v>
      </c>
      <c r="E1219" s="103">
        <v>1100</v>
      </c>
      <c r="F1219" s="98" t="s">
        <v>240</v>
      </c>
      <c r="G1219" s="98" t="s">
        <v>373</v>
      </c>
      <c r="H1219" s="98" t="s">
        <v>516</v>
      </c>
      <c r="I1219" s="98" t="s">
        <v>544</v>
      </c>
      <c r="K1219" s="100"/>
      <c r="L1219" s="108"/>
      <c r="M1219" s="100"/>
      <c r="N1219" s="100"/>
    </row>
    <row r="1220" spans="2:14" s="98" customFormat="1">
      <c r="B1220" s="99" t="s">
        <v>590</v>
      </c>
      <c r="C1220" s="109">
        <v>45905.738888888889</v>
      </c>
      <c r="D1220" s="98" t="s">
        <v>635</v>
      </c>
      <c r="E1220" s="103">
        <v>50000</v>
      </c>
      <c r="F1220" s="98" t="s">
        <v>240</v>
      </c>
      <c r="G1220" s="98" t="s">
        <v>374</v>
      </c>
      <c r="H1220" s="98" t="s">
        <v>516</v>
      </c>
      <c r="I1220" s="98" t="s">
        <v>263</v>
      </c>
      <c r="K1220" s="100"/>
      <c r="L1220" s="108"/>
      <c r="M1220" s="100"/>
      <c r="N1220" s="100"/>
    </row>
    <row r="1221" spans="2:14" s="98" customFormat="1">
      <c r="B1221" s="99" t="s">
        <v>590</v>
      </c>
      <c r="C1221" s="109">
        <v>45905.256249999999</v>
      </c>
      <c r="D1221" s="98" t="s">
        <v>583</v>
      </c>
      <c r="E1221" s="103">
        <v>-100735</v>
      </c>
      <c r="F1221" s="98" t="s">
        <v>239</v>
      </c>
      <c r="I1221" s="98" t="s">
        <v>471</v>
      </c>
      <c r="K1221" s="100"/>
      <c r="L1221" s="108"/>
      <c r="M1221" s="100"/>
      <c r="N1221" s="100"/>
    </row>
    <row r="1222" spans="2:14" s="98" customFormat="1">
      <c r="B1222" s="99" t="s">
        <v>590</v>
      </c>
      <c r="C1222" s="109">
        <v>45905</v>
      </c>
      <c r="D1222" s="98" t="s">
        <v>402</v>
      </c>
      <c r="E1222" s="103">
        <v>733000</v>
      </c>
      <c r="F1222" s="98" t="s">
        <v>240</v>
      </c>
      <c r="G1222" s="98" t="s">
        <v>374</v>
      </c>
      <c r="H1222" s="98" t="s">
        <v>513</v>
      </c>
      <c r="I1222" s="98" t="s">
        <v>252</v>
      </c>
      <c r="K1222" s="100"/>
      <c r="L1222" s="108"/>
      <c r="M1222" s="100"/>
      <c r="N1222" s="100"/>
    </row>
    <row r="1223" spans="2:14" s="98" customFormat="1">
      <c r="B1223" s="99" t="s">
        <v>590</v>
      </c>
      <c r="C1223" s="109">
        <v>45905</v>
      </c>
      <c r="D1223" s="98" t="s">
        <v>636</v>
      </c>
      <c r="E1223" s="103">
        <v>229970</v>
      </c>
      <c r="F1223" s="98" t="s">
        <v>240</v>
      </c>
      <c r="G1223" s="98" t="s">
        <v>374</v>
      </c>
      <c r="H1223" s="98" t="s">
        <v>513</v>
      </c>
      <c r="I1223" s="98" t="s">
        <v>251</v>
      </c>
      <c r="K1223" s="100"/>
      <c r="L1223" s="108"/>
      <c r="M1223" s="100"/>
      <c r="N1223" s="100"/>
    </row>
    <row r="1224" spans="2:14" s="98" customFormat="1">
      <c r="B1224" s="99" t="s">
        <v>590</v>
      </c>
      <c r="C1224" s="109">
        <v>45905</v>
      </c>
      <c r="D1224" s="98" t="s">
        <v>493</v>
      </c>
      <c r="E1224" s="103">
        <v>30582</v>
      </c>
      <c r="F1224" s="98" t="s">
        <v>240</v>
      </c>
      <c r="G1224" s="98" t="s">
        <v>373</v>
      </c>
      <c r="H1224" s="98" t="s">
        <v>516</v>
      </c>
      <c r="I1224" s="98" t="s">
        <v>619</v>
      </c>
      <c r="K1224" s="100"/>
      <c r="L1224" s="108"/>
      <c r="M1224" s="100"/>
      <c r="N1224" s="100"/>
    </row>
    <row r="1225" spans="2:14" s="98" customFormat="1">
      <c r="B1225" s="99" t="s">
        <v>590</v>
      </c>
      <c r="C1225" s="109">
        <v>45905</v>
      </c>
      <c r="D1225" s="98" t="s">
        <v>630</v>
      </c>
      <c r="E1225" s="103">
        <v>34901</v>
      </c>
      <c r="F1225" s="98" t="s">
        <v>240</v>
      </c>
      <c r="G1225" s="98" t="s">
        <v>373</v>
      </c>
      <c r="H1225" s="98" t="s">
        <v>516</v>
      </c>
      <c r="I1225" s="98" t="s">
        <v>619</v>
      </c>
      <c r="K1225" s="100"/>
      <c r="L1225" s="108"/>
      <c r="M1225" s="100"/>
      <c r="N1225" s="100"/>
    </row>
    <row r="1226" spans="2:14" s="98" customFormat="1">
      <c r="B1226" s="99" t="s">
        <v>590</v>
      </c>
      <c r="C1226" s="109">
        <v>45905</v>
      </c>
      <c r="D1226" s="98" t="s">
        <v>336</v>
      </c>
      <c r="E1226" s="103">
        <v>2000</v>
      </c>
      <c r="F1226" s="98" t="s">
        <v>240</v>
      </c>
      <c r="G1226" s="98" t="s">
        <v>373</v>
      </c>
      <c r="H1226" s="98" t="s">
        <v>516</v>
      </c>
      <c r="I1226" s="98" t="s">
        <v>247</v>
      </c>
      <c r="K1226" s="100"/>
      <c r="L1226" s="108"/>
      <c r="M1226" s="100"/>
      <c r="N1226" s="100"/>
    </row>
    <row r="1227" spans="2:14" s="98" customFormat="1">
      <c r="B1227" s="99" t="s">
        <v>590</v>
      </c>
      <c r="C1227" s="109">
        <v>45904</v>
      </c>
      <c r="D1227" s="98" t="s">
        <v>296</v>
      </c>
      <c r="E1227" s="103">
        <v>4290</v>
      </c>
      <c r="F1227" s="98" t="s">
        <v>240</v>
      </c>
      <c r="G1227" s="98" t="s">
        <v>373</v>
      </c>
      <c r="H1227" s="98" t="s">
        <v>516</v>
      </c>
      <c r="I1227" s="98" t="s">
        <v>247</v>
      </c>
      <c r="K1227" s="100"/>
      <c r="L1227" s="108"/>
      <c r="M1227" s="100"/>
      <c r="N1227" s="100"/>
    </row>
    <row r="1228" spans="2:14" s="98" customFormat="1">
      <c r="B1228" s="99" t="s">
        <v>590</v>
      </c>
      <c r="C1228" s="109">
        <v>45904</v>
      </c>
      <c r="D1228" s="98" t="s">
        <v>637</v>
      </c>
      <c r="E1228" s="103">
        <v>10000</v>
      </c>
      <c r="F1228" s="98" t="s">
        <v>240</v>
      </c>
      <c r="G1228" s="98" t="s">
        <v>374</v>
      </c>
      <c r="H1228" s="98" t="s">
        <v>516</v>
      </c>
      <c r="I1228" s="98" t="s">
        <v>263</v>
      </c>
      <c r="K1228" s="100"/>
      <c r="L1228" s="108"/>
      <c r="M1228" s="100"/>
      <c r="N1228" s="100"/>
    </row>
    <row r="1229" spans="2:14" s="98" customFormat="1">
      <c r="B1229" s="99" t="s">
        <v>590</v>
      </c>
      <c r="C1229" s="109">
        <v>45904</v>
      </c>
      <c r="D1229" s="98" t="s">
        <v>555</v>
      </c>
      <c r="E1229" s="103">
        <v>61784</v>
      </c>
      <c r="F1229" s="98" t="s">
        <v>240</v>
      </c>
      <c r="G1229" s="98" t="s">
        <v>373</v>
      </c>
      <c r="H1229" s="98" t="s">
        <v>513</v>
      </c>
      <c r="I1229" s="98" t="s">
        <v>271</v>
      </c>
      <c r="K1229" s="100"/>
      <c r="L1229" s="108"/>
      <c r="M1229" s="100"/>
      <c r="N1229" s="100"/>
    </row>
    <row r="1230" spans="2:14" s="98" customFormat="1">
      <c r="B1230" s="99" t="s">
        <v>590</v>
      </c>
      <c r="C1230" s="109">
        <v>45903.861111111109</v>
      </c>
      <c r="D1230" s="98" t="s">
        <v>610</v>
      </c>
      <c r="E1230" s="103">
        <v>53256</v>
      </c>
      <c r="F1230" s="98" t="s">
        <v>240</v>
      </c>
      <c r="G1230" s="98" t="s">
        <v>373</v>
      </c>
      <c r="H1230" s="98" t="s">
        <v>516</v>
      </c>
      <c r="I1230" s="98" t="s">
        <v>245</v>
      </c>
      <c r="K1230" s="100"/>
      <c r="L1230" s="108"/>
      <c r="M1230" s="100"/>
      <c r="N1230" s="100"/>
    </row>
    <row r="1231" spans="2:14" s="98" customFormat="1">
      <c r="B1231" s="99" t="s">
        <v>590</v>
      </c>
      <c r="C1231" s="109">
        <v>45903.844444444447</v>
      </c>
      <c r="D1231" s="98" t="s">
        <v>611</v>
      </c>
      <c r="E1231" s="103">
        <v>8000</v>
      </c>
      <c r="F1231" s="98" t="s">
        <v>240</v>
      </c>
      <c r="G1231" s="98" t="s">
        <v>373</v>
      </c>
      <c r="H1231" s="98" t="s">
        <v>516</v>
      </c>
      <c r="I1231" s="98" t="s">
        <v>264</v>
      </c>
      <c r="K1231" s="100"/>
      <c r="L1231" s="108"/>
      <c r="M1231" s="100"/>
      <c r="N1231" s="100"/>
    </row>
    <row r="1232" spans="2:14" s="98" customFormat="1">
      <c r="B1232" s="99" t="s">
        <v>590</v>
      </c>
      <c r="C1232" s="109">
        <v>45903.806944444441</v>
      </c>
      <c r="D1232" s="98" t="s">
        <v>612</v>
      </c>
      <c r="E1232" s="103">
        <v>48158</v>
      </c>
      <c r="F1232" s="98" t="s">
        <v>240</v>
      </c>
      <c r="G1232" s="98" t="s">
        <v>373</v>
      </c>
      <c r="H1232" s="98" t="s">
        <v>516</v>
      </c>
      <c r="I1232" s="98" t="s">
        <v>248</v>
      </c>
      <c r="K1232" s="100"/>
      <c r="L1232" s="108"/>
      <c r="M1232" s="100"/>
      <c r="N1232" s="100"/>
    </row>
    <row r="1233" spans="2:14" s="98" customFormat="1">
      <c r="B1233" s="99" t="s">
        <v>590</v>
      </c>
      <c r="C1233" s="109">
        <v>45903.713888888888</v>
      </c>
      <c r="D1233" s="98" t="s">
        <v>613</v>
      </c>
      <c r="E1233" s="103">
        <v>4350</v>
      </c>
      <c r="F1233" s="98" t="s">
        <v>240</v>
      </c>
      <c r="G1233" s="98" t="s">
        <v>373</v>
      </c>
      <c r="H1233" s="98" t="s">
        <v>516</v>
      </c>
      <c r="I1233" s="98" t="s">
        <v>247</v>
      </c>
      <c r="K1233" s="100"/>
      <c r="L1233" s="108"/>
      <c r="M1233" s="100"/>
      <c r="N1233" s="100"/>
    </row>
    <row r="1234" spans="2:14" s="98" customFormat="1">
      <c r="B1234" s="99" t="s">
        <v>590</v>
      </c>
      <c r="C1234" s="109">
        <v>45903.65347222222</v>
      </c>
      <c r="D1234" s="98" t="s">
        <v>614</v>
      </c>
      <c r="E1234" s="103">
        <v>3300</v>
      </c>
      <c r="F1234" s="98" t="s">
        <v>240</v>
      </c>
      <c r="G1234" s="98" t="s">
        <v>373</v>
      </c>
      <c r="H1234" s="98" t="s">
        <v>516</v>
      </c>
      <c r="I1234" s="98" t="s">
        <v>247</v>
      </c>
      <c r="K1234" s="100"/>
      <c r="L1234" s="108"/>
      <c r="M1234" s="100"/>
      <c r="N1234" s="100"/>
    </row>
    <row r="1235" spans="2:14" s="98" customFormat="1">
      <c r="B1235" s="99" t="s">
        <v>590</v>
      </c>
      <c r="C1235" s="109">
        <v>45903.651388888888</v>
      </c>
      <c r="D1235" s="98" t="s">
        <v>604</v>
      </c>
      <c r="E1235" s="103">
        <v>2000</v>
      </c>
      <c r="F1235" s="98" t="s">
        <v>240</v>
      </c>
      <c r="G1235" s="98" t="s">
        <v>373</v>
      </c>
      <c r="H1235" s="98" t="s">
        <v>516</v>
      </c>
      <c r="I1235" s="98" t="s">
        <v>247</v>
      </c>
      <c r="K1235" s="100"/>
      <c r="L1235" s="108"/>
      <c r="M1235" s="100"/>
      <c r="N1235" s="100"/>
    </row>
    <row r="1236" spans="2:14" s="98" customFormat="1">
      <c r="B1236" s="99" t="s">
        <v>590</v>
      </c>
      <c r="C1236" s="109">
        <v>45903.568749999999</v>
      </c>
      <c r="D1236" s="98" t="s">
        <v>615</v>
      </c>
      <c r="E1236" s="103">
        <v>2493</v>
      </c>
      <c r="F1236" s="98" t="s">
        <v>240</v>
      </c>
      <c r="G1236" s="98" t="s">
        <v>373</v>
      </c>
      <c r="H1236" s="98" t="s">
        <v>516</v>
      </c>
      <c r="I1236" s="98" t="s">
        <v>245</v>
      </c>
      <c r="K1236" s="100"/>
      <c r="L1236" s="108"/>
      <c r="M1236" s="100"/>
      <c r="N1236" s="100"/>
    </row>
    <row r="1237" spans="2:14" s="98" customFormat="1">
      <c r="B1237" s="99" t="s">
        <v>590</v>
      </c>
      <c r="C1237" s="109">
        <v>45902.670138888891</v>
      </c>
      <c r="D1237" s="111" t="s">
        <v>46</v>
      </c>
      <c r="E1237" s="103">
        <v>2800</v>
      </c>
      <c r="F1237" s="98" t="s">
        <v>240</v>
      </c>
      <c r="G1237" s="98" t="s">
        <v>374</v>
      </c>
      <c r="H1237" s="98" t="s">
        <v>516</v>
      </c>
      <c r="I1237" s="98" t="s">
        <v>247</v>
      </c>
      <c r="K1237" s="100"/>
      <c r="L1237" s="108"/>
      <c r="M1237" s="100"/>
      <c r="N1237" s="100"/>
    </row>
    <row r="1238" spans="2:14" s="98" customFormat="1">
      <c r="B1238" s="99" t="s">
        <v>590</v>
      </c>
      <c r="C1238" s="109">
        <v>45901.460416666669</v>
      </c>
      <c r="D1238" s="111" t="s">
        <v>84</v>
      </c>
      <c r="E1238" s="103">
        <v>71700</v>
      </c>
      <c r="F1238" s="98" t="s">
        <v>240</v>
      </c>
      <c r="G1238" s="98" t="s">
        <v>374</v>
      </c>
      <c r="H1238" s="98" t="s">
        <v>516</v>
      </c>
      <c r="I1238" s="98" t="s">
        <v>272</v>
      </c>
      <c r="K1238" s="100"/>
      <c r="L1238" s="108"/>
      <c r="M1238" s="100"/>
      <c r="N1238" s="100"/>
    </row>
    <row r="1239" spans="2:14" s="98" customFormat="1">
      <c r="B1239" s="99" t="s">
        <v>590</v>
      </c>
      <c r="C1239" s="109">
        <v>45901</v>
      </c>
      <c r="D1239" s="98" t="s">
        <v>391</v>
      </c>
      <c r="E1239" s="103">
        <v>3700</v>
      </c>
      <c r="F1239" s="98" t="s">
        <v>240</v>
      </c>
      <c r="G1239" s="98" t="s">
        <v>373</v>
      </c>
      <c r="H1239" s="98" t="s">
        <v>516</v>
      </c>
      <c r="I1239" s="98" t="s">
        <v>242</v>
      </c>
      <c r="K1239" s="100"/>
      <c r="L1239" s="108"/>
      <c r="M1239" s="100"/>
      <c r="N1239" s="100"/>
    </row>
    <row r="1240" spans="2:14" s="98" customFormat="1">
      <c r="B1240" s="99" t="s">
        <v>590</v>
      </c>
      <c r="C1240" s="109">
        <v>45901</v>
      </c>
      <c r="D1240" s="98" t="s">
        <v>617</v>
      </c>
      <c r="E1240" s="103">
        <v>17990</v>
      </c>
      <c r="F1240" s="98" t="s">
        <v>240</v>
      </c>
      <c r="G1240" s="98" t="s">
        <v>373</v>
      </c>
      <c r="H1240" s="98" t="s">
        <v>516</v>
      </c>
      <c r="I1240" s="98" t="s">
        <v>244</v>
      </c>
      <c r="K1240" s="100"/>
      <c r="L1240" s="108"/>
      <c r="M1240" s="100"/>
      <c r="N1240" s="100"/>
    </row>
    <row r="1241" spans="2:14" s="98" customFormat="1">
      <c r="B1241" s="99" t="s">
        <v>590</v>
      </c>
      <c r="C1241" s="109">
        <v>45901</v>
      </c>
      <c r="D1241" s="98" t="s">
        <v>388</v>
      </c>
      <c r="E1241" s="103">
        <v>1700</v>
      </c>
      <c r="F1241" s="98" t="s">
        <v>240</v>
      </c>
      <c r="G1241" s="98" t="s">
        <v>373</v>
      </c>
      <c r="H1241" s="98" t="s">
        <v>516</v>
      </c>
      <c r="I1241" s="98" t="s">
        <v>247</v>
      </c>
      <c r="K1241" s="100"/>
      <c r="L1241" s="108"/>
      <c r="M1241" s="100"/>
      <c r="N1241" s="100"/>
    </row>
    <row r="1242" spans="2:14" s="98" customFormat="1">
      <c r="B1242" s="99" t="s">
        <v>590</v>
      </c>
      <c r="C1242" s="109">
        <v>45901</v>
      </c>
      <c r="D1242" s="98" t="s">
        <v>616</v>
      </c>
      <c r="E1242" s="103">
        <v>2500</v>
      </c>
      <c r="F1242" s="98" t="s">
        <v>240</v>
      </c>
      <c r="G1242" s="98" t="s">
        <v>373</v>
      </c>
      <c r="H1242" s="98" t="s">
        <v>516</v>
      </c>
      <c r="I1242" s="98" t="s">
        <v>247</v>
      </c>
      <c r="K1242" s="100"/>
      <c r="L1242" s="108"/>
      <c r="M1242" s="100"/>
      <c r="N1242" s="100"/>
    </row>
    <row r="1243" spans="2:14" s="98" customFormat="1">
      <c r="B1243" s="99" t="s">
        <v>590</v>
      </c>
      <c r="C1243" s="109">
        <v>45901</v>
      </c>
      <c r="D1243" s="98" t="s">
        <v>493</v>
      </c>
      <c r="E1243" s="103">
        <v>9595</v>
      </c>
      <c r="F1243" s="98" t="s">
        <v>240</v>
      </c>
      <c r="G1243" s="98" t="s">
        <v>373</v>
      </c>
      <c r="H1243" s="98" t="s">
        <v>516</v>
      </c>
      <c r="I1243" s="98" t="s">
        <v>245</v>
      </c>
      <c r="K1243" s="100"/>
      <c r="L1243" s="108"/>
      <c r="M1243" s="100"/>
      <c r="N1243" s="100"/>
    </row>
    <row r="1244" spans="2:14" s="98" customFormat="1">
      <c r="B1244" s="99" t="s">
        <v>590</v>
      </c>
      <c r="C1244" s="109">
        <v>45901</v>
      </c>
      <c r="D1244" s="98" t="s">
        <v>392</v>
      </c>
      <c r="E1244" s="103">
        <v>1449</v>
      </c>
      <c r="F1244" s="98" t="s">
        <v>240</v>
      </c>
      <c r="G1244" s="98" t="s">
        <v>373</v>
      </c>
      <c r="H1244" s="98" t="s">
        <v>516</v>
      </c>
      <c r="I1244" s="98" t="s">
        <v>544</v>
      </c>
      <c r="K1244" s="100"/>
      <c r="L1244" s="108"/>
      <c r="M1244" s="100"/>
      <c r="N1244" s="100"/>
    </row>
    <row r="1245" spans="2:14" s="98" customFormat="1">
      <c r="B1245" s="99" t="s">
        <v>590</v>
      </c>
      <c r="C1245" s="109">
        <v>45900.868055555555</v>
      </c>
      <c r="D1245" s="109" t="s">
        <v>297</v>
      </c>
      <c r="E1245" s="103">
        <v>10000</v>
      </c>
      <c r="F1245" s="98" t="s">
        <v>240</v>
      </c>
      <c r="G1245" s="98" t="s">
        <v>373</v>
      </c>
      <c r="H1245" s="98" t="s">
        <v>516</v>
      </c>
      <c r="I1245" s="98" t="s">
        <v>270</v>
      </c>
      <c r="K1245" s="100"/>
      <c r="L1245" s="108"/>
      <c r="M1245" s="100"/>
      <c r="N1245" s="100"/>
    </row>
    <row r="1246" spans="2:14" s="98" customFormat="1">
      <c r="B1246" s="99" t="s">
        <v>590</v>
      </c>
      <c r="C1246" s="109">
        <v>45900.855555555558</v>
      </c>
      <c r="D1246" s="109" t="s">
        <v>287</v>
      </c>
      <c r="E1246" s="103">
        <v>124227</v>
      </c>
      <c r="F1246" s="98" t="s">
        <v>240</v>
      </c>
      <c r="G1246" s="98" t="s">
        <v>373</v>
      </c>
      <c r="H1246" s="98" t="s">
        <v>516</v>
      </c>
      <c r="I1246" s="98" t="s">
        <v>245</v>
      </c>
      <c r="K1246" s="100"/>
      <c r="L1246" s="108"/>
      <c r="M1246" s="100"/>
      <c r="N1246" s="100"/>
    </row>
    <row r="1247" spans="2:14" s="98" customFormat="1">
      <c r="B1247" s="99" t="s">
        <v>590</v>
      </c>
      <c r="C1247" s="109">
        <v>45900.793055555558</v>
      </c>
      <c r="D1247" s="109" t="s">
        <v>491</v>
      </c>
      <c r="E1247" s="103">
        <v>3990</v>
      </c>
      <c r="F1247" s="98" t="s">
        <v>240</v>
      </c>
      <c r="G1247" s="98" t="s">
        <v>373</v>
      </c>
      <c r="H1247" s="98" t="s">
        <v>516</v>
      </c>
      <c r="I1247" s="98" t="s">
        <v>244</v>
      </c>
      <c r="K1247" s="100"/>
      <c r="L1247" s="108"/>
      <c r="M1247" s="100"/>
      <c r="N1247" s="100"/>
    </row>
    <row r="1248" spans="2:14" s="98" customFormat="1">
      <c r="B1248" s="99" t="s">
        <v>590</v>
      </c>
      <c r="C1248" s="109">
        <v>45900.668055555558</v>
      </c>
      <c r="D1248" s="109" t="s">
        <v>618</v>
      </c>
      <c r="E1248" s="103">
        <v>2700</v>
      </c>
      <c r="F1248" s="98" t="s">
        <v>240</v>
      </c>
      <c r="G1248" s="98" t="s">
        <v>542</v>
      </c>
      <c r="H1248" s="98" t="s">
        <v>516</v>
      </c>
      <c r="I1248" s="98" t="s">
        <v>247</v>
      </c>
      <c r="K1248" s="100"/>
      <c r="L1248" s="108"/>
      <c r="M1248" s="100"/>
      <c r="N1248" s="100"/>
    </row>
    <row r="1249" spans="2:14" s="98" customFormat="1">
      <c r="B1249" s="99" t="s">
        <v>590</v>
      </c>
      <c r="C1249" s="109">
        <v>45900.657638888886</v>
      </c>
      <c r="D1249" s="109" t="s">
        <v>510</v>
      </c>
      <c r="E1249" s="103">
        <v>12400</v>
      </c>
      <c r="F1249" s="98" t="s">
        <v>240</v>
      </c>
      <c r="G1249" s="98" t="s">
        <v>373</v>
      </c>
      <c r="H1249" s="98" t="s">
        <v>516</v>
      </c>
      <c r="I1249" s="98" t="s">
        <v>248</v>
      </c>
      <c r="K1249" s="100"/>
      <c r="L1249" s="108"/>
      <c r="M1249" s="100"/>
      <c r="N1249" s="100"/>
    </row>
    <row r="1250" spans="2:14" s="98" customFormat="1">
      <c r="B1250" s="99" t="s">
        <v>590</v>
      </c>
      <c r="C1250" s="109">
        <v>45900.625</v>
      </c>
      <c r="D1250" s="109" t="s">
        <v>289</v>
      </c>
      <c r="E1250" s="103">
        <v>7990</v>
      </c>
      <c r="F1250" s="98" t="s">
        <v>240</v>
      </c>
      <c r="G1250" s="98" t="s">
        <v>373</v>
      </c>
      <c r="H1250" s="98" t="s">
        <v>516</v>
      </c>
      <c r="I1250" s="98" t="s">
        <v>244</v>
      </c>
      <c r="K1250" s="100"/>
      <c r="L1250" s="108"/>
      <c r="M1250" s="100"/>
      <c r="N1250" s="100"/>
    </row>
    <row r="1251" spans="2:14" s="98" customFormat="1">
      <c r="B1251" s="99" t="s">
        <v>590</v>
      </c>
      <c r="C1251" s="109">
        <v>45900.584027777775</v>
      </c>
      <c r="D1251" s="109" t="s">
        <v>593</v>
      </c>
      <c r="E1251" s="103">
        <v>8990</v>
      </c>
      <c r="F1251" s="98" t="s">
        <v>240</v>
      </c>
      <c r="G1251" s="98" t="s">
        <v>373</v>
      </c>
      <c r="H1251" s="98" t="s">
        <v>516</v>
      </c>
      <c r="I1251" s="98" t="s">
        <v>243</v>
      </c>
      <c r="K1251" s="100"/>
      <c r="L1251" s="108"/>
      <c r="M1251" s="100"/>
      <c r="N1251" s="100"/>
    </row>
    <row r="1252" spans="2:14" s="98" customFormat="1">
      <c r="B1252" s="99" t="s">
        <v>590</v>
      </c>
      <c r="C1252" s="109">
        <v>45900.122916666667</v>
      </c>
      <c r="D1252" s="109" t="s">
        <v>289</v>
      </c>
      <c r="E1252" s="103">
        <v>24990</v>
      </c>
      <c r="F1252" s="98" t="s">
        <v>240</v>
      </c>
      <c r="G1252" s="98" t="s">
        <v>373</v>
      </c>
      <c r="H1252" s="98" t="s">
        <v>516</v>
      </c>
      <c r="I1252" s="98" t="s">
        <v>243</v>
      </c>
      <c r="K1252" s="100"/>
      <c r="L1252" s="108"/>
      <c r="M1252" s="100"/>
      <c r="N1252" s="100"/>
    </row>
    <row r="1253" spans="2:14" s="98" customFormat="1">
      <c r="B1253" s="99" t="s">
        <v>590</v>
      </c>
      <c r="C1253" s="109">
        <v>45900</v>
      </c>
      <c r="D1253" s="109" t="s">
        <v>427</v>
      </c>
      <c r="E1253" s="103">
        <v>2300</v>
      </c>
      <c r="F1253" s="98" t="s">
        <v>240</v>
      </c>
      <c r="G1253" s="98" t="s">
        <v>542</v>
      </c>
      <c r="H1253" s="98" t="s">
        <v>516</v>
      </c>
      <c r="I1253" s="98" t="s">
        <v>241</v>
      </c>
      <c r="K1253" s="100"/>
      <c r="L1253" s="108"/>
      <c r="M1253" s="100"/>
      <c r="N1253" s="100"/>
    </row>
    <row r="1254" spans="2:14" s="98" customFormat="1">
      <c r="B1254" s="99" t="s">
        <v>590</v>
      </c>
      <c r="C1254" s="109">
        <v>45900</v>
      </c>
      <c r="D1254" s="98" t="s">
        <v>541</v>
      </c>
      <c r="E1254" s="103">
        <v>17990</v>
      </c>
      <c r="F1254" s="98" t="s">
        <v>240</v>
      </c>
      <c r="G1254" s="98" t="s">
        <v>542</v>
      </c>
      <c r="H1254" s="98" t="s">
        <v>516</v>
      </c>
      <c r="I1254" s="98" t="s">
        <v>244</v>
      </c>
      <c r="K1254" s="100"/>
      <c r="L1254" s="108"/>
      <c r="M1254" s="100"/>
      <c r="N1254" s="100"/>
    </row>
    <row r="1255" spans="2:14" s="98" customFormat="1">
      <c r="B1255" s="99" t="s">
        <v>590</v>
      </c>
      <c r="C1255" s="109">
        <v>45899.913194444445</v>
      </c>
      <c r="D1255" s="109" t="s">
        <v>594</v>
      </c>
      <c r="E1255" s="103">
        <v>35046</v>
      </c>
      <c r="F1255" s="98" t="s">
        <v>240</v>
      </c>
      <c r="G1255" s="98" t="s">
        <v>373</v>
      </c>
      <c r="H1255" s="98" t="s">
        <v>516</v>
      </c>
      <c r="I1255" s="98" t="s">
        <v>248</v>
      </c>
      <c r="K1255" s="100"/>
      <c r="L1255" s="108"/>
      <c r="M1255" s="100"/>
      <c r="N1255" s="100"/>
    </row>
    <row r="1256" spans="2:14" s="98" customFormat="1">
      <c r="B1256" s="99" t="s">
        <v>590</v>
      </c>
      <c r="C1256" s="109">
        <v>45899.859722222223</v>
      </c>
      <c r="D1256" s="109" t="s">
        <v>595</v>
      </c>
      <c r="E1256" s="103">
        <v>700</v>
      </c>
      <c r="F1256" s="98" t="s">
        <v>240</v>
      </c>
      <c r="G1256" s="98" t="s">
        <v>373</v>
      </c>
      <c r="H1256" s="98" t="s">
        <v>516</v>
      </c>
      <c r="I1256" s="98" t="s">
        <v>247</v>
      </c>
      <c r="K1256" s="100"/>
      <c r="L1256" s="108"/>
      <c r="M1256" s="100"/>
      <c r="N1256" s="100"/>
    </row>
    <row r="1257" spans="2:14" s="98" customFormat="1">
      <c r="B1257" s="99" t="s">
        <v>590</v>
      </c>
      <c r="C1257" s="109">
        <v>45899.834722222222</v>
      </c>
      <c r="D1257" s="109" t="s">
        <v>596</v>
      </c>
      <c r="E1257" s="103">
        <v>12990</v>
      </c>
      <c r="F1257" s="98" t="s">
        <v>240</v>
      </c>
      <c r="G1257" s="98" t="s">
        <v>373</v>
      </c>
      <c r="H1257" s="98" t="s">
        <v>516</v>
      </c>
      <c r="I1257" s="98" t="s">
        <v>248</v>
      </c>
      <c r="K1257" s="100"/>
      <c r="L1257" s="108"/>
      <c r="M1257" s="100"/>
      <c r="N1257" s="100"/>
    </row>
    <row r="1258" spans="2:14" s="98" customFormat="1">
      <c r="B1258" s="99" t="s">
        <v>590</v>
      </c>
      <c r="C1258" s="109">
        <v>45899.816666666666</v>
      </c>
      <c r="D1258" s="109" t="s">
        <v>593</v>
      </c>
      <c r="E1258" s="103">
        <v>9990</v>
      </c>
      <c r="F1258" s="98" t="s">
        <v>240</v>
      </c>
      <c r="G1258" s="98" t="s">
        <v>373</v>
      </c>
      <c r="H1258" s="98" t="s">
        <v>516</v>
      </c>
      <c r="I1258" s="98" t="s">
        <v>243</v>
      </c>
      <c r="K1258" s="100"/>
      <c r="L1258" s="108"/>
      <c r="M1258" s="100"/>
      <c r="N1258" s="100"/>
    </row>
    <row r="1259" spans="2:14" s="98" customFormat="1">
      <c r="B1259" s="99" t="s">
        <v>590</v>
      </c>
      <c r="C1259" s="109">
        <v>45899.802083333336</v>
      </c>
      <c r="D1259" s="109" t="s">
        <v>597</v>
      </c>
      <c r="E1259" s="103">
        <v>11490</v>
      </c>
      <c r="F1259" s="98" t="s">
        <v>240</v>
      </c>
      <c r="G1259" s="98" t="s">
        <v>373</v>
      </c>
      <c r="H1259" s="98" t="s">
        <v>516</v>
      </c>
      <c r="I1259" s="98" t="s">
        <v>243</v>
      </c>
      <c r="K1259" s="100"/>
      <c r="L1259" s="108"/>
      <c r="M1259" s="100"/>
      <c r="N1259" s="100"/>
    </row>
    <row r="1260" spans="2:14" s="98" customFormat="1">
      <c r="B1260" s="99" t="s">
        <v>590</v>
      </c>
      <c r="C1260" s="109">
        <v>45899.545138888891</v>
      </c>
      <c r="D1260" s="111" t="s">
        <v>22</v>
      </c>
      <c r="E1260" s="103">
        <v>40000</v>
      </c>
      <c r="F1260" s="98" t="s">
        <v>240</v>
      </c>
      <c r="G1260" s="98" t="s">
        <v>374</v>
      </c>
      <c r="H1260" s="98" t="s">
        <v>516</v>
      </c>
      <c r="I1260" s="98" t="s">
        <v>263</v>
      </c>
      <c r="K1260" s="100"/>
      <c r="L1260" s="108"/>
      <c r="M1260" s="100"/>
      <c r="N1260" s="100"/>
    </row>
    <row r="1261" spans="2:14" s="98" customFormat="1">
      <c r="B1261" s="99" t="s">
        <v>590</v>
      </c>
      <c r="C1261" s="109">
        <v>45899.541666666664</v>
      </c>
      <c r="D1261" s="109" t="s">
        <v>598</v>
      </c>
      <c r="E1261" s="103">
        <v>1500</v>
      </c>
      <c r="F1261" s="98" t="s">
        <v>240</v>
      </c>
      <c r="G1261" s="98" t="s">
        <v>373</v>
      </c>
      <c r="H1261" s="98" t="s">
        <v>516</v>
      </c>
      <c r="I1261" s="98" t="s">
        <v>247</v>
      </c>
      <c r="K1261" s="100"/>
      <c r="L1261" s="108"/>
      <c r="M1261" s="100"/>
      <c r="N1261" s="100"/>
    </row>
    <row r="1262" spans="2:14" s="98" customFormat="1">
      <c r="B1262" s="99" t="s">
        <v>590</v>
      </c>
      <c r="C1262" s="109">
        <v>45899.463888888888</v>
      </c>
      <c r="D1262" s="109" t="s">
        <v>599</v>
      </c>
      <c r="E1262" s="103">
        <v>4180</v>
      </c>
      <c r="F1262" s="98" t="s">
        <v>240</v>
      </c>
      <c r="G1262" s="98" t="s">
        <v>373</v>
      </c>
      <c r="H1262" s="98" t="s">
        <v>516</v>
      </c>
      <c r="I1262" s="98" t="s">
        <v>247</v>
      </c>
      <c r="K1262" s="100"/>
      <c r="L1262" s="108"/>
      <c r="M1262" s="100"/>
      <c r="N1262" s="100"/>
    </row>
    <row r="1263" spans="2:14" s="98" customFormat="1">
      <c r="B1263" s="99" t="s">
        <v>590</v>
      </c>
      <c r="C1263" s="109">
        <v>45899.40625</v>
      </c>
      <c r="D1263" s="109" t="s">
        <v>600</v>
      </c>
      <c r="E1263" s="103">
        <v>590</v>
      </c>
      <c r="F1263" s="98" t="s">
        <v>240</v>
      </c>
      <c r="G1263" s="98" t="s">
        <v>373</v>
      </c>
      <c r="H1263" s="98" t="s">
        <v>516</v>
      </c>
      <c r="I1263" s="98" t="s">
        <v>268</v>
      </c>
      <c r="K1263" s="100"/>
      <c r="L1263" s="108"/>
      <c r="M1263" s="100"/>
      <c r="N1263" s="100"/>
    </row>
    <row r="1264" spans="2:14" s="98" customFormat="1">
      <c r="B1264" s="99" t="s">
        <v>590</v>
      </c>
      <c r="C1264" s="109">
        <v>45899.405555555553</v>
      </c>
      <c r="D1264" s="109" t="s">
        <v>601</v>
      </c>
      <c r="E1264" s="103">
        <v>1100</v>
      </c>
      <c r="F1264" s="98" t="s">
        <v>240</v>
      </c>
      <c r="G1264" s="98" t="s">
        <v>373</v>
      </c>
      <c r="H1264" s="98" t="s">
        <v>516</v>
      </c>
      <c r="I1264" s="98" t="s">
        <v>268</v>
      </c>
      <c r="K1264" s="100"/>
      <c r="L1264" s="108"/>
      <c r="M1264" s="100"/>
      <c r="N1264" s="100"/>
    </row>
    <row r="1265" spans="2:14" s="98" customFormat="1">
      <c r="B1265" s="99" t="s">
        <v>590</v>
      </c>
      <c r="C1265" s="109">
        <v>45899.404861111114</v>
      </c>
      <c r="D1265" s="109" t="s">
        <v>600</v>
      </c>
      <c r="E1265" s="103">
        <v>1100</v>
      </c>
      <c r="F1265" s="98" t="s">
        <v>240</v>
      </c>
      <c r="G1265" s="98" t="s">
        <v>373</v>
      </c>
      <c r="H1265" s="98" t="s">
        <v>516</v>
      </c>
      <c r="I1265" s="98" t="s">
        <v>268</v>
      </c>
      <c r="K1265" s="100"/>
      <c r="L1265" s="108"/>
      <c r="M1265" s="100"/>
      <c r="N1265" s="100"/>
    </row>
    <row r="1266" spans="2:14" s="98" customFormat="1">
      <c r="B1266" s="99" t="s">
        <v>590</v>
      </c>
      <c r="C1266" s="109">
        <v>45899.395833333336</v>
      </c>
      <c r="D1266" s="109" t="s">
        <v>600</v>
      </c>
      <c r="E1266" s="103">
        <v>5500</v>
      </c>
      <c r="F1266" s="98" t="s">
        <v>240</v>
      </c>
      <c r="G1266" s="98" t="s">
        <v>373</v>
      </c>
      <c r="H1266" s="98" t="s">
        <v>516</v>
      </c>
      <c r="I1266" s="98" t="s">
        <v>268</v>
      </c>
      <c r="K1266" s="100"/>
      <c r="L1266" s="108"/>
      <c r="M1266" s="100"/>
      <c r="N1266" s="100"/>
    </row>
    <row r="1267" spans="2:14" s="98" customFormat="1">
      <c r="B1267" s="99" t="s">
        <v>590</v>
      </c>
      <c r="C1267" s="109">
        <v>45899.388888888891</v>
      </c>
      <c r="D1267" s="109" t="s">
        <v>602</v>
      </c>
      <c r="E1267" s="103">
        <v>20990</v>
      </c>
      <c r="F1267" s="98" t="s">
        <v>240</v>
      </c>
      <c r="G1267" s="98" t="s">
        <v>373</v>
      </c>
      <c r="H1267" s="98" t="s">
        <v>513</v>
      </c>
      <c r="I1267" s="98" t="s">
        <v>545</v>
      </c>
      <c r="K1267" s="100"/>
      <c r="L1267" s="108"/>
      <c r="M1267" s="100"/>
      <c r="N1267" s="100"/>
    </row>
    <row r="1268" spans="2:14" s="98" customFormat="1">
      <c r="B1268" s="99" t="s">
        <v>590</v>
      </c>
      <c r="C1268" s="109">
        <v>45899.367361111108</v>
      </c>
      <c r="D1268" s="109" t="s">
        <v>602</v>
      </c>
      <c r="E1268" s="103">
        <v>20990</v>
      </c>
      <c r="F1268" s="98" t="s">
        <v>240</v>
      </c>
      <c r="G1268" s="98" t="s">
        <v>373</v>
      </c>
      <c r="H1268" s="98" t="s">
        <v>513</v>
      </c>
      <c r="I1268" s="98" t="s">
        <v>545</v>
      </c>
      <c r="K1268" s="100"/>
      <c r="L1268" s="108"/>
      <c r="M1268" s="100"/>
      <c r="N1268" s="100"/>
    </row>
    <row r="1269" spans="2:14" s="98" customFormat="1">
      <c r="B1269" s="99" t="s">
        <v>590</v>
      </c>
      <c r="C1269" s="109">
        <v>45899</v>
      </c>
      <c r="D1269" s="109" t="s">
        <v>427</v>
      </c>
      <c r="E1269" s="103">
        <v>2950</v>
      </c>
      <c r="F1269" s="98" t="s">
        <v>240</v>
      </c>
      <c r="G1269" s="98" t="s">
        <v>542</v>
      </c>
      <c r="H1269" s="98" t="s">
        <v>516</v>
      </c>
      <c r="I1269" s="98" t="s">
        <v>241</v>
      </c>
      <c r="K1269" s="100"/>
      <c r="L1269" s="108"/>
      <c r="M1269" s="100"/>
      <c r="N1269" s="100"/>
    </row>
    <row r="1270" spans="2:14" s="98" customFormat="1">
      <c r="B1270" s="99" t="s">
        <v>590</v>
      </c>
      <c r="C1270" s="109">
        <v>45899</v>
      </c>
      <c r="D1270" s="109" t="s">
        <v>608</v>
      </c>
      <c r="E1270" s="103">
        <v>25100</v>
      </c>
      <c r="F1270" s="98" t="s">
        <v>240</v>
      </c>
      <c r="G1270" s="98" t="s">
        <v>542</v>
      </c>
      <c r="H1270" s="98" t="s">
        <v>516</v>
      </c>
      <c r="I1270" s="98" t="s">
        <v>272</v>
      </c>
      <c r="K1270" s="100"/>
      <c r="L1270" s="108"/>
      <c r="M1270" s="100"/>
      <c r="N1270" s="100"/>
    </row>
    <row r="1271" spans="2:14" s="98" customFormat="1">
      <c r="B1271" s="99" t="s">
        <v>590</v>
      </c>
      <c r="C1271" s="109">
        <v>45898</v>
      </c>
      <c r="D1271" s="109" t="s">
        <v>427</v>
      </c>
      <c r="E1271" s="103">
        <v>1850</v>
      </c>
      <c r="F1271" s="98" t="s">
        <v>240</v>
      </c>
      <c r="G1271" s="98" t="s">
        <v>542</v>
      </c>
      <c r="H1271" s="98" t="s">
        <v>516</v>
      </c>
      <c r="I1271" s="98" t="s">
        <v>241</v>
      </c>
      <c r="K1271" s="100"/>
      <c r="L1271" s="108"/>
      <c r="M1271" s="100"/>
      <c r="N1271" s="100"/>
    </row>
    <row r="1272" spans="2:14" s="98" customFormat="1">
      <c r="B1272" s="99" t="s">
        <v>590</v>
      </c>
      <c r="C1272" s="109">
        <v>45898</v>
      </c>
      <c r="D1272" s="109" t="s">
        <v>603</v>
      </c>
      <c r="E1272" s="103">
        <v>3600</v>
      </c>
      <c r="F1272" s="98" t="s">
        <v>240</v>
      </c>
      <c r="G1272" s="98" t="s">
        <v>373</v>
      </c>
      <c r="H1272" s="98" t="s">
        <v>516</v>
      </c>
      <c r="I1272" s="98" t="s">
        <v>247</v>
      </c>
      <c r="K1272" s="100"/>
      <c r="L1272" s="108"/>
      <c r="M1272" s="100"/>
      <c r="N1272" s="100"/>
    </row>
    <row r="1273" spans="2:14" s="98" customFormat="1">
      <c r="B1273" s="99" t="s">
        <v>590</v>
      </c>
      <c r="C1273" s="109">
        <v>45898</v>
      </c>
      <c r="D1273" s="109" t="s">
        <v>297</v>
      </c>
      <c r="E1273" s="103">
        <v>3590</v>
      </c>
      <c r="F1273" s="98" t="s">
        <v>240</v>
      </c>
      <c r="G1273" s="98" t="s">
        <v>373</v>
      </c>
      <c r="H1273" s="98" t="s">
        <v>516</v>
      </c>
      <c r="I1273" s="98" t="s">
        <v>247</v>
      </c>
      <c r="K1273" s="100"/>
      <c r="L1273" s="108"/>
      <c r="M1273" s="100"/>
      <c r="N1273" s="100"/>
    </row>
    <row r="1274" spans="2:14" s="98" customFormat="1" ht="24">
      <c r="B1274" s="99" t="s">
        <v>590</v>
      </c>
      <c r="C1274" s="109">
        <v>45897.75277777778</v>
      </c>
      <c r="D1274" s="111" t="s">
        <v>48</v>
      </c>
      <c r="E1274" s="103">
        <v>95000</v>
      </c>
      <c r="F1274" s="98" t="s">
        <v>240</v>
      </c>
      <c r="G1274" s="98" t="s">
        <v>374</v>
      </c>
      <c r="H1274" s="98" t="s">
        <v>513</v>
      </c>
      <c r="I1274" s="98" t="s">
        <v>273</v>
      </c>
      <c r="K1274" s="100"/>
      <c r="L1274" s="108"/>
      <c r="M1274" s="100"/>
      <c r="N1274" s="100"/>
    </row>
    <row r="1275" spans="2:14" s="98" customFormat="1">
      <c r="B1275" s="99" t="s">
        <v>590</v>
      </c>
      <c r="C1275" s="109">
        <v>45897.57708333333</v>
      </c>
      <c r="D1275" s="112" t="s">
        <v>592</v>
      </c>
      <c r="E1275" s="103">
        <v>30000</v>
      </c>
      <c r="F1275" s="98" t="s">
        <v>240</v>
      </c>
      <c r="G1275" s="98" t="s">
        <v>374</v>
      </c>
      <c r="H1275" s="98" t="s">
        <v>516</v>
      </c>
      <c r="I1275" s="98" t="s">
        <v>609</v>
      </c>
      <c r="K1275" s="100"/>
      <c r="L1275" s="108"/>
      <c r="M1275" s="100"/>
      <c r="N1275" s="100"/>
    </row>
    <row r="1276" spans="2:14" s="98" customFormat="1">
      <c r="B1276" s="99" t="s">
        <v>590</v>
      </c>
      <c r="C1276" s="109">
        <v>45897.395138888889</v>
      </c>
      <c r="D1276" s="112" t="s">
        <v>10</v>
      </c>
      <c r="E1276" s="103">
        <v>2900</v>
      </c>
      <c r="F1276" s="98" t="s">
        <v>240</v>
      </c>
      <c r="G1276" s="98" t="s">
        <v>374</v>
      </c>
      <c r="H1276" s="98" t="s">
        <v>516</v>
      </c>
      <c r="I1276" s="98" t="s">
        <v>247</v>
      </c>
      <c r="K1276" s="100"/>
      <c r="L1276" s="108"/>
      <c r="M1276" s="100"/>
      <c r="N1276" s="100"/>
    </row>
    <row r="1277" spans="2:14" s="98" customFormat="1">
      <c r="B1277" s="99" t="s">
        <v>590</v>
      </c>
      <c r="C1277" s="109">
        <v>45897</v>
      </c>
      <c r="D1277" s="109" t="s">
        <v>297</v>
      </c>
      <c r="E1277" s="103">
        <v>20000</v>
      </c>
      <c r="F1277" s="98" t="s">
        <v>240</v>
      </c>
      <c r="G1277" s="98" t="s">
        <v>373</v>
      </c>
      <c r="H1277" s="98" t="s">
        <v>516</v>
      </c>
      <c r="I1277" s="98" t="s">
        <v>270</v>
      </c>
      <c r="K1277" s="100"/>
      <c r="L1277" s="108"/>
      <c r="M1277" s="100"/>
      <c r="N1277" s="100"/>
    </row>
    <row r="1278" spans="2:14" s="98" customFormat="1">
      <c r="B1278" s="99" t="s">
        <v>590</v>
      </c>
      <c r="C1278" s="109">
        <v>45897</v>
      </c>
      <c r="D1278" s="109" t="s">
        <v>388</v>
      </c>
      <c r="E1278" s="103">
        <v>1700</v>
      </c>
      <c r="F1278" s="98" t="s">
        <v>240</v>
      </c>
      <c r="G1278" s="98" t="s">
        <v>373</v>
      </c>
      <c r="H1278" s="98" t="s">
        <v>516</v>
      </c>
      <c r="I1278" s="98" t="s">
        <v>247</v>
      </c>
      <c r="K1278" s="100"/>
      <c r="L1278" s="108"/>
      <c r="M1278" s="100"/>
      <c r="N1278" s="100"/>
    </row>
    <row r="1279" spans="2:14" s="98" customFormat="1">
      <c r="B1279" s="99" t="s">
        <v>590</v>
      </c>
      <c r="C1279" s="109">
        <v>45897</v>
      </c>
      <c r="D1279" s="109" t="s">
        <v>342</v>
      </c>
      <c r="E1279" s="103">
        <v>2250</v>
      </c>
      <c r="F1279" s="98" t="s">
        <v>240</v>
      </c>
      <c r="G1279" s="98" t="s">
        <v>373</v>
      </c>
      <c r="H1279" s="98" t="s">
        <v>516</v>
      </c>
      <c r="I1279" s="98" t="s">
        <v>247</v>
      </c>
      <c r="K1279" s="100"/>
      <c r="L1279" s="108"/>
      <c r="M1279" s="100"/>
      <c r="N1279" s="100"/>
    </row>
    <row r="1280" spans="2:14" s="98" customFormat="1">
      <c r="B1280" s="99" t="s">
        <v>590</v>
      </c>
      <c r="C1280" s="109">
        <v>45897</v>
      </c>
      <c r="D1280" s="109" t="s">
        <v>604</v>
      </c>
      <c r="E1280" s="103">
        <v>1300</v>
      </c>
      <c r="F1280" s="98" t="s">
        <v>240</v>
      </c>
      <c r="G1280" s="98" t="s">
        <v>373</v>
      </c>
      <c r="H1280" s="98" t="s">
        <v>516</v>
      </c>
      <c r="I1280" s="98" t="s">
        <v>247</v>
      </c>
      <c r="K1280" s="100"/>
      <c r="L1280" s="108"/>
      <c r="M1280" s="100"/>
      <c r="N1280" s="100"/>
    </row>
    <row r="1281" spans="2:14" s="98" customFormat="1">
      <c r="B1281" s="99" t="s">
        <v>590</v>
      </c>
      <c r="C1281" s="109">
        <v>45897</v>
      </c>
      <c r="D1281" s="109" t="s">
        <v>607</v>
      </c>
      <c r="E1281" s="103">
        <v>17000</v>
      </c>
      <c r="F1281" s="98" t="s">
        <v>240</v>
      </c>
      <c r="G1281" s="98" t="s">
        <v>373</v>
      </c>
      <c r="H1281" s="98" t="s">
        <v>516</v>
      </c>
      <c r="I1281" s="98" t="s">
        <v>248</v>
      </c>
      <c r="K1281" s="100"/>
      <c r="L1281" s="108"/>
      <c r="M1281" s="100"/>
      <c r="N1281" s="100"/>
    </row>
    <row r="1282" spans="2:14" s="98" customFormat="1">
      <c r="B1282" s="99" t="s">
        <v>590</v>
      </c>
      <c r="C1282" s="109">
        <v>45897</v>
      </c>
      <c r="D1282" s="109" t="s">
        <v>307</v>
      </c>
      <c r="E1282" s="103">
        <v>3615</v>
      </c>
      <c r="F1282" s="98" t="s">
        <v>240</v>
      </c>
      <c r="G1282" s="98" t="s">
        <v>373</v>
      </c>
      <c r="H1282" s="98" t="s">
        <v>516</v>
      </c>
      <c r="I1282" s="98" t="s">
        <v>245</v>
      </c>
      <c r="K1282" s="100"/>
      <c r="L1282" s="108"/>
      <c r="M1282" s="100"/>
      <c r="N1282" s="100"/>
    </row>
    <row r="1283" spans="2:14" s="98" customFormat="1">
      <c r="B1283" s="99" t="s">
        <v>590</v>
      </c>
      <c r="C1283" s="109">
        <v>45897</v>
      </c>
      <c r="D1283" s="109" t="s">
        <v>606</v>
      </c>
      <c r="E1283" s="103">
        <v>80971</v>
      </c>
      <c r="F1283" s="98" t="s">
        <v>240</v>
      </c>
      <c r="G1283" s="98" t="s">
        <v>373</v>
      </c>
      <c r="H1283" s="98" t="s">
        <v>516</v>
      </c>
      <c r="I1283" s="98" t="s">
        <v>245</v>
      </c>
      <c r="K1283" s="100"/>
      <c r="L1283" s="108"/>
      <c r="M1283" s="100"/>
      <c r="N1283" s="100"/>
    </row>
    <row r="1284" spans="2:14" s="98" customFormat="1">
      <c r="B1284" s="99" t="s">
        <v>590</v>
      </c>
      <c r="C1284" s="109">
        <v>45897</v>
      </c>
      <c r="D1284" s="109" t="s">
        <v>605</v>
      </c>
      <c r="E1284" s="103">
        <v>1790</v>
      </c>
      <c r="F1284" s="98" t="s">
        <v>240</v>
      </c>
      <c r="G1284" s="98" t="s">
        <v>373</v>
      </c>
      <c r="H1284" s="98" t="s">
        <v>513</v>
      </c>
      <c r="I1284" s="98" t="s">
        <v>544</v>
      </c>
      <c r="K1284" s="100"/>
      <c r="L1284" s="108"/>
      <c r="M1284" s="100"/>
      <c r="N1284" s="100"/>
    </row>
    <row r="1285" spans="2:14" s="98" customFormat="1">
      <c r="B1285" s="99" t="s">
        <v>590</v>
      </c>
      <c r="C1285" s="109">
        <v>45896.944444444445</v>
      </c>
      <c r="D1285" s="112" t="s">
        <v>11</v>
      </c>
      <c r="E1285" s="103">
        <v>-2555455</v>
      </c>
      <c r="F1285" s="98" t="s">
        <v>239</v>
      </c>
      <c r="I1285" s="98" t="s">
        <v>246</v>
      </c>
      <c r="K1285" s="100"/>
      <c r="L1285" s="108"/>
      <c r="M1285" s="100"/>
      <c r="N1285" s="100"/>
    </row>
    <row r="1286" spans="2:14" s="98" customFormat="1">
      <c r="B1286" s="99" t="s">
        <v>543</v>
      </c>
      <c r="C1286" s="109">
        <v>45896.699305555558</v>
      </c>
      <c r="D1286" s="98" t="s">
        <v>585</v>
      </c>
      <c r="E1286" s="103">
        <v>15000</v>
      </c>
      <c r="F1286" s="98" t="s">
        <v>240</v>
      </c>
      <c r="G1286" s="98" t="s">
        <v>374</v>
      </c>
      <c r="H1286" s="98" t="s">
        <v>516</v>
      </c>
      <c r="I1286" s="98" t="s">
        <v>471</v>
      </c>
      <c r="K1286" s="100"/>
      <c r="L1286" s="108"/>
      <c r="M1286" s="100"/>
      <c r="N1286" s="100"/>
    </row>
    <row r="1287" spans="2:14" s="98" customFormat="1">
      <c r="B1287" s="99" t="s">
        <v>543</v>
      </c>
      <c r="C1287" s="109">
        <v>45896.652777777781</v>
      </c>
      <c r="D1287" s="98" t="s">
        <v>46</v>
      </c>
      <c r="E1287" s="103">
        <v>1800</v>
      </c>
      <c r="F1287" s="98" t="s">
        <v>240</v>
      </c>
      <c r="G1287" s="98" t="s">
        <v>374</v>
      </c>
      <c r="H1287" s="98" t="s">
        <v>516</v>
      </c>
      <c r="I1287" s="98" t="s">
        <v>247</v>
      </c>
      <c r="K1287" s="100"/>
      <c r="L1287" s="108"/>
      <c r="M1287" s="100"/>
      <c r="N1287" s="100"/>
    </row>
    <row r="1288" spans="2:14" s="98" customFormat="1">
      <c r="B1288" s="99" t="s">
        <v>543</v>
      </c>
      <c r="C1288" s="109">
        <v>45896.631944444445</v>
      </c>
      <c r="D1288" s="98" t="s">
        <v>568</v>
      </c>
      <c r="E1288" s="103">
        <v>5680</v>
      </c>
      <c r="F1288" s="98" t="s">
        <v>240</v>
      </c>
      <c r="G1288" s="98" t="s">
        <v>374</v>
      </c>
      <c r="H1288" s="98" t="s">
        <v>516</v>
      </c>
      <c r="I1288" s="98" t="s">
        <v>471</v>
      </c>
      <c r="K1288" s="100"/>
      <c r="L1288" s="108"/>
      <c r="M1288" s="100"/>
      <c r="N1288" s="100"/>
    </row>
    <row r="1289" spans="2:14" s="98" customFormat="1">
      <c r="B1289" s="99" t="s">
        <v>543</v>
      </c>
      <c r="C1289" s="109">
        <v>45896.624305555553</v>
      </c>
      <c r="D1289" s="98" t="s">
        <v>506</v>
      </c>
      <c r="E1289" s="103">
        <v>6600</v>
      </c>
      <c r="F1289" s="98" t="s">
        <v>240</v>
      </c>
      <c r="G1289" s="98" t="s">
        <v>374</v>
      </c>
      <c r="H1289" s="98" t="s">
        <v>516</v>
      </c>
      <c r="I1289" s="98" t="s">
        <v>471</v>
      </c>
      <c r="K1289" s="100"/>
      <c r="L1289" s="108"/>
      <c r="M1289" s="100"/>
      <c r="N1289" s="100"/>
    </row>
    <row r="1290" spans="2:14" s="98" customFormat="1">
      <c r="B1290" s="99" t="s">
        <v>543</v>
      </c>
      <c r="C1290" s="109">
        <v>45895.916666666664</v>
      </c>
      <c r="D1290" s="98" t="s">
        <v>589</v>
      </c>
      <c r="E1290" s="103">
        <v>1900</v>
      </c>
      <c r="F1290" s="98" t="s">
        <v>240</v>
      </c>
      <c r="G1290" s="98" t="s">
        <v>374</v>
      </c>
      <c r="H1290" s="98" t="s">
        <v>516</v>
      </c>
      <c r="I1290" s="98" t="s">
        <v>241</v>
      </c>
      <c r="K1290" s="100"/>
      <c r="L1290" s="108"/>
      <c r="M1290" s="100"/>
      <c r="N1290" s="100"/>
    </row>
    <row r="1291" spans="2:14" s="98" customFormat="1">
      <c r="B1291" s="99" t="s">
        <v>543</v>
      </c>
      <c r="C1291" s="109">
        <v>45895.807638888888</v>
      </c>
      <c r="D1291" s="98" t="s">
        <v>500</v>
      </c>
      <c r="E1291" s="103">
        <v>4990</v>
      </c>
      <c r="F1291" s="98" t="s">
        <v>240</v>
      </c>
      <c r="G1291" s="98" t="s">
        <v>374</v>
      </c>
      <c r="H1291" s="98" t="s">
        <v>516</v>
      </c>
      <c r="I1291" s="98" t="s">
        <v>244</v>
      </c>
      <c r="K1291" s="100"/>
      <c r="L1291" s="108"/>
      <c r="M1291" s="100"/>
      <c r="N1291" s="100"/>
    </row>
    <row r="1292" spans="2:14" s="98" customFormat="1">
      <c r="B1292" s="99" t="s">
        <v>543</v>
      </c>
      <c r="C1292" s="109">
        <v>45895.800694444442</v>
      </c>
      <c r="D1292" s="98" t="s">
        <v>27</v>
      </c>
      <c r="E1292" s="103">
        <v>10000</v>
      </c>
      <c r="F1292" s="98" t="s">
        <v>240</v>
      </c>
      <c r="G1292" s="98" t="s">
        <v>374</v>
      </c>
      <c r="H1292" s="98" t="s">
        <v>516</v>
      </c>
      <c r="I1292" s="98" t="s">
        <v>270</v>
      </c>
      <c r="K1292" s="100"/>
      <c r="L1292" s="108"/>
      <c r="M1292" s="100"/>
      <c r="N1292" s="100"/>
    </row>
    <row r="1293" spans="2:14" s="98" customFormat="1">
      <c r="B1293" s="99" t="s">
        <v>543</v>
      </c>
      <c r="C1293" s="109">
        <v>45895.563194444447</v>
      </c>
      <c r="D1293" s="98" t="s">
        <v>504</v>
      </c>
      <c r="E1293" s="103">
        <v>1746</v>
      </c>
      <c r="F1293" s="98" t="s">
        <v>240</v>
      </c>
      <c r="G1293" s="98" t="s">
        <v>374</v>
      </c>
      <c r="H1293" s="98" t="s">
        <v>516</v>
      </c>
      <c r="I1293" s="98" t="s">
        <v>242</v>
      </c>
      <c r="K1293" s="100"/>
      <c r="L1293" s="108"/>
      <c r="M1293" s="100"/>
      <c r="N1293" s="100"/>
    </row>
    <row r="1294" spans="2:14" s="98" customFormat="1">
      <c r="B1294" s="99" t="s">
        <v>543</v>
      </c>
      <c r="C1294" s="109">
        <v>45894.925000000003</v>
      </c>
      <c r="D1294" s="98" t="s">
        <v>589</v>
      </c>
      <c r="E1294" s="103">
        <v>1800</v>
      </c>
      <c r="F1294" s="98" t="s">
        <v>240</v>
      </c>
      <c r="G1294" s="98" t="s">
        <v>374</v>
      </c>
      <c r="H1294" s="98" t="s">
        <v>516</v>
      </c>
      <c r="I1294" s="98" t="s">
        <v>241</v>
      </c>
      <c r="K1294" s="100"/>
      <c r="L1294" s="108"/>
      <c r="M1294" s="100"/>
      <c r="N1294" s="100"/>
    </row>
    <row r="1295" spans="2:14" s="98" customFormat="1">
      <c r="B1295" s="99" t="s">
        <v>543</v>
      </c>
      <c r="C1295" s="109">
        <v>45894.848611111112</v>
      </c>
      <c r="D1295" s="98" t="s">
        <v>12</v>
      </c>
      <c r="E1295" s="103">
        <v>9138</v>
      </c>
      <c r="F1295" s="98" t="s">
        <v>240</v>
      </c>
      <c r="G1295" s="98" t="s">
        <v>374</v>
      </c>
      <c r="H1295" s="98" t="s">
        <v>516</v>
      </c>
      <c r="I1295" s="98" t="s">
        <v>245</v>
      </c>
      <c r="K1295" s="100"/>
      <c r="L1295" s="108"/>
      <c r="M1295" s="100"/>
      <c r="N1295" s="100"/>
    </row>
    <row r="1296" spans="2:14" s="98" customFormat="1">
      <c r="B1296" s="99" t="s">
        <v>543</v>
      </c>
      <c r="C1296" s="109">
        <v>45894.648611111108</v>
      </c>
      <c r="D1296" s="98" t="s">
        <v>10</v>
      </c>
      <c r="E1296" s="103">
        <v>1700</v>
      </c>
      <c r="F1296" s="98" t="s">
        <v>240</v>
      </c>
      <c r="G1296" s="98" t="s">
        <v>374</v>
      </c>
      <c r="H1296" s="98" t="s">
        <v>516</v>
      </c>
      <c r="I1296" s="98" t="s">
        <v>247</v>
      </c>
      <c r="K1296" s="100"/>
      <c r="L1296" s="108"/>
      <c r="M1296" s="100"/>
      <c r="N1296" s="100"/>
    </row>
    <row r="1297" spans="2:14" s="98" customFormat="1">
      <c r="B1297" s="99" t="s">
        <v>543</v>
      </c>
      <c r="C1297" s="109">
        <v>45894.573611111111</v>
      </c>
      <c r="D1297" s="98" t="s">
        <v>19</v>
      </c>
      <c r="E1297" s="103">
        <v>3700</v>
      </c>
      <c r="F1297" s="98" t="s">
        <v>240</v>
      </c>
      <c r="G1297" s="98" t="s">
        <v>374</v>
      </c>
      <c r="H1297" s="98" t="s">
        <v>516</v>
      </c>
      <c r="I1297" s="98" t="s">
        <v>242</v>
      </c>
      <c r="K1297" s="100"/>
      <c r="L1297" s="108"/>
      <c r="M1297" s="100"/>
      <c r="N1297" s="100"/>
    </row>
    <row r="1298" spans="2:14" s="98" customFormat="1">
      <c r="B1298" s="99" t="s">
        <v>543</v>
      </c>
      <c r="C1298" s="109">
        <v>45893.777777777781</v>
      </c>
      <c r="D1298" s="98" t="s">
        <v>22</v>
      </c>
      <c r="E1298" s="103">
        <v>73202</v>
      </c>
      <c r="F1298" s="98" t="s">
        <v>240</v>
      </c>
      <c r="G1298" s="98" t="s">
        <v>374</v>
      </c>
      <c r="H1298" s="98" t="s">
        <v>516</v>
      </c>
      <c r="I1298" s="98" t="s">
        <v>245</v>
      </c>
      <c r="K1298" s="100"/>
      <c r="L1298" s="108"/>
      <c r="M1298" s="100"/>
      <c r="N1298" s="100"/>
    </row>
    <row r="1299" spans="2:14" s="98" customFormat="1">
      <c r="B1299" s="99" t="s">
        <v>543</v>
      </c>
      <c r="C1299" s="109">
        <v>45893.724999999999</v>
      </c>
      <c r="D1299" s="98" t="s">
        <v>561</v>
      </c>
      <c r="E1299" s="103">
        <v>1320</v>
      </c>
      <c r="F1299" s="98" t="s">
        <v>240</v>
      </c>
      <c r="G1299" s="98" t="s">
        <v>374</v>
      </c>
      <c r="H1299" s="98" t="s">
        <v>516</v>
      </c>
      <c r="I1299" s="98" t="s">
        <v>241</v>
      </c>
      <c r="K1299" s="100"/>
      <c r="L1299" s="108"/>
      <c r="M1299" s="100"/>
      <c r="N1299" s="100"/>
    </row>
    <row r="1300" spans="2:14" s="98" customFormat="1">
      <c r="B1300" s="99" t="s">
        <v>543</v>
      </c>
      <c r="C1300" s="109">
        <v>45893.618055555555</v>
      </c>
      <c r="D1300" s="98" t="s">
        <v>47</v>
      </c>
      <c r="E1300" s="103">
        <v>5850</v>
      </c>
      <c r="F1300" s="98" t="s">
        <v>240</v>
      </c>
      <c r="G1300" s="98" t="s">
        <v>374</v>
      </c>
      <c r="H1300" s="98" t="s">
        <v>516</v>
      </c>
      <c r="I1300" s="98" t="s">
        <v>544</v>
      </c>
      <c r="K1300" s="100"/>
      <c r="L1300" s="108"/>
      <c r="M1300" s="100"/>
      <c r="N1300" s="100"/>
    </row>
    <row r="1301" spans="2:14" s="98" customFormat="1">
      <c r="B1301" s="99" t="s">
        <v>543</v>
      </c>
      <c r="C1301" s="109">
        <v>45893.550694444442</v>
      </c>
      <c r="D1301" s="98" t="s">
        <v>578</v>
      </c>
      <c r="E1301" s="103">
        <v>6000</v>
      </c>
      <c r="F1301" s="98" t="s">
        <v>240</v>
      </c>
      <c r="G1301" s="98" t="s">
        <v>374</v>
      </c>
      <c r="H1301" s="98" t="s">
        <v>516</v>
      </c>
      <c r="I1301" s="98" t="s">
        <v>245</v>
      </c>
      <c r="K1301" s="100"/>
      <c r="L1301" s="108"/>
      <c r="M1301" s="100"/>
      <c r="N1301" s="100"/>
    </row>
    <row r="1302" spans="2:14" s="98" customFormat="1">
      <c r="B1302" s="99" t="s">
        <v>543</v>
      </c>
      <c r="C1302" s="109">
        <v>45892.817361111112</v>
      </c>
      <c r="D1302" s="98" t="s">
        <v>579</v>
      </c>
      <c r="E1302" s="103">
        <v>1300</v>
      </c>
      <c r="F1302" s="98" t="s">
        <v>240</v>
      </c>
      <c r="G1302" s="98" t="s">
        <v>374</v>
      </c>
      <c r="H1302" s="98" t="s">
        <v>516</v>
      </c>
      <c r="I1302" s="98" t="s">
        <v>247</v>
      </c>
      <c r="K1302" s="100"/>
      <c r="L1302" s="108"/>
      <c r="M1302" s="100"/>
      <c r="N1302" s="100"/>
    </row>
    <row r="1303" spans="2:14" s="98" customFormat="1">
      <c r="B1303" s="99" t="s">
        <v>543</v>
      </c>
      <c r="C1303" s="109">
        <v>45892.8125</v>
      </c>
      <c r="D1303" s="98" t="s">
        <v>580</v>
      </c>
      <c r="E1303" s="103">
        <v>9380</v>
      </c>
      <c r="F1303" s="98" t="s">
        <v>240</v>
      </c>
      <c r="G1303" s="98" t="s">
        <v>374</v>
      </c>
      <c r="H1303" s="98" t="s">
        <v>516</v>
      </c>
      <c r="I1303" s="98" t="s">
        <v>248</v>
      </c>
      <c r="K1303" s="100"/>
      <c r="L1303" s="108"/>
      <c r="M1303" s="100"/>
      <c r="N1303" s="100"/>
    </row>
    <row r="1304" spans="2:14" s="98" customFormat="1">
      <c r="B1304" s="99" t="s">
        <v>543</v>
      </c>
      <c r="C1304" s="109">
        <v>45892.732638888891</v>
      </c>
      <c r="D1304" s="98" t="s">
        <v>581</v>
      </c>
      <c r="E1304" s="103">
        <v>10800</v>
      </c>
      <c r="F1304" s="98" t="s">
        <v>240</v>
      </c>
      <c r="G1304" s="98" t="s">
        <v>374</v>
      </c>
      <c r="H1304" s="98" t="s">
        <v>516</v>
      </c>
      <c r="I1304" s="98" t="s">
        <v>248</v>
      </c>
      <c r="K1304" s="100"/>
      <c r="L1304" s="108"/>
      <c r="M1304" s="100"/>
      <c r="N1304" s="100"/>
    </row>
    <row r="1305" spans="2:14" s="98" customFormat="1">
      <c r="B1305" s="99" t="s">
        <v>543</v>
      </c>
      <c r="C1305" s="109">
        <v>45892.621527777781</v>
      </c>
      <c r="D1305" s="98" t="s">
        <v>123</v>
      </c>
      <c r="E1305" s="103">
        <v>11500</v>
      </c>
      <c r="F1305" s="98" t="s">
        <v>240</v>
      </c>
      <c r="G1305" s="98" t="s">
        <v>374</v>
      </c>
      <c r="H1305" s="98" t="s">
        <v>516</v>
      </c>
      <c r="I1305" s="98" t="s">
        <v>248</v>
      </c>
      <c r="K1305" s="100"/>
      <c r="L1305" s="108"/>
      <c r="M1305" s="100"/>
      <c r="N1305" s="100"/>
    </row>
    <row r="1306" spans="2:14" s="98" customFormat="1">
      <c r="B1306" s="99" t="s">
        <v>543</v>
      </c>
      <c r="C1306" s="109">
        <v>45892.427777777775</v>
      </c>
      <c r="D1306" s="98" t="s">
        <v>22</v>
      </c>
      <c r="E1306" s="103">
        <v>30000</v>
      </c>
      <c r="F1306" s="98" t="s">
        <v>240</v>
      </c>
      <c r="G1306" s="98" t="s">
        <v>374</v>
      </c>
      <c r="H1306" s="98" t="s">
        <v>516</v>
      </c>
      <c r="I1306" s="98" t="s">
        <v>263</v>
      </c>
      <c r="K1306" s="100"/>
      <c r="L1306" s="108"/>
      <c r="M1306" s="100"/>
      <c r="N1306" s="100"/>
    </row>
    <row r="1307" spans="2:14" s="98" customFormat="1">
      <c r="B1307" s="99" t="s">
        <v>543</v>
      </c>
      <c r="C1307" s="109">
        <v>45891.806250000001</v>
      </c>
      <c r="D1307" s="98" t="s">
        <v>561</v>
      </c>
      <c r="E1307" s="103">
        <v>1590</v>
      </c>
      <c r="F1307" s="98" t="s">
        <v>240</v>
      </c>
      <c r="G1307" s="98" t="s">
        <v>374</v>
      </c>
      <c r="H1307" s="98" t="s">
        <v>516</v>
      </c>
      <c r="I1307" s="98" t="s">
        <v>241</v>
      </c>
      <c r="K1307" s="100"/>
      <c r="L1307" s="108"/>
      <c r="M1307" s="100"/>
      <c r="N1307" s="100"/>
    </row>
    <row r="1308" spans="2:14" s="98" customFormat="1">
      <c r="B1308" s="99" t="s">
        <v>543</v>
      </c>
      <c r="C1308" s="109">
        <v>45891.803472222222</v>
      </c>
      <c r="D1308" s="98" t="s">
        <v>172</v>
      </c>
      <c r="E1308" s="103">
        <v>26200</v>
      </c>
      <c r="F1308" s="98" t="s">
        <v>240</v>
      </c>
      <c r="G1308" s="98" t="s">
        <v>374</v>
      </c>
      <c r="H1308" s="98" t="s">
        <v>516</v>
      </c>
      <c r="I1308" s="98" t="s">
        <v>245</v>
      </c>
      <c r="K1308" s="100"/>
      <c r="L1308" s="108"/>
      <c r="M1308" s="100"/>
      <c r="N1308" s="100"/>
    </row>
    <row r="1309" spans="2:14" s="98" customFormat="1">
      <c r="B1309" s="99" t="s">
        <v>543</v>
      </c>
      <c r="C1309" s="109">
        <v>45891.787499999999</v>
      </c>
      <c r="D1309" s="98" t="s">
        <v>582</v>
      </c>
      <c r="E1309" s="103">
        <v>3995</v>
      </c>
      <c r="F1309" s="98" t="s">
        <v>240</v>
      </c>
      <c r="G1309" s="98" t="s">
        <v>374</v>
      </c>
      <c r="H1309" s="98" t="s">
        <v>516</v>
      </c>
      <c r="I1309" s="98" t="s">
        <v>244</v>
      </c>
      <c r="K1309" s="100"/>
      <c r="L1309" s="108"/>
      <c r="M1309" s="100"/>
      <c r="N1309" s="100"/>
    </row>
    <row r="1310" spans="2:14" s="98" customFormat="1">
      <c r="B1310" s="99" t="s">
        <v>543</v>
      </c>
      <c r="C1310" s="109">
        <v>45891.25277777778</v>
      </c>
      <c r="D1310" s="98" t="s">
        <v>583</v>
      </c>
      <c r="E1310" s="103">
        <v>-123994</v>
      </c>
      <c r="F1310" s="98" t="s">
        <v>239</v>
      </c>
      <c r="I1310" s="98" t="s">
        <v>471</v>
      </c>
      <c r="K1310" s="100"/>
      <c r="L1310" s="108"/>
      <c r="M1310" s="100"/>
      <c r="N1310" s="100"/>
    </row>
    <row r="1311" spans="2:14" s="98" customFormat="1">
      <c r="B1311" s="99" t="s">
        <v>543</v>
      </c>
      <c r="C1311" s="109">
        <v>45890.813194444447</v>
      </c>
      <c r="D1311" s="98" t="s">
        <v>12</v>
      </c>
      <c r="E1311" s="103">
        <v>15396</v>
      </c>
      <c r="F1311" s="98" t="s">
        <v>240</v>
      </c>
      <c r="G1311" s="98" t="s">
        <v>374</v>
      </c>
      <c r="H1311" s="98" t="s">
        <v>516</v>
      </c>
      <c r="I1311" s="98" t="s">
        <v>245</v>
      </c>
      <c r="K1311" s="100"/>
      <c r="L1311" s="108"/>
      <c r="M1311" s="100"/>
      <c r="N1311" s="100"/>
    </row>
    <row r="1312" spans="2:14" s="98" customFormat="1">
      <c r="B1312" s="99" t="s">
        <v>543</v>
      </c>
      <c r="C1312" s="109">
        <v>45890.803472222222</v>
      </c>
      <c r="D1312" s="98" t="s">
        <v>56</v>
      </c>
      <c r="E1312" s="103">
        <v>1900</v>
      </c>
      <c r="F1312" s="98" t="s">
        <v>240</v>
      </c>
      <c r="G1312" s="98" t="s">
        <v>374</v>
      </c>
      <c r="H1312" s="98" t="s">
        <v>516</v>
      </c>
      <c r="I1312" s="98" t="s">
        <v>247</v>
      </c>
      <c r="K1312" s="100"/>
      <c r="L1312" s="108"/>
      <c r="M1312" s="100"/>
      <c r="N1312" s="100"/>
    </row>
    <row r="1313" spans="2:14" s="98" customFormat="1">
      <c r="B1313" s="99" t="s">
        <v>543</v>
      </c>
      <c r="C1313" s="109">
        <v>45890.745833333334</v>
      </c>
      <c r="D1313" s="98" t="s">
        <v>47</v>
      </c>
      <c r="E1313" s="103">
        <v>590</v>
      </c>
      <c r="F1313" s="98" t="s">
        <v>240</v>
      </c>
      <c r="G1313" s="98" t="s">
        <v>374</v>
      </c>
      <c r="H1313" s="98" t="s">
        <v>516</v>
      </c>
      <c r="I1313" s="98" t="s">
        <v>268</v>
      </c>
      <c r="K1313" s="100"/>
      <c r="L1313" s="108"/>
      <c r="M1313" s="100"/>
      <c r="N1313" s="100"/>
    </row>
    <row r="1314" spans="2:14" s="98" customFormat="1">
      <c r="B1314" s="99" t="s">
        <v>543</v>
      </c>
      <c r="C1314" s="109">
        <v>45890.425000000003</v>
      </c>
      <c r="D1314" s="98" t="s">
        <v>172</v>
      </c>
      <c r="E1314" s="103">
        <v>15720</v>
      </c>
      <c r="F1314" s="98" t="s">
        <v>240</v>
      </c>
      <c r="G1314" s="98" t="s">
        <v>374</v>
      </c>
      <c r="H1314" s="98" t="s">
        <v>516</v>
      </c>
      <c r="I1314" s="98" t="s">
        <v>245</v>
      </c>
      <c r="K1314" s="100"/>
      <c r="L1314" s="108"/>
      <c r="M1314" s="100"/>
      <c r="N1314" s="100"/>
    </row>
    <row r="1315" spans="2:14" s="98" customFormat="1">
      <c r="B1315" s="99" t="s">
        <v>543</v>
      </c>
      <c r="C1315" s="109">
        <v>45890.371527777781</v>
      </c>
      <c r="D1315" s="98" t="s">
        <v>584</v>
      </c>
      <c r="E1315" s="103">
        <v>640</v>
      </c>
      <c r="F1315" s="98" t="s">
        <v>240</v>
      </c>
      <c r="G1315" s="98" t="s">
        <v>374</v>
      </c>
      <c r="H1315" s="98" t="s">
        <v>516</v>
      </c>
      <c r="I1315" s="98" t="s">
        <v>244</v>
      </c>
      <c r="K1315" s="100"/>
      <c r="L1315" s="108"/>
      <c r="M1315" s="100"/>
      <c r="N1315" s="100"/>
    </row>
    <row r="1316" spans="2:14" s="98" customFormat="1">
      <c r="B1316" s="99" t="s">
        <v>543</v>
      </c>
      <c r="C1316" s="109">
        <v>45889.720833333333</v>
      </c>
      <c r="D1316" s="98" t="s">
        <v>569</v>
      </c>
      <c r="E1316" s="103">
        <v>2200</v>
      </c>
      <c r="F1316" s="98" t="s">
        <v>240</v>
      </c>
      <c r="G1316" s="98" t="s">
        <v>374</v>
      </c>
      <c r="H1316" s="98" t="s">
        <v>516</v>
      </c>
      <c r="I1316" s="98" t="s">
        <v>471</v>
      </c>
      <c r="K1316" s="100"/>
      <c r="L1316" s="108"/>
      <c r="M1316" s="100"/>
      <c r="N1316" s="100"/>
    </row>
    <row r="1317" spans="2:14" s="98" customFormat="1">
      <c r="B1317" s="99" t="s">
        <v>543</v>
      </c>
      <c r="C1317" s="109">
        <v>45889.691666666666</v>
      </c>
      <c r="D1317" s="98" t="s">
        <v>585</v>
      </c>
      <c r="E1317" s="103">
        <v>15000</v>
      </c>
      <c r="F1317" s="98" t="s">
        <v>240</v>
      </c>
      <c r="G1317" s="98" t="s">
        <v>374</v>
      </c>
      <c r="H1317" s="98" t="s">
        <v>516</v>
      </c>
      <c r="I1317" s="98" t="s">
        <v>471</v>
      </c>
      <c r="K1317" s="100"/>
      <c r="L1317" s="108"/>
      <c r="M1317" s="100"/>
      <c r="N1317" s="100"/>
    </row>
    <row r="1318" spans="2:14" s="98" customFormat="1">
      <c r="B1318" s="99" t="s">
        <v>543</v>
      </c>
      <c r="C1318" s="109">
        <v>45889.650694444441</v>
      </c>
      <c r="D1318" s="98" t="s">
        <v>46</v>
      </c>
      <c r="E1318" s="103">
        <v>2000</v>
      </c>
      <c r="F1318" s="98" t="s">
        <v>240</v>
      </c>
      <c r="G1318" s="98" t="s">
        <v>374</v>
      </c>
      <c r="H1318" s="98" t="s">
        <v>516</v>
      </c>
      <c r="I1318" s="98" t="s">
        <v>247</v>
      </c>
      <c r="K1318" s="100"/>
      <c r="L1318" s="108"/>
      <c r="M1318" s="100"/>
      <c r="N1318" s="100"/>
    </row>
    <row r="1319" spans="2:14" s="98" customFormat="1">
      <c r="B1319" s="99" t="s">
        <v>543</v>
      </c>
      <c r="C1319" s="109">
        <v>45889.623611111114</v>
      </c>
      <c r="D1319" s="98" t="s">
        <v>568</v>
      </c>
      <c r="E1319" s="103">
        <v>4820</v>
      </c>
      <c r="F1319" s="98" t="s">
        <v>240</v>
      </c>
      <c r="G1319" s="98" t="s">
        <v>374</v>
      </c>
      <c r="H1319" s="98" t="s">
        <v>516</v>
      </c>
      <c r="I1319" s="98" t="s">
        <v>471</v>
      </c>
      <c r="K1319" s="100"/>
      <c r="L1319" s="108"/>
      <c r="M1319" s="100"/>
      <c r="N1319" s="100"/>
    </row>
    <row r="1320" spans="2:14" s="98" customFormat="1">
      <c r="B1320" s="99" t="s">
        <v>543</v>
      </c>
      <c r="C1320" s="109">
        <v>45889.618055555555</v>
      </c>
      <c r="D1320" s="98" t="s">
        <v>506</v>
      </c>
      <c r="E1320" s="103">
        <v>6600</v>
      </c>
      <c r="F1320" s="98" t="s">
        <v>240</v>
      </c>
      <c r="G1320" s="98" t="s">
        <v>374</v>
      </c>
      <c r="H1320" s="98" t="s">
        <v>516</v>
      </c>
      <c r="I1320" s="98" t="s">
        <v>471</v>
      </c>
      <c r="K1320" s="100"/>
      <c r="L1320" s="108"/>
      <c r="M1320" s="100"/>
      <c r="N1320" s="100"/>
    </row>
    <row r="1321" spans="2:14" s="98" customFormat="1">
      <c r="B1321" s="99" t="s">
        <v>543</v>
      </c>
      <c r="C1321" s="109">
        <v>45889.359027777777</v>
      </c>
      <c r="D1321" s="98" t="s">
        <v>586</v>
      </c>
      <c r="E1321" s="103">
        <v>800</v>
      </c>
      <c r="F1321" s="98" t="s">
        <v>240</v>
      </c>
      <c r="G1321" s="98" t="s">
        <v>374</v>
      </c>
      <c r="H1321" s="98" t="s">
        <v>516</v>
      </c>
      <c r="I1321" s="98" t="s">
        <v>247</v>
      </c>
      <c r="K1321" s="100"/>
      <c r="L1321" s="108"/>
      <c r="M1321" s="100"/>
      <c r="N1321" s="100"/>
    </row>
    <row r="1322" spans="2:14" s="98" customFormat="1">
      <c r="B1322" s="99" t="s">
        <v>543</v>
      </c>
      <c r="C1322" s="109">
        <v>45888.930555555555</v>
      </c>
      <c r="D1322" s="98" t="s">
        <v>522</v>
      </c>
      <c r="E1322" s="103">
        <v>11965</v>
      </c>
      <c r="F1322" s="98" t="s">
        <v>240</v>
      </c>
      <c r="G1322" s="98" t="s">
        <v>374</v>
      </c>
      <c r="H1322" s="98" t="s">
        <v>516</v>
      </c>
      <c r="I1322" s="98" t="s">
        <v>248</v>
      </c>
      <c r="K1322" s="100"/>
      <c r="L1322" s="108"/>
      <c r="M1322" s="100"/>
      <c r="N1322" s="100"/>
    </row>
    <row r="1323" spans="2:14" s="98" customFormat="1">
      <c r="B1323" s="99" t="s">
        <v>543</v>
      </c>
      <c r="C1323" s="109">
        <v>45888.79791666667</v>
      </c>
      <c r="D1323" s="98" t="s">
        <v>94</v>
      </c>
      <c r="E1323" s="103">
        <v>8590</v>
      </c>
      <c r="F1323" s="98" t="s">
        <v>240</v>
      </c>
      <c r="G1323" s="98" t="s">
        <v>374</v>
      </c>
      <c r="H1323" s="98" t="s">
        <v>516</v>
      </c>
      <c r="I1323" s="98" t="s">
        <v>244</v>
      </c>
      <c r="K1323" s="100"/>
      <c r="L1323" s="108"/>
      <c r="M1323" s="100"/>
      <c r="N1323" s="100"/>
    </row>
    <row r="1324" spans="2:14" s="98" customFormat="1">
      <c r="B1324" s="99" t="s">
        <v>543</v>
      </c>
      <c r="C1324" s="109">
        <v>45888.577777777777</v>
      </c>
      <c r="D1324" s="98" t="s">
        <v>587</v>
      </c>
      <c r="E1324" s="103">
        <v>1790</v>
      </c>
      <c r="F1324" s="98" t="s">
        <v>240</v>
      </c>
      <c r="G1324" s="98" t="s">
        <v>374</v>
      </c>
      <c r="H1324" s="98" t="s">
        <v>516</v>
      </c>
      <c r="I1324" s="98" t="s">
        <v>247</v>
      </c>
      <c r="K1324" s="100"/>
      <c r="L1324" s="108"/>
      <c r="M1324" s="100"/>
      <c r="N1324" s="100"/>
    </row>
    <row r="1325" spans="2:14" s="98" customFormat="1">
      <c r="B1325" s="99" t="s">
        <v>543</v>
      </c>
      <c r="C1325" s="109">
        <v>45888.401388888888</v>
      </c>
      <c r="D1325" s="98" t="s">
        <v>22</v>
      </c>
      <c r="E1325" s="103">
        <v>10000</v>
      </c>
      <c r="F1325" s="98" t="s">
        <v>240</v>
      </c>
      <c r="G1325" s="98" t="s">
        <v>374</v>
      </c>
      <c r="H1325" s="98" t="s">
        <v>516</v>
      </c>
      <c r="I1325" s="98" t="s">
        <v>263</v>
      </c>
      <c r="K1325" s="100"/>
      <c r="L1325" s="108"/>
      <c r="M1325" s="100"/>
      <c r="N1325" s="100"/>
    </row>
    <row r="1326" spans="2:14" s="98" customFormat="1">
      <c r="B1326" s="99" t="s">
        <v>543</v>
      </c>
      <c r="C1326" s="109">
        <v>45887.822916666664</v>
      </c>
      <c r="D1326" s="98" t="s">
        <v>588</v>
      </c>
      <c r="E1326" s="103">
        <v>4500</v>
      </c>
      <c r="F1326" s="98" t="s">
        <v>240</v>
      </c>
      <c r="G1326" s="98" t="s">
        <v>374</v>
      </c>
      <c r="H1326" s="98" t="s">
        <v>516</v>
      </c>
      <c r="I1326" s="98" t="s">
        <v>247</v>
      </c>
      <c r="K1326" s="100"/>
      <c r="L1326" s="108"/>
      <c r="M1326" s="100"/>
      <c r="N1326" s="100"/>
    </row>
    <row r="1327" spans="2:14" s="98" customFormat="1">
      <c r="B1327" s="99" t="s">
        <v>543</v>
      </c>
      <c r="C1327" s="109">
        <v>45887.802083333336</v>
      </c>
      <c r="D1327" s="98" t="s">
        <v>12</v>
      </c>
      <c r="E1327" s="103">
        <v>13179</v>
      </c>
      <c r="F1327" s="98" t="s">
        <v>240</v>
      </c>
      <c r="G1327" s="98" t="s">
        <v>374</v>
      </c>
      <c r="H1327" s="98" t="s">
        <v>516</v>
      </c>
      <c r="I1327" s="98" t="s">
        <v>245</v>
      </c>
      <c r="K1327" s="100"/>
      <c r="L1327" s="108"/>
      <c r="M1327" s="100"/>
      <c r="N1327" s="100"/>
    </row>
    <row r="1328" spans="2:14" s="98" customFormat="1">
      <c r="B1328" s="99" t="s">
        <v>543</v>
      </c>
      <c r="C1328" s="109">
        <v>45887.65347222222</v>
      </c>
      <c r="D1328" s="98" t="s">
        <v>10</v>
      </c>
      <c r="E1328" s="103">
        <v>1650</v>
      </c>
      <c r="F1328" s="98" t="s">
        <v>240</v>
      </c>
      <c r="G1328" s="98" t="s">
        <v>374</v>
      </c>
      <c r="H1328" s="98" t="s">
        <v>516</v>
      </c>
      <c r="I1328" s="98" t="s">
        <v>242</v>
      </c>
      <c r="K1328" s="100"/>
      <c r="L1328" s="108"/>
      <c r="M1328" s="100"/>
      <c r="N1328" s="100"/>
    </row>
    <row r="1329" spans="2:14" s="98" customFormat="1">
      <c r="B1329" s="99" t="s">
        <v>543</v>
      </c>
      <c r="C1329" s="109">
        <v>45887.555555555555</v>
      </c>
      <c r="D1329" s="98" t="s">
        <v>19</v>
      </c>
      <c r="E1329" s="103">
        <v>3700</v>
      </c>
      <c r="F1329" s="98" t="s">
        <v>240</v>
      </c>
      <c r="G1329" s="98" t="s">
        <v>374</v>
      </c>
      <c r="H1329" s="98" t="s">
        <v>516</v>
      </c>
      <c r="I1329" s="98" t="s">
        <v>242</v>
      </c>
      <c r="K1329" s="100"/>
      <c r="L1329" s="108"/>
      <c r="M1329" s="100"/>
      <c r="N1329" s="100"/>
    </row>
    <row r="1330" spans="2:14" s="98" customFormat="1">
      <c r="B1330" s="99" t="s">
        <v>543</v>
      </c>
      <c r="C1330" s="109">
        <v>45887.510416666664</v>
      </c>
      <c r="D1330" s="98" t="s">
        <v>10</v>
      </c>
      <c r="E1330" s="103">
        <v>1450</v>
      </c>
      <c r="F1330" s="98" t="s">
        <v>240</v>
      </c>
      <c r="G1330" s="98" t="s">
        <v>374</v>
      </c>
      <c r="H1330" s="98" t="s">
        <v>516</v>
      </c>
      <c r="I1330" s="98" t="s">
        <v>242</v>
      </c>
      <c r="K1330" s="100"/>
      <c r="L1330" s="108"/>
      <c r="M1330" s="100"/>
      <c r="N1330" s="100"/>
    </row>
    <row r="1331" spans="2:14" s="98" customFormat="1">
      <c r="B1331" s="99" t="s">
        <v>543</v>
      </c>
      <c r="C1331" s="109">
        <v>45886.848611111112</v>
      </c>
      <c r="D1331" s="98" t="s">
        <v>28</v>
      </c>
      <c r="E1331" s="103">
        <v>95857</v>
      </c>
      <c r="F1331" s="98" t="s">
        <v>240</v>
      </c>
      <c r="G1331" s="98" t="s">
        <v>374</v>
      </c>
      <c r="H1331" s="98" t="s">
        <v>516</v>
      </c>
      <c r="I1331" s="98" t="s">
        <v>245</v>
      </c>
      <c r="K1331" s="100"/>
      <c r="L1331" s="108"/>
      <c r="M1331" s="100"/>
      <c r="N1331" s="100"/>
    </row>
    <row r="1332" spans="2:14" s="98" customFormat="1">
      <c r="B1332" s="99" t="s">
        <v>543</v>
      </c>
      <c r="C1332" s="109">
        <v>45886.777083333334</v>
      </c>
      <c r="D1332" s="98" t="s">
        <v>500</v>
      </c>
      <c r="E1332" s="103">
        <v>2790</v>
      </c>
      <c r="F1332" s="98" t="s">
        <v>240</v>
      </c>
      <c r="G1332" s="98" t="s">
        <v>374</v>
      </c>
      <c r="H1332" s="98" t="s">
        <v>516</v>
      </c>
      <c r="I1332" s="98" t="s">
        <v>244</v>
      </c>
      <c r="K1332" s="100"/>
      <c r="L1332" s="108"/>
      <c r="M1332" s="100"/>
      <c r="N1332" s="100"/>
    </row>
    <row r="1333" spans="2:14" s="98" customFormat="1">
      <c r="B1333" s="99" t="s">
        <v>543</v>
      </c>
      <c r="C1333" s="109">
        <v>45886.590277777781</v>
      </c>
      <c r="D1333" s="98" t="s">
        <v>172</v>
      </c>
      <c r="E1333" s="103">
        <v>1590</v>
      </c>
      <c r="F1333" s="98" t="s">
        <v>240</v>
      </c>
      <c r="G1333" s="98" t="s">
        <v>374</v>
      </c>
      <c r="H1333" s="98" t="s">
        <v>516</v>
      </c>
      <c r="I1333" s="98" t="s">
        <v>245</v>
      </c>
      <c r="K1333" s="100"/>
      <c r="L1333" s="108"/>
      <c r="M1333" s="100"/>
      <c r="N1333" s="100"/>
    </row>
    <row r="1334" spans="2:14" s="98" customFormat="1">
      <c r="B1334" s="99" t="s">
        <v>543</v>
      </c>
      <c r="C1334" s="109">
        <v>45886.589583333334</v>
      </c>
      <c r="D1334" s="98" t="s">
        <v>172</v>
      </c>
      <c r="E1334" s="103">
        <v>12160</v>
      </c>
      <c r="F1334" s="98" t="s">
        <v>240</v>
      </c>
      <c r="G1334" s="98" t="s">
        <v>374</v>
      </c>
      <c r="H1334" s="98" t="s">
        <v>516</v>
      </c>
      <c r="I1334" s="98" t="s">
        <v>245</v>
      </c>
      <c r="K1334" s="100"/>
      <c r="L1334" s="108"/>
      <c r="M1334" s="100"/>
      <c r="N1334" s="100"/>
    </row>
    <row r="1335" spans="2:14" s="98" customFormat="1">
      <c r="B1335" s="99" t="s">
        <v>543</v>
      </c>
      <c r="C1335" s="109">
        <v>45886.486111111109</v>
      </c>
      <c r="D1335" s="98" t="s">
        <v>65</v>
      </c>
      <c r="E1335" s="103">
        <v>1400</v>
      </c>
      <c r="F1335" s="98" t="s">
        <v>240</v>
      </c>
      <c r="G1335" s="98" t="s">
        <v>374</v>
      </c>
      <c r="H1335" s="98" t="s">
        <v>516</v>
      </c>
      <c r="I1335" s="98" t="s">
        <v>247</v>
      </c>
      <c r="K1335" s="100"/>
      <c r="L1335" s="108"/>
      <c r="M1335" s="100"/>
      <c r="N1335" s="100"/>
    </row>
    <row r="1336" spans="2:14" s="98" customFormat="1">
      <c r="B1336" s="99" t="s">
        <v>543</v>
      </c>
      <c r="C1336" s="109">
        <v>45885.768055555556</v>
      </c>
      <c r="D1336" s="98" t="s">
        <v>560</v>
      </c>
      <c r="E1336" s="103">
        <v>12640</v>
      </c>
      <c r="F1336" s="98" t="s">
        <v>240</v>
      </c>
      <c r="G1336" s="98" t="s">
        <v>374</v>
      </c>
      <c r="H1336" s="98" t="s">
        <v>516</v>
      </c>
      <c r="I1336" s="98" t="s">
        <v>268</v>
      </c>
      <c r="K1336" s="100"/>
      <c r="L1336" s="108"/>
      <c r="M1336" s="100"/>
      <c r="N1336" s="100"/>
    </row>
    <row r="1337" spans="2:14" s="98" customFormat="1">
      <c r="B1337" s="99" t="s">
        <v>543</v>
      </c>
      <c r="C1337" s="109">
        <v>45885.688888888886</v>
      </c>
      <c r="D1337" s="98" t="s">
        <v>183</v>
      </c>
      <c r="E1337" s="103">
        <v>17600</v>
      </c>
      <c r="F1337" s="98" t="s">
        <v>240</v>
      </c>
      <c r="G1337" s="98" t="s">
        <v>374</v>
      </c>
      <c r="H1337" s="98" t="s">
        <v>516</v>
      </c>
      <c r="I1337" s="98" t="s">
        <v>268</v>
      </c>
      <c r="K1337" s="100"/>
      <c r="L1337" s="108"/>
      <c r="M1337" s="100"/>
      <c r="N1337" s="100"/>
    </row>
    <row r="1338" spans="2:14" s="98" customFormat="1">
      <c r="B1338" s="99" t="s">
        <v>543</v>
      </c>
      <c r="C1338" s="109">
        <v>45885.540972222225</v>
      </c>
      <c r="D1338" s="98" t="s">
        <v>561</v>
      </c>
      <c r="E1338" s="103">
        <v>2640</v>
      </c>
      <c r="F1338" s="98" t="s">
        <v>240</v>
      </c>
      <c r="G1338" s="98" t="s">
        <v>374</v>
      </c>
      <c r="H1338" s="98" t="s">
        <v>516</v>
      </c>
      <c r="I1338" s="98" t="s">
        <v>241</v>
      </c>
      <c r="K1338" s="100"/>
      <c r="L1338" s="108"/>
      <c r="M1338" s="100"/>
      <c r="N1338" s="100"/>
    </row>
    <row r="1339" spans="2:14" s="98" customFormat="1">
      <c r="B1339" s="99" t="s">
        <v>543</v>
      </c>
      <c r="C1339" s="109">
        <v>45885.539583333331</v>
      </c>
      <c r="D1339" s="98" t="s">
        <v>172</v>
      </c>
      <c r="E1339" s="103">
        <v>5000</v>
      </c>
      <c r="F1339" s="98" t="s">
        <v>240</v>
      </c>
      <c r="G1339" s="98" t="s">
        <v>374</v>
      </c>
      <c r="H1339" s="98" t="s">
        <v>516</v>
      </c>
      <c r="I1339" s="98" t="s">
        <v>245</v>
      </c>
      <c r="K1339" s="100"/>
      <c r="L1339" s="108"/>
      <c r="M1339" s="100"/>
      <c r="N1339" s="100"/>
    </row>
    <row r="1340" spans="2:14" s="98" customFormat="1">
      <c r="B1340" s="99" t="s">
        <v>543</v>
      </c>
      <c r="C1340" s="109">
        <v>45884.879166666666</v>
      </c>
      <c r="D1340" s="98" t="s">
        <v>562</v>
      </c>
      <c r="E1340" s="103">
        <v>2200</v>
      </c>
      <c r="F1340" s="98" t="s">
        <v>240</v>
      </c>
      <c r="G1340" s="98" t="s">
        <v>374</v>
      </c>
      <c r="H1340" s="98" t="s">
        <v>516</v>
      </c>
      <c r="I1340" s="98" t="s">
        <v>247</v>
      </c>
      <c r="K1340" s="100"/>
      <c r="L1340" s="108"/>
      <c r="M1340" s="100"/>
      <c r="N1340" s="100"/>
    </row>
    <row r="1341" spans="2:14" s="98" customFormat="1">
      <c r="B1341" s="99" t="s">
        <v>543</v>
      </c>
      <c r="C1341" s="109">
        <v>45884.877083333333</v>
      </c>
      <c r="D1341" s="98" t="s">
        <v>563</v>
      </c>
      <c r="E1341" s="103">
        <v>5500</v>
      </c>
      <c r="F1341" s="98" t="s">
        <v>240</v>
      </c>
      <c r="G1341" s="98" t="s">
        <v>374</v>
      </c>
      <c r="H1341" s="98" t="s">
        <v>516</v>
      </c>
      <c r="I1341" s="98" t="s">
        <v>248</v>
      </c>
      <c r="K1341" s="100"/>
      <c r="L1341" s="108"/>
      <c r="M1341" s="100"/>
      <c r="N1341" s="100"/>
    </row>
    <row r="1342" spans="2:14" s="98" customFormat="1">
      <c r="B1342" s="99" t="s">
        <v>543</v>
      </c>
      <c r="C1342" s="109">
        <v>45884.503472222219</v>
      </c>
      <c r="D1342" s="98" t="s">
        <v>564</v>
      </c>
      <c r="E1342" s="103">
        <v>2790</v>
      </c>
      <c r="F1342" s="98" t="s">
        <v>240</v>
      </c>
      <c r="G1342" s="98" t="s">
        <v>374</v>
      </c>
      <c r="H1342" s="98" t="s">
        <v>516</v>
      </c>
      <c r="I1342" s="98" t="s">
        <v>247</v>
      </c>
      <c r="K1342" s="100"/>
      <c r="L1342" s="108"/>
      <c r="M1342" s="100"/>
      <c r="N1342" s="100"/>
    </row>
    <row r="1343" spans="2:14" s="98" customFormat="1">
      <c r="B1343" s="99" t="s">
        <v>543</v>
      </c>
      <c r="C1343" s="109">
        <v>45884.40902777778</v>
      </c>
      <c r="D1343" s="98" t="s">
        <v>565</v>
      </c>
      <c r="E1343" s="103">
        <v>5780</v>
      </c>
      <c r="F1343" s="98" t="s">
        <v>240</v>
      </c>
      <c r="G1343" s="98" t="s">
        <v>374</v>
      </c>
      <c r="H1343" s="98" t="s">
        <v>516</v>
      </c>
      <c r="I1343" s="98" t="s">
        <v>247</v>
      </c>
      <c r="K1343" s="100"/>
      <c r="L1343" s="108"/>
      <c r="M1343" s="100"/>
      <c r="N1343" s="100"/>
    </row>
    <row r="1344" spans="2:14" s="98" customFormat="1">
      <c r="B1344" s="99" t="s">
        <v>543</v>
      </c>
      <c r="C1344" s="109">
        <v>45883.799305555556</v>
      </c>
      <c r="D1344" s="98" t="s">
        <v>51</v>
      </c>
      <c r="E1344" s="103">
        <v>10000</v>
      </c>
      <c r="F1344" s="98" t="s">
        <v>240</v>
      </c>
      <c r="G1344" s="98" t="s">
        <v>374</v>
      </c>
      <c r="H1344" s="98" t="s">
        <v>516</v>
      </c>
      <c r="I1344" s="98" t="s">
        <v>270</v>
      </c>
      <c r="K1344" s="100"/>
      <c r="L1344" s="108"/>
      <c r="M1344" s="100"/>
      <c r="N1344" s="100"/>
    </row>
    <row r="1345" spans="2:14" s="98" customFormat="1">
      <c r="B1345" s="99" t="s">
        <v>543</v>
      </c>
      <c r="C1345" s="109">
        <v>45883.675694444442</v>
      </c>
      <c r="D1345" s="98" t="s">
        <v>566</v>
      </c>
      <c r="E1345" s="103">
        <v>4680</v>
      </c>
      <c r="F1345" s="98" t="s">
        <v>240</v>
      </c>
      <c r="G1345" s="98" t="s">
        <v>374</v>
      </c>
      <c r="H1345" s="98" t="s">
        <v>516</v>
      </c>
      <c r="I1345" s="98" t="s">
        <v>471</v>
      </c>
      <c r="K1345" s="100"/>
      <c r="L1345" s="108"/>
      <c r="M1345" s="100"/>
      <c r="N1345" s="100"/>
    </row>
    <row r="1346" spans="2:14" s="98" customFormat="1">
      <c r="B1346" s="99" t="s">
        <v>543</v>
      </c>
      <c r="C1346" s="109">
        <v>45883.588888888888</v>
      </c>
      <c r="D1346" s="98" t="s">
        <v>9</v>
      </c>
      <c r="E1346" s="103">
        <v>10296</v>
      </c>
      <c r="F1346" s="98" t="s">
        <v>240</v>
      </c>
      <c r="G1346" s="98" t="s">
        <v>374</v>
      </c>
      <c r="H1346" s="98" t="s">
        <v>516</v>
      </c>
      <c r="I1346" s="98" t="s">
        <v>471</v>
      </c>
      <c r="K1346" s="100"/>
      <c r="L1346" s="108"/>
      <c r="M1346" s="100"/>
      <c r="N1346" s="100"/>
    </row>
    <row r="1347" spans="2:14" s="98" customFormat="1">
      <c r="B1347" s="99" t="s">
        <v>543</v>
      </c>
      <c r="C1347" s="109">
        <v>45883.546527777777</v>
      </c>
      <c r="D1347" s="98" t="s">
        <v>22</v>
      </c>
      <c r="E1347" s="103">
        <v>5000</v>
      </c>
      <c r="F1347" s="98" t="s">
        <v>240</v>
      </c>
      <c r="G1347" s="98" t="s">
        <v>374</v>
      </c>
      <c r="H1347" s="98" t="s">
        <v>516</v>
      </c>
      <c r="I1347" s="98" t="s">
        <v>471</v>
      </c>
      <c r="K1347" s="100"/>
      <c r="L1347" s="108"/>
      <c r="M1347" s="100"/>
      <c r="N1347" s="100"/>
    </row>
    <row r="1348" spans="2:14" s="98" customFormat="1">
      <c r="B1348" s="99" t="s">
        <v>543</v>
      </c>
      <c r="C1348" s="109">
        <v>45883.542361111111</v>
      </c>
      <c r="D1348" s="98" t="s">
        <v>567</v>
      </c>
      <c r="E1348" s="103">
        <v>2820</v>
      </c>
      <c r="F1348" s="98" t="s">
        <v>240</v>
      </c>
      <c r="G1348" s="98" t="s">
        <v>374</v>
      </c>
      <c r="H1348" s="98" t="s">
        <v>516</v>
      </c>
      <c r="I1348" s="98" t="s">
        <v>471</v>
      </c>
      <c r="K1348" s="100"/>
      <c r="L1348" s="108"/>
      <c r="M1348" s="100"/>
      <c r="N1348" s="100"/>
    </row>
    <row r="1349" spans="2:14" s="98" customFormat="1">
      <c r="B1349" s="99" t="s">
        <v>543</v>
      </c>
      <c r="C1349" s="109">
        <v>45883.379166666666</v>
      </c>
      <c r="D1349" s="98" t="s">
        <v>22</v>
      </c>
      <c r="E1349" s="103">
        <v>10000</v>
      </c>
      <c r="F1349" s="98" t="s">
        <v>240</v>
      </c>
      <c r="G1349" s="98" t="s">
        <v>374</v>
      </c>
      <c r="H1349" s="98" t="s">
        <v>516</v>
      </c>
      <c r="I1349" s="98" t="s">
        <v>471</v>
      </c>
      <c r="K1349" s="100"/>
      <c r="L1349" s="108"/>
      <c r="M1349" s="100"/>
      <c r="N1349" s="100"/>
    </row>
    <row r="1350" spans="2:14" s="98" customFormat="1">
      <c r="B1350" s="99" t="s">
        <v>543</v>
      </c>
      <c r="C1350" s="109">
        <v>45883.29791666667</v>
      </c>
      <c r="D1350" s="98" t="s">
        <v>75</v>
      </c>
      <c r="E1350" s="103">
        <v>5590</v>
      </c>
      <c r="F1350" s="98" t="s">
        <v>240</v>
      </c>
      <c r="G1350" s="98" t="s">
        <v>374</v>
      </c>
      <c r="H1350" s="98" t="s">
        <v>516</v>
      </c>
      <c r="I1350" s="98" t="s">
        <v>471</v>
      </c>
      <c r="K1350" s="100"/>
      <c r="L1350" s="108"/>
      <c r="M1350" s="100"/>
      <c r="N1350" s="100"/>
    </row>
    <row r="1351" spans="2:14" s="98" customFormat="1">
      <c r="B1351" s="99" t="s">
        <v>543</v>
      </c>
      <c r="C1351" s="109">
        <v>45883</v>
      </c>
      <c r="D1351" s="98" t="s">
        <v>558</v>
      </c>
      <c r="E1351" s="103">
        <v>2500</v>
      </c>
      <c r="F1351" s="98" t="s">
        <v>240</v>
      </c>
      <c r="G1351" s="98" t="s">
        <v>542</v>
      </c>
      <c r="H1351" s="98" t="s">
        <v>516</v>
      </c>
      <c r="I1351" s="98" t="s">
        <v>247</v>
      </c>
      <c r="K1351" s="100"/>
      <c r="L1351" s="108"/>
      <c r="M1351" s="100"/>
      <c r="N1351" s="100"/>
    </row>
    <row r="1352" spans="2:14" s="98" customFormat="1">
      <c r="B1352" s="99" t="s">
        <v>543</v>
      </c>
      <c r="C1352" s="109">
        <v>45882.884722222225</v>
      </c>
      <c r="D1352" s="98" t="s">
        <v>12</v>
      </c>
      <c r="E1352" s="103">
        <v>50977</v>
      </c>
      <c r="F1352" s="98" t="s">
        <v>240</v>
      </c>
      <c r="G1352" s="98" t="s">
        <v>374</v>
      </c>
      <c r="H1352" s="98" t="s">
        <v>516</v>
      </c>
      <c r="I1352" s="98" t="s">
        <v>245</v>
      </c>
      <c r="K1352" s="100"/>
      <c r="L1352" s="108"/>
      <c r="M1352" s="100"/>
      <c r="N1352" s="100"/>
    </row>
    <row r="1353" spans="2:14" s="98" customFormat="1">
      <c r="B1353" s="99" t="s">
        <v>543</v>
      </c>
      <c r="C1353" s="109">
        <v>45882.709722222222</v>
      </c>
      <c r="D1353" s="98" t="s">
        <v>9</v>
      </c>
      <c r="E1353" s="103">
        <v>15000</v>
      </c>
      <c r="F1353" s="98" t="s">
        <v>240</v>
      </c>
      <c r="G1353" s="98" t="s">
        <v>374</v>
      </c>
      <c r="H1353" s="98" t="s">
        <v>516</v>
      </c>
      <c r="I1353" s="98" t="s">
        <v>471</v>
      </c>
      <c r="K1353" s="100"/>
      <c r="L1353" s="108"/>
      <c r="M1353" s="100"/>
      <c r="N1353" s="100"/>
    </row>
    <row r="1354" spans="2:14" s="98" customFormat="1">
      <c r="B1354" s="99" t="s">
        <v>543</v>
      </c>
      <c r="C1354" s="109">
        <v>45882.652083333334</v>
      </c>
      <c r="D1354" s="98" t="s">
        <v>46</v>
      </c>
      <c r="E1354" s="103">
        <v>1800</v>
      </c>
      <c r="F1354" s="98" t="s">
        <v>240</v>
      </c>
      <c r="G1354" s="98" t="s">
        <v>374</v>
      </c>
      <c r="H1354" s="98" t="s">
        <v>516</v>
      </c>
      <c r="I1354" s="98" t="s">
        <v>247</v>
      </c>
      <c r="K1354" s="100"/>
      <c r="L1354" s="108"/>
      <c r="M1354" s="100"/>
      <c r="N1354" s="100"/>
    </row>
    <row r="1355" spans="2:14" s="98" customFormat="1">
      <c r="B1355" s="99" t="s">
        <v>543</v>
      </c>
      <c r="C1355" s="109">
        <v>45882.63958333333</v>
      </c>
      <c r="D1355" s="98" t="s">
        <v>568</v>
      </c>
      <c r="E1355" s="103">
        <v>5820</v>
      </c>
      <c r="F1355" s="98" t="s">
        <v>240</v>
      </c>
      <c r="G1355" s="98" t="s">
        <v>374</v>
      </c>
      <c r="H1355" s="98" t="s">
        <v>516</v>
      </c>
      <c r="I1355" s="98" t="s">
        <v>471</v>
      </c>
      <c r="K1355" s="100"/>
      <c r="L1355" s="108"/>
      <c r="M1355" s="100"/>
      <c r="N1355" s="100"/>
    </row>
    <row r="1356" spans="2:14" s="98" customFormat="1">
      <c r="B1356" s="99" t="s">
        <v>543</v>
      </c>
      <c r="C1356" s="109">
        <v>45882.631944444445</v>
      </c>
      <c r="D1356" s="98" t="s">
        <v>506</v>
      </c>
      <c r="E1356" s="103">
        <v>7700</v>
      </c>
      <c r="F1356" s="98" t="s">
        <v>240</v>
      </c>
      <c r="G1356" s="98" t="s">
        <v>374</v>
      </c>
      <c r="H1356" s="98" t="s">
        <v>516</v>
      </c>
      <c r="I1356" s="98" t="s">
        <v>471</v>
      </c>
      <c r="K1356" s="100"/>
      <c r="L1356" s="108"/>
      <c r="M1356" s="100"/>
      <c r="N1356" s="100"/>
    </row>
    <row r="1357" spans="2:14" s="98" customFormat="1">
      <c r="B1357" s="99" t="s">
        <v>543</v>
      </c>
      <c r="C1357" s="109">
        <v>45882.55972222222</v>
      </c>
      <c r="D1357" s="98" t="s">
        <v>30</v>
      </c>
      <c r="E1357" s="103">
        <v>4700</v>
      </c>
      <c r="F1357" s="98" t="s">
        <v>240</v>
      </c>
      <c r="G1357" s="98" t="s">
        <v>374</v>
      </c>
      <c r="H1357" s="98" t="s">
        <v>516</v>
      </c>
      <c r="I1357" s="98" t="s">
        <v>247</v>
      </c>
      <c r="K1357" s="100"/>
      <c r="L1357" s="108"/>
      <c r="M1357" s="100"/>
      <c r="N1357" s="100"/>
    </row>
    <row r="1358" spans="2:14" s="98" customFormat="1">
      <c r="B1358" s="99" t="s">
        <v>543</v>
      </c>
      <c r="C1358" s="109">
        <v>45882.329861111109</v>
      </c>
      <c r="D1358" s="98" t="s">
        <v>569</v>
      </c>
      <c r="E1358" s="103">
        <v>3200</v>
      </c>
      <c r="F1358" s="98" t="s">
        <v>240</v>
      </c>
      <c r="G1358" s="98" t="s">
        <v>374</v>
      </c>
      <c r="H1358" s="98" t="s">
        <v>516</v>
      </c>
      <c r="I1358" s="98" t="s">
        <v>471</v>
      </c>
      <c r="K1358" s="100"/>
      <c r="L1358" s="108"/>
      <c r="M1358" s="100"/>
      <c r="N1358" s="100"/>
    </row>
    <row r="1359" spans="2:14" s="98" customFormat="1">
      <c r="B1359" s="99" t="s">
        <v>543</v>
      </c>
      <c r="C1359" s="109">
        <v>45882.252083333333</v>
      </c>
      <c r="D1359" s="98" t="s">
        <v>20</v>
      </c>
      <c r="E1359" s="103">
        <v>1990</v>
      </c>
      <c r="F1359" s="98" t="s">
        <v>240</v>
      </c>
      <c r="G1359" s="98" t="s">
        <v>374</v>
      </c>
      <c r="H1359" s="98" t="s">
        <v>516</v>
      </c>
      <c r="I1359" s="98" t="s">
        <v>471</v>
      </c>
      <c r="K1359" s="100"/>
      <c r="L1359" s="108"/>
      <c r="M1359" s="100"/>
      <c r="N1359" s="100"/>
    </row>
    <row r="1360" spans="2:14" s="98" customFormat="1">
      <c r="B1360" s="99" t="s">
        <v>543</v>
      </c>
      <c r="C1360" s="109">
        <v>45882</v>
      </c>
      <c r="D1360" s="98" t="s">
        <v>559</v>
      </c>
      <c r="E1360" s="103">
        <v>1200</v>
      </c>
      <c r="F1360" s="98" t="s">
        <v>240</v>
      </c>
      <c r="G1360" s="98" t="s">
        <v>542</v>
      </c>
      <c r="H1360" s="98" t="s">
        <v>516</v>
      </c>
      <c r="I1360" s="98" t="s">
        <v>247</v>
      </c>
      <c r="K1360" s="100"/>
      <c r="L1360" s="108"/>
      <c r="M1360" s="100"/>
      <c r="N1360" s="100"/>
    </row>
    <row r="1361" spans="2:14" s="98" customFormat="1">
      <c r="B1361" s="99" t="s">
        <v>543</v>
      </c>
      <c r="C1361" s="109">
        <v>45882</v>
      </c>
      <c r="D1361" s="98" t="s">
        <v>435</v>
      </c>
      <c r="E1361" s="103">
        <v>900</v>
      </c>
      <c r="F1361" s="98" t="s">
        <v>240</v>
      </c>
      <c r="G1361" s="98" t="s">
        <v>542</v>
      </c>
      <c r="H1361" s="98" t="s">
        <v>516</v>
      </c>
      <c r="I1361" s="98" t="s">
        <v>245</v>
      </c>
      <c r="K1361" s="100"/>
      <c r="L1361" s="108"/>
      <c r="M1361" s="100"/>
      <c r="N1361" s="100"/>
    </row>
    <row r="1362" spans="2:14" s="98" customFormat="1">
      <c r="B1362" s="99" t="s">
        <v>543</v>
      </c>
      <c r="C1362" s="109">
        <v>45881.747916666667</v>
      </c>
      <c r="D1362" s="98" t="s">
        <v>572</v>
      </c>
      <c r="E1362" s="103">
        <v>10000</v>
      </c>
      <c r="F1362" s="98" t="s">
        <v>240</v>
      </c>
      <c r="G1362" s="98" t="s">
        <v>374</v>
      </c>
      <c r="H1362" s="98" t="s">
        <v>516</v>
      </c>
      <c r="I1362" s="98" t="s">
        <v>263</v>
      </c>
      <c r="K1362" s="100"/>
      <c r="L1362" s="108"/>
      <c r="M1362" s="100"/>
      <c r="N1362" s="100"/>
    </row>
    <row r="1363" spans="2:14" s="98" customFormat="1">
      <c r="B1363" s="99" t="s">
        <v>543</v>
      </c>
      <c r="C1363" s="109">
        <v>45881.747916666667</v>
      </c>
      <c r="D1363" s="98" t="s">
        <v>570</v>
      </c>
      <c r="E1363" s="103">
        <v>10000</v>
      </c>
      <c r="F1363" s="98" t="s">
        <v>240</v>
      </c>
      <c r="G1363" s="98" t="s">
        <v>374</v>
      </c>
      <c r="H1363" s="98" t="s">
        <v>516</v>
      </c>
      <c r="I1363" s="98" t="s">
        <v>251</v>
      </c>
      <c r="K1363" s="100"/>
      <c r="L1363" s="108"/>
      <c r="M1363" s="100"/>
      <c r="N1363" s="100"/>
    </row>
    <row r="1364" spans="2:14" s="98" customFormat="1">
      <c r="B1364" s="99" t="s">
        <v>543</v>
      </c>
      <c r="C1364" s="109">
        <v>45881.6875</v>
      </c>
      <c r="D1364" s="98" t="s">
        <v>46</v>
      </c>
      <c r="E1364" s="103">
        <v>1300</v>
      </c>
      <c r="F1364" s="98" t="s">
        <v>240</v>
      </c>
      <c r="G1364" s="98" t="s">
        <v>374</v>
      </c>
      <c r="H1364" s="98" t="s">
        <v>516</v>
      </c>
      <c r="I1364" s="98" t="s">
        <v>247</v>
      </c>
      <c r="K1364" s="100"/>
      <c r="L1364" s="108"/>
      <c r="M1364" s="100"/>
      <c r="N1364" s="100"/>
    </row>
    <row r="1365" spans="2:14" s="98" customFormat="1">
      <c r="B1365" s="99" t="s">
        <v>543</v>
      </c>
      <c r="C1365" s="109">
        <v>45881.554166666669</v>
      </c>
      <c r="D1365" s="98" t="s">
        <v>504</v>
      </c>
      <c r="E1365" s="103">
        <v>3180</v>
      </c>
      <c r="F1365" s="98" t="s">
        <v>240</v>
      </c>
      <c r="G1365" s="98" t="s">
        <v>374</v>
      </c>
      <c r="H1365" s="98" t="s">
        <v>516</v>
      </c>
      <c r="I1365" s="98" t="s">
        <v>245</v>
      </c>
      <c r="K1365" s="100"/>
      <c r="L1365" s="108"/>
      <c r="M1365" s="100"/>
      <c r="N1365" s="100"/>
    </row>
    <row r="1366" spans="2:14" s="98" customFormat="1">
      <c r="B1366" s="99" t="s">
        <v>543</v>
      </c>
      <c r="C1366" s="109">
        <v>45881.523611111108</v>
      </c>
      <c r="D1366" s="98" t="s">
        <v>504</v>
      </c>
      <c r="E1366" s="103">
        <v>1290</v>
      </c>
      <c r="F1366" s="98" t="s">
        <v>240</v>
      </c>
      <c r="G1366" s="98" t="s">
        <v>374</v>
      </c>
      <c r="H1366" s="98" t="s">
        <v>516</v>
      </c>
      <c r="I1366" s="98" t="s">
        <v>245</v>
      </c>
      <c r="K1366" s="100"/>
      <c r="L1366" s="108"/>
      <c r="M1366" s="100"/>
      <c r="N1366" s="100"/>
    </row>
    <row r="1367" spans="2:14" s="98" customFormat="1">
      <c r="B1367" s="99" t="s">
        <v>543</v>
      </c>
      <c r="C1367" s="109">
        <v>45880.844444444447</v>
      </c>
      <c r="D1367" s="98" t="s">
        <v>12</v>
      </c>
      <c r="E1367" s="103">
        <v>19304</v>
      </c>
      <c r="F1367" s="98" t="s">
        <v>240</v>
      </c>
      <c r="G1367" s="98" t="s">
        <v>374</v>
      </c>
      <c r="H1367" s="98" t="s">
        <v>516</v>
      </c>
      <c r="I1367" s="98" t="s">
        <v>245</v>
      </c>
      <c r="K1367" s="100"/>
      <c r="L1367" s="108"/>
      <c r="M1367" s="100"/>
      <c r="N1367" s="100"/>
    </row>
    <row r="1368" spans="2:14" s="98" customFormat="1">
      <c r="B1368" s="99" t="s">
        <v>543</v>
      </c>
      <c r="C1368" s="109">
        <v>45880.652777777781</v>
      </c>
      <c r="D1368" s="98" t="s">
        <v>571</v>
      </c>
      <c r="E1368" s="103">
        <v>2300</v>
      </c>
      <c r="F1368" s="98" t="s">
        <v>240</v>
      </c>
      <c r="G1368" s="98" t="s">
        <v>374</v>
      </c>
      <c r="H1368" s="98" t="s">
        <v>516</v>
      </c>
      <c r="I1368" s="98" t="s">
        <v>247</v>
      </c>
      <c r="K1368" s="100"/>
      <c r="L1368" s="108"/>
      <c r="M1368" s="100"/>
      <c r="N1368" s="100"/>
    </row>
    <row r="1369" spans="2:14" s="98" customFormat="1">
      <c r="B1369" s="99" t="s">
        <v>543</v>
      </c>
      <c r="C1369" s="109">
        <v>45880.556250000001</v>
      </c>
      <c r="D1369" s="98" t="s">
        <v>19</v>
      </c>
      <c r="E1369" s="103">
        <v>3700</v>
      </c>
      <c r="F1369" s="98" t="s">
        <v>240</v>
      </c>
      <c r="G1369" s="98" t="s">
        <v>374</v>
      </c>
      <c r="H1369" s="98" t="s">
        <v>516</v>
      </c>
      <c r="I1369" s="98" t="s">
        <v>242</v>
      </c>
      <c r="K1369" s="100"/>
      <c r="L1369" s="108"/>
      <c r="M1369" s="100"/>
      <c r="N1369" s="100"/>
    </row>
    <row r="1370" spans="2:14" s="98" customFormat="1">
      <c r="B1370" s="99" t="s">
        <v>543</v>
      </c>
      <c r="C1370" s="109">
        <v>45880</v>
      </c>
      <c r="D1370" s="98" t="s">
        <v>427</v>
      </c>
      <c r="E1370" s="103">
        <v>229</v>
      </c>
      <c r="F1370" s="98" t="s">
        <v>240</v>
      </c>
      <c r="G1370" s="98" t="s">
        <v>542</v>
      </c>
      <c r="H1370" s="98" t="s">
        <v>516</v>
      </c>
      <c r="I1370" s="98" t="s">
        <v>241</v>
      </c>
      <c r="K1370" s="100"/>
      <c r="L1370" s="108"/>
      <c r="M1370" s="100"/>
      <c r="N1370" s="100"/>
    </row>
    <row r="1371" spans="2:14" s="98" customFormat="1">
      <c r="B1371" s="99" t="s">
        <v>543</v>
      </c>
      <c r="C1371" s="109">
        <v>45879.856249999997</v>
      </c>
      <c r="D1371" s="98" t="s">
        <v>149</v>
      </c>
      <c r="E1371" s="103">
        <v>5500</v>
      </c>
      <c r="F1371" s="98" t="s">
        <v>240</v>
      </c>
      <c r="G1371" s="98" t="s">
        <v>374</v>
      </c>
      <c r="H1371" s="98" t="s">
        <v>516</v>
      </c>
      <c r="I1371" s="98" t="s">
        <v>268</v>
      </c>
      <c r="K1371" s="100"/>
      <c r="L1371" s="108"/>
      <c r="M1371" s="100"/>
      <c r="N1371" s="100"/>
    </row>
    <row r="1372" spans="2:14" s="98" customFormat="1">
      <c r="B1372" s="99" t="s">
        <v>543</v>
      </c>
      <c r="C1372" s="109">
        <v>45879.854861111111</v>
      </c>
      <c r="D1372" s="98" t="s">
        <v>503</v>
      </c>
      <c r="E1372" s="103">
        <v>5500</v>
      </c>
      <c r="F1372" s="98" t="s">
        <v>240</v>
      </c>
      <c r="G1372" s="98" t="s">
        <v>374</v>
      </c>
      <c r="H1372" s="98" t="s">
        <v>516</v>
      </c>
      <c r="I1372" s="98" t="s">
        <v>268</v>
      </c>
      <c r="K1372" s="100"/>
      <c r="L1372" s="108"/>
      <c r="M1372" s="100"/>
      <c r="N1372" s="100"/>
    </row>
    <row r="1373" spans="2:14" s="98" customFormat="1">
      <c r="B1373" s="99" t="s">
        <v>543</v>
      </c>
      <c r="C1373" s="109">
        <v>45879.794444444444</v>
      </c>
      <c r="D1373" s="98" t="s">
        <v>49</v>
      </c>
      <c r="E1373" s="103">
        <v>57327</v>
      </c>
      <c r="F1373" s="98" t="s">
        <v>240</v>
      </c>
      <c r="G1373" s="98" t="s">
        <v>374</v>
      </c>
      <c r="H1373" s="98" t="s">
        <v>516</v>
      </c>
      <c r="I1373" s="98" t="s">
        <v>245</v>
      </c>
      <c r="K1373" s="100"/>
      <c r="L1373" s="108"/>
      <c r="M1373" s="100"/>
      <c r="N1373" s="100"/>
    </row>
    <row r="1374" spans="2:14" s="98" customFormat="1">
      <c r="B1374" s="99" t="s">
        <v>543</v>
      </c>
      <c r="C1374" s="109">
        <v>45879.441666666666</v>
      </c>
      <c r="D1374" s="98" t="s">
        <v>28</v>
      </c>
      <c r="E1374" s="103">
        <v>13520</v>
      </c>
      <c r="F1374" s="98" t="s">
        <v>240</v>
      </c>
      <c r="G1374" s="98" t="s">
        <v>374</v>
      </c>
      <c r="H1374" s="98" t="s">
        <v>516</v>
      </c>
      <c r="I1374" s="98" t="s">
        <v>245</v>
      </c>
      <c r="K1374" s="100"/>
      <c r="L1374" s="108"/>
      <c r="M1374" s="100"/>
      <c r="N1374" s="100"/>
    </row>
    <row r="1375" spans="2:14" s="98" customFormat="1">
      <c r="B1375" s="99" t="s">
        <v>543</v>
      </c>
      <c r="C1375" s="109">
        <v>45878.876388888886</v>
      </c>
      <c r="D1375" s="98" t="s">
        <v>207</v>
      </c>
      <c r="E1375" s="103">
        <v>23925</v>
      </c>
      <c r="F1375" s="98" t="s">
        <v>240</v>
      </c>
      <c r="G1375" s="98" t="s">
        <v>374</v>
      </c>
      <c r="H1375" s="98" t="s">
        <v>516</v>
      </c>
      <c r="I1375" s="98" t="s">
        <v>248</v>
      </c>
      <c r="K1375" s="100"/>
      <c r="L1375" s="108"/>
      <c r="M1375" s="100"/>
      <c r="N1375" s="100"/>
    </row>
    <row r="1376" spans="2:14" s="98" customFormat="1">
      <c r="B1376" s="99" t="s">
        <v>543</v>
      </c>
      <c r="C1376" s="109">
        <v>45878.847222222219</v>
      </c>
      <c r="D1376" s="98" t="s">
        <v>97</v>
      </c>
      <c r="E1376" s="103">
        <v>15980</v>
      </c>
      <c r="F1376" s="98" t="s">
        <v>240</v>
      </c>
      <c r="G1376" s="98" t="s">
        <v>374</v>
      </c>
      <c r="H1376" s="98" t="s">
        <v>516</v>
      </c>
      <c r="I1376" s="98" t="s">
        <v>269</v>
      </c>
      <c r="K1376" s="100"/>
      <c r="L1376" s="108"/>
      <c r="M1376" s="100"/>
      <c r="N1376" s="100"/>
    </row>
    <row r="1377" spans="2:14" s="98" customFormat="1">
      <c r="B1377" s="99" t="s">
        <v>543</v>
      </c>
      <c r="C1377" s="109">
        <v>45878.811805555553</v>
      </c>
      <c r="D1377" s="98" t="s">
        <v>550</v>
      </c>
      <c r="E1377" s="103">
        <v>16390</v>
      </c>
      <c r="F1377" s="98" t="s">
        <v>240</v>
      </c>
      <c r="G1377" s="98" t="s">
        <v>374</v>
      </c>
      <c r="H1377" s="98" t="s">
        <v>516</v>
      </c>
      <c r="I1377" s="98" t="s">
        <v>269</v>
      </c>
      <c r="K1377" s="100"/>
      <c r="L1377" s="108"/>
      <c r="M1377" s="100"/>
      <c r="N1377" s="100"/>
    </row>
    <row r="1378" spans="2:14" s="98" customFormat="1">
      <c r="B1378" s="99" t="s">
        <v>543</v>
      </c>
      <c r="C1378" s="109">
        <v>45878.686805555553</v>
      </c>
      <c r="D1378" s="98" t="s">
        <v>551</v>
      </c>
      <c r="E1378" s="103">
        <v>4670</v>
      </c>
      <c r="F1378" s="98" t="s">
        <v>240</v>
      </c>
      <c r="G1378" s="98" t="s">
        <v>374</v>
      </c>
      <c r="H1378" s="98" t="s">
        <v>516</v>
      </c>
      <c r="I1378" s="98" t="s">
        <v>245</v>
      </c>
      <c r="K1378" s="100"/>
      <c r="L1378" s="108"/>
      <c r="M1378" s="100"/>
      <c r="N1378" s="100"/>
    </row>
    <row r="1379" spans="2:14" s="98" customFormat="1">
      <c r="B1379" s="99" t="s">
        <v>543</v>
      </c>
      <c r="C1379" s="109">
        <v>45878.615972222222</v>
      </c>
      <c r="D1379" s="98" t="s">
        <v>551</v>
      </c>
      <c r="E1379" s="103">
        <v>5250</v>
      </c>
      <c r="F1379" s="98" t="s">
        <v>240</v>
      </c>
      <c r="G1379" s="98" t="s">
        <v>374</v>
      </c>
      <c r="H1379" s="98" t="s">
        <v>516</v>
      </c>
      <c r="I1379" s="98" t="s">
        <v>245</v>
      </c>
      <c r="K1379" s="100"/>
      <c r="L1379" s="108"/>
      <c r="M1379" s="100"/>
      <c r="N1379" s="100"/>
    </row>
    <row r="1380" spans="2:14" s="98" customFormat="1">
      <c r="B1380" s="99" t="s">
        <v>543</v>
      </c>
      <c r="C1380" s="109">
        <v>45877.777777777781</v>
      </c>
      <c r="D1380" s="98" t="s">
        <v>49</v>
      </c>
      <c r="E1380" s="103">
        <v>28422</v>
      </c>
      <c r="F1380" s="98" t="s">
        <v>240</v>
      </c>
      <c r="G1380" s="98" t="s">
        <v>374</v>
      </c>
      <c r="H1380" s="98" t="s">
        <v>516</v>
      </c>
      <c r="I1380" s="98" t="s">
        <v>245</v>
      </c>
      <c r="K1380" s="100"/>
      <c r="L1380" s="108"/>
      <c r="M1380" s="100"/>
      <c r="N1380" s="100"/>
    </row>
    <row r="1381" spans="2:14" s="98" customFormat="1">
      <c r="B1381" s="99" t="s">
        <v>543</v>
      </c>
      <c r="C1381" s="109">
        <v>45877.771527777775</v>
      </c>
      <c r="D1381" s="98" t="s">
        <v>503</v>
      </c>
      <c r="E1381" s="103">
        <v>1790</v>
      </c>
      <c r="F1381" s="98" t="s">
        <v>240</v>
      </c>
      <c r="G1381" s="98" t="s">
        <v>374</v>
      </c>
      <c r="H1381" s="98" t="s">
        <v>513</v>
      </c>
      <c r="I1381" s="98" t="s">
        <v>268</v>
      </c>
      <c r="K1381" s="100"/>
      <c r="L1381" s="108"/>
      <c r="M1381" s="100"/>
      <c r="N1381" s="100"/>
    </row>
    <row r="1382" spans="2:14" s="98" customFormat="1">
      <c r="B1382" s="99" t="s">
        <v>543</v>
      </c>
      <c r="C1382" s="109">
        <v>45877.693055555559</v>
      </c>
      <c r="D1382" s="98" t="s">
        <v>552</v>
      </c>
      <c r="E1382" s="103">
        <v>7400</v>
      </c>
      <c r="F1382" s="98" t="s">
        <v>240</v>
      </c>
      <c r="G1382" s="98" t="s">
        <v>374</v>
      </c>
      <c r="H1382" s="98" t="s">
        <v>516</v>
      </c>
      <c r="I1382" s="98" t="s">
        <v>248</v>
      </c>
      <c r="K1382" s="100"/>
      <c r="L1382" s="108"/>
      <c r="M1382" s="100"/>
      <c r="N1382" s="100"/>
    </row>
    <row r="1383" spans="2:14" s="98" customFormat="1">
      <c r="B1383" s="99" t="s">
        <v>543</v>
      </c>
      <c r="C1383" s="109">
        <v>45877.674305555556</v>
      </c>
      <c r="D1383" s="98" t="s">
        <v>83</v>
      </c>
      <c r="E1383" s="103">
        <v>1100</v>
      </c>
      <c r="F1383" s="98" t="s">
        <v>240</v>
      </c>
      <c r="G1383" s="98" t="s">
        <v>374</v>
      </c>
      <c r="H1383" s="98" t="s">
        <v>516</v>
      </c>
      <c r="I1383" s="98" t="s">
        <v>268</v>
      </c>
      <c r="K1383" s="100"/>
      <c r="L1383" s="108"/>
      <c r="M1383" s="100"/>
      <c r="N1383" s="100"/>
    </row>
    <row r="1384" spans="2:14" s="98" customFormat="1">
      <c r="B1384" s="99" t="s">
        <v>543</v>
      </c>
      <c r="C1384" s="109">
        <v>45877.395138888889</v>
      </c>
      <c r="D1384" s="98" t="s">
        <v>553</v>
      </c>
      <c r="E1384" s="103">
        <v>2600</v>
      </c>
      <c r="F1384" s="98" t="s">
        <v>240</v>
      </c>
      <c r="G1384" s="98" t="s">
        <v>374</v>
      </c>
      <c r="H1384" s="98" t="s">
        <v>516</v>
      </c>
      <c r="I1384" s="98" t="s">
        <v>241</v>
      </c>
      <c r="K1384" s="100"/>
      <c r="L1384" s="108"/>
      <c r="M1384" s="100"/>
      <c r="N1384" s="100"/>
    </row>
    <row r="1385" spans="2:14" s="98" customFormat="1">
      <c r="B1385" s="99" t="s">
        <v>543</v>
      </c>
      <c r="C1385" s="109">
        <v>45876.767361111109</v>
      </c>
      <c r="D1385" s="98" t="s">
        <v>48</v>
      </c>
      <c r="E1385" s="103">
        <v>110000</v>
      </c>
      <c r="F1385" s="98" t="s">
        <v>240</v>
      </c>
      <c r="G1385" s="98" t="s">
        <v>374</v>
      </c>
      <c r="H1385" s="98" t="s">
        <v>513</v>
      </c>
      <c r="I1385" s="98" t="s">
        <v>273</v>
      </c>
      <c r="K1385" s="100"/>
      <c r="L1385" s="108"/>
      <c r="M1385" s="100"/>
      <c r="N1385" s="100"/>
    </row>
    <row r="1386" spans="2:14" s="98" customFormat="1">
      <c r="B1386" s="99" t="s">
        <v>543</v>
      </c>
      <c r="C1386" s="109">
        <v>45876.728472222225</v>
      </c>
      <c r="D1386" s="98" t="s">
        <v>94</v>
      </c>
      <c r="E1386" s="103">
        <v>7490</v>
      </c>
      <c r="F1386" s="98" t="s">
        <v>240</v>
      </c>
      <c r="G1386" s="98" t="s">
        <v>374</v>
      </c>
      <c r="H1386" s="98" t="s">
        <v>516</v>
      </c>
      <c r="I1386" s="98" t="s">
        <v>244</v>
      </c>
      <c r="K1386" s="100"/>
      <c r="L1386" s="108"/>
      <c r="M1386" s="100"/>
      <c r="N1386" s="100"/>
    </row>
    <row r="1387" spans="2:14" s="98" customFormat="1">
      <c r="B1387" s="99" t="s">
        <v>543</v>
      </c>
      <c r="C1387" s="109">
        <v>45876.336111111108</v>
      </c>
      <c r="D1387" s="98" t="s">
        <v>30</v>
      </c>
      <c r="E1387" s="103">
        <v>3000</v>
      </c>
      <c r="F1387" s="98" t="s">
        <v>240</v>
      </c>
      <c r="G1387" s="98" t="s">
        <v>374</v>
      </c>
      <c r="H1387" s="98" t="s">
        <v>516</v>
      </c>
      <c r="I1387" s="98" t="s">
        <v>247</v>
      </c>
      <c r="K1387" s="100"/>
      <c r="L1387" s="108"/>
      <c r="M1387" s="100"/>
      <c r="N1387" s="100"/>
    </row>
    <row r="1388" spans="2:14" s="98" customFormat="1">
      <c r="B1388" s="99" t="s">
        <v>543</v>
      </c>
      <c r="C1388" s="109">
        <v>45876</v>
      </c>
      <c r="D1388" s="98" t="s">
        <v>328</v>
      </c>
      <c r="E1388" s="103">
        <v>2290</v>
      </c>
      <c r="F1388" s="98" t="s">
        <v>240</v>
      </c>
      <c r="G1388" s="98" t="s">
        <v>373</v>
      </c>
      <c r="H1388" s="98" t="s">
        <v>516</v>
      </c>
      <c r="I1388" s="98" t="s">
        <v>247</v>
      </c>
      <c r="K1388" s="100"/>
      <c r="L1388" s="108"/>
      <c r="M1388" s="100"/>
      <c r="N1388" s="100"/>
    </row>
    <row r="1389" spans="2:14" s="98" customFormat="1">
      <c r="B1389" s="99" t="s">
        <v>543</v>
      </c>
      <c r="C1389" s="109">
        <v>45875.947916666664</v>
      </c>
      <c r="D1389" s="98" t="s">
        <v>151</v>
      </c>
      <c r="E1389" s="103">
        <v>2835</v>
      </c>
      <c r="F1389" s="98" t="s">
        <v>240</v>
      </c>
      <c r="G1389" s="98" t="s">
        <v>374</v>
      </c>
      <c r="H1389" s="98" t="s">
        <v>516</v>
      </c>
      <c r="I1389" s="98" t="s">
        <v>247</v>
      </c>
      <c r="K1389" s="100"/>
      <c r="L1389" s="108"/>
      <c r="M1389" s="100"/>
      <c r="N1389" s="100"/>
    </row>
    <row r="1390" spans="2:14" s="98" customFormat="1">
      <c r="B1390" s="99" t="s">
        <v>543</v>
      </c>
      <c r="C1390" s="109">
        <v>45875.844444444447</v>
      </c>
      <c r="D1390" s="98" t="s">
        <v>286</v>
      </c>
      <c r="E1390" s="103">
        <v>12070</v>
      </c>
      <c r="F1390" s="98" t="s">
        <v>240</v>
      </c>
      <c r="G1390" s="98" t="s">
        <v>373</v>
      </c>
      <c r="H1390" s="98" t="s">
        <v>516</v>
      </c>
      <c r="I1390" s="98" t="s">
        <v>248</v>
      </c>
      <c r="K1390" s="100"/>
      <c r="L1390" s="108"/>
      <c r="M1390" s="100"/>
      <c r="N1390" s="100"/>
    </row>
    <row r="1391" spans="2:14" s="98" customFormat="1">
      <c r="B1391" s="99" t="s">
        <v>543</v>
      </c>
      <c r="C1391" s="109">
        <v>45875.657638888886</v>
      </c>
      <c r="D1391" s="98" t="s">
        <v>46</v>
      </c>
      <c r="E1391" s="103">
        <v>3100</v>
      </c>
      <c r="F1391" s="98" t="s">
        <v>240</v>
      </c>
      <c r="G1391" s="98" t="s">
        <v>374</v>
      </c>
      <c r="H1391" s="98" t="s">
        <v>516</v>
      </c>
      <c r="I1391" s="98" t="s">
        <v>247</v>
      </c>
      <c r="K1391" s="100"/>
      <c r="L1391" s="108"/>
      <c r="M1391" s="100"/>
      <c r="N1391" s="100"/>
    </row>
    <row r="1392" spans="2:14" s="98" customFormat="1">
      <c r="B1392" s="99" t="s">
        <v>543</v>
      </c>
      <c r="C1392" s="109">
        <v>45875.211111111108</v>
      </c>
      <c r="D1392" s="98" t="s">
        <v>75</v>
      </c>
      <c r="E1392" s="103">
        <v>5590</v>
      </c>
      <c r="F1392" s="98" t="s">
        <v>240</v>
      </c>
      <c r="G1392" s="98" t="s">
        <v>374</v>
      </c>
      <c r="H1392" s="98" t="s">
        <v>516</v>
      </c>
      <c r="I1392" s="98" t="s">
        <v>471</v>
      </c>
      <c r="K1392" s="100"/>
      <c r="L1392" s="108"/>
      <c r="M1392" s="100"/>
      <c r="N1392" s="100"/>
    </row>
    <row r="1393" spans="2:14" s="98" customFormat="1">
      <c r="B1393" s="99" t="s">
        <v>543</v>
      </c>
      <c r="C1393" s="109">
        <v>45875</v>
      </c>
      <c r="D1393" s="98" t="s">
        <v>538</v>
      </c>
      <c r="E1393" s="103">
        <v>35210</v>
      </c>
      <c r="F1393" s="98" t="s">
        <v>240</v>
      </c>
      <c r="G1393" s="98" t="s">
        <v>373</v>
      </c>
      <c r="H1393" s="98" t="s">
        <v>516</v>
      </c>
      <c r="I1393" s="98" t="s">
        <v>245</v>
      </c>
      <c r="K1393" s="100"/>
      <c r="L1393" s="108"/>
      <c r="M1393" s="100"/>
      <c r="N1393" s="100"/>
    </row>
    <row r="1394" spans="2:14" s="98" customFormat="1">
      <c r="B1394" s="99" t="s">
        <v>543</v>
      </c>
      <c r="C1394" s="109">
        <v>45875</v>
      </c>
      <c r="D1394" s="98" t="s">
        <v>497</v>
      </c>
      <c r="E1394" s="103">
        <v>3800</v>
      </c>
      <c r="F1394" s="98" t="s">
        <v>240</v>
      </c>
      <c r="G1394" s="98" t="s">
        <v>373</v>
      </c>
      <c r="H1394" s="98" t="s">
        <v>516</v>
      </c>
      <c r="I1394" s="98" t="s">
        <v>471</v>
      </c>
      <c r="K1394" s="100"/>
      <c r="L1394" s="108"/>
      <c r="M1394" s="100"/>
      <c r="N1394" s="100"/>
    </row>
    <row r="1395" spans="2:14" s="98" customFormat="1">
      <c r="B1395" s="99" t="s">
        <v>543</v>
      </c>
      <c r="C1395" s="109">
        <v>45875</v>
      </c>
      <c r="D1395" s="98" t="s">
        <v>494</v>
      </c>
      <c r="E1395" s="103">
        <v>2863</v>
      </c>
      <c r="F1395" s="98" t="s">
        <v>240</v>
      </c>
      <c r="G1395" s="98" t="s">
        <v>373</v>
      </c>
      <c r="H1395" s="98" t="s">
        <v>516</v>
      </c>
      <c r="I1395" s="98" t="s">
        <v>247</v>
      </c>
      <c r="K1395" s="100"/>
      <c r="L1395" s="108"/>
      <c r="M1395" s="100"/>
      <c r="N1395" s="100"/>
    </row>
    <row r="1396" spans="2:14" s="98" customFormat="1">
      <c r="B1396" s="99" t="s">
        <v>543</v>
      </c>
      <c r="C1396" s="109">
        <v>45875</v>
      </c>
      <c r="D1396" s="98" t="s">
        <v>494</v>
      </c>
      <c r="E1396" s="103">
        <v>2495</v>
      </c>
      <c r="F1396" s="98" t="s">
        <v>240</v>
      </c>
      <c r="G1396" s="98" t="s">
        <v>373</v>
      </c>
      <c r="H1396" s="98" t="s">
        <v>516</v>
      </c>
      <c r="I1396" s="98" t="s">
        <v>247</v>
      </c>
      <c r="K1396" s="100"/>
      <c r="L1396" s="108"/>
      <c r="M1396" s="100"/>
      <c r="N1396" s="100"/>
    </row>
    <row r="1397" spans="2:14" s="98" customFormat="1">
      <c r="B1397" s="99" t="s">
        <v>543</v>
      </c>
      <c r="C1397" s="109">
        <v>45875</v>
      </c>
      <c r="D1397" s="98" t="s">
        <v>496</v>
      </c>
      <c r="E1397" s="103">
        <v>6600</v>
      </c>
      <c r="F1397" s="98" t="s">
        <v>240</v>
      </c>
      <c r="G1397" s="98" t="s">
        <v>373</v>
      </c>
      <c r="H1397" s="98" t="s">
        <v>516</v>
      </c>
      <c r="I1397" s="98" t="s">
        <v>471</v>
      </c>
      <c r="K1397" s="100"/>
      <c r="L1397" s="108"/>
      <c r="M1397" s="100"/>
      <c r="N1397" s="100"/>
    </row>
    <row r="1398" spans="2:14" s="98" customFormat="1">
      <c r="B1398" s="99" t="s">
        <v>543</v>
      </c>
      <c r="C1398" s="109">
        <v>45875</v>
      </c>
      <c r="D1398" s="98" t="s">
        <v>534</v>
      </c>
      <c r="E1398" s="103">
        <v>15359</v>
      </c>
      <c r="F1398" s="98" t="s">
        <v>240</v>
      </c>
      <c r="G1398" s="98" t="s">
        <v>373</v>
      </c>
      <c r="H1398" s="98" t="s">
        <v>516</v>
      </c>
      <c r="I1398" s="98" t="s">
        <v>471</v>
      </c>
      <c r="K1398" s="100"/>
      <c r="L1398" s="108"/>
      <c r="M1398" s="100"/>
      <c r="N1398" s="100"/>
    </row>
    <row r="1399" spans="2:14" s="98" customFormat="1">
      <c r="B1399" s="99" t="s">
        <v>543</v>
      </c>
      <c r="C1399" s="109">
        <v>45875</v>
      </c>
      <c r="D1399" s="98" t="s">
        <v>554</v>
      </c>
      <c r="E1399" s="103">
        <v>2300</v>
      </c>
      <c r="F1399" s="98" t="s">
        <v>240</v>
      </c>
      <c r="G1399" s="98" t="s">
        <v>373</v>
      </c>
      <c r="H1399" s="98" t="s">
        <v>516</v>
      </c>
      <c r="I1399" s="98" t="s">
        <v>247</v>
      </c>
      <c r="K1399" s="100"/>
      <c r="L1399" s="108"/>
      <c r="M1399" s="100"/>
      <c r="N1399" s="100"/>
    </row>
    <row r="1400" spans="2:14" s="98" customFormat="1">
      <c r="B1400" s="99" t="s">
        <v>543</v>
      </c>
      <c r="C1400" s="109">
        <v>45875</v>
      </c>
      <c r="D1400" s="98" t="s">
        <v>399</v>
      </c>
      <c r="E1400" s="103">
        <v>3261</v>
      </c>
      <c r="F1400" s="98" t="s">
        <v>240</v>
      </c>
      <c r="G1400" s="98" t="s">
        <v>557</v>
      </c>
      <c r="H1400" s="98" t="s">
        <v>516</v>
      </c>
      <c r="I1400" s="98" t="s">
        <v>370</v>
      </c>
      <c r="K1400" s="100"/>
      <c r="L1400" s="108"/>
      <c r="M1400" s="100"/>
      <c r="N1400" s="100"/>
    </row>
    <row r="1401" spans="2:14" s="98" customFormat="1">
      <c r="B1401" s="99" t="s">
        <v>543</v>
      </c>
      <c r="C1401" s="109">
        <v>45874</v>
      </c>
      <c r="D1401" s="98" t="s">
        <v>296</v>
      </c>
      <c r="E1401" s="103">
        <v>2190</v>
      </c>
      <c r="F1401" s="98" t="s">
        <v>240</v>
      </c>
      <c r="G1401" s="98" t="s">
        <v>373</v>
      </c>
      <c r="H1401" s="98" t="s">
        <v>516</v>
      </c>
      <c r="I1401" s="98" t="s">
        <v>247</v>
      </c>
      <c r="K1401" s="100"/>
      <c r="L1401" s="108"/>
      <c r="M1401" s="100"/>
      <c r="N1401" s="100"/>
    </row>
    <row r="1402" spans="2:14" s="98" customFormat="1">
      <c r="B1402" s="99" t="s">
        <v>543</v>
      </c>
      <c r="C1402" s="109">
        <v>45874</v>
      </c>
      <c r="D1402" s="98" t="s">
        <v>296</v>
      </c>
      <c r="E1402" s="103">
        <v>1100</v>
      </c>
      <c r="F1402" s="98" t="s">
        <v>240</v>
      </c>
      <c r="G1402" s="98" t="s">
        <v>373</v>
      </c>
      <c r="H1402" s="98" t="s">
        <v>516</v>
      </c>
      <c r="I1402" s="98" t="s">
        <v>247</v>
      </c>
      <c r="K1402" s="100"/>
      <c r="L1402" s="108"/>
      <c r="M1402" s="100"/>
      <c r="N1402" s="100"/>
    </row>
    <row r="1403" spans="2:14" s="98" customFormat="1">
      <c r="B1403" s="99" t="s">
        <v>543</v>
      </c>
      <c r="C1403" s="109">
        <v>45874</v>
      </c>
      <c r="D1403" s="98" t="s">
        <v>491</v>
      </c>
      <c r="E1403" s="103">
        <v>2790</v>
      </c>
      <c r="F1403" s="98" t="s">
        <v>240</v>
      </c>
      <c r="G1403" s="98" t="s">
        <v>373</v>
      </c>
      <c r="H1403" s="98" t="s">
        <v>516</v>
      </c>
      <c r="I1403" s="98" t="s">
        <v>244</v>
      </c>
      <c r="K1403" s="100"/>
      <c r="L1403" s="108"/>
      <c r="M1403" s="100"/>
      <c r="N1403" s="100"/>
    </row>
    <row r="1404" spans="2:14" s="98" customFormat="1">
      <c r="B1404" s="99" t="s">
        <v>543</v>
      </c>
      <c r="C1404" s="109">
        <v>45874</v>
      </c>
      <c r="D1404" s="98" t="s">
        <v>556</v>
      </c>
      <c r="E1404" s="103">
        <v>229970</v>
      </c>
      <c r="F1404" s="98" t="s">
        <v>240</v>
      </c>
      <c r="G1404" s="98" t="s">
        <v>557</v>
      </c>
      <c r="H1404" s="98" t="s">
        <v>513</v>
      </c>
      <c r="I1404" s="98" t="s">
        <v>251</v>
      </c>
      <c r="K1404" s="100"/>
      <c r="L1404" s="108"/>
      <c r="M1404" s="100"/>
      <c r="N1404" s="100"/>
    </row>
    <row r="1405" spans="2:14" s="98" customFormat="1">
      <c r="B1405" s="99" t="s">
        <v>543</v>
      </c>
      <c r="C1405" s="109">
        <v>45874</v>
      </c>
      <c r="D1405" s="98" t="s">
        <v>399</v>
      </c>
      <c r="E1405" s="103">
        <v>3273</v>
      </c>
      <c r="F1405" s="98" t="s">
        <v>240</v>
      </c>
      <c r="G1405" s="98" t="s">
        <v>557</v>
      </c>
      <c r="H1405" s="98" t="s">
        <v>516</v>
      </c>
      <c r="I1405" s="98" t="s">
        <v>370</v>
      </c>
      <c r="K1405" s="100"/>
      <c r="L1405" s="108"/>
      <c r="M1405" s="100"/>
      <c r="N1405" s="100"/>
    </row>
    <row r="1406" spans="2:14" s="98" customFormat="1">
      <c r="B1406" s="99" t="s">
        <v>543</v>
      </c>
      <c r="C1406" s="109">
        <v>45873.829861111109</v>
      </c>
      <c r="D1406" s="98" t="s">
        <v>435</v>
      </c>
      <c r="E1406" s="103">
        <v>24943</v>
      </c>
      <c r="F1406" s="98" t="s">
        <v>240</v>
      </c>
      <c r="G1406" s="98" t="s">
        <v>542</v>
      </c>
      <c r="H1406" s="98" t="s">
        <v>516</v>
      </c>
      <c r="I1406" s="98" t="s">
        <v>245</v>
      </c>
      <c r="K1406" s="100"/>
      <c r="L1406" s="108"/>
      <c r="M1406" s="100"/>
      <c r="N1406" s="100"/>
    </row>
    <row r="1407" spans="2:14" s="98" customFormat="1">
      <c r="B1407" s="99" t="s">
        <v>543</v>
      </c>
      <c r="C1407" s="109">
        <v>45873</v>
      </c>
      <c r="D1407" s="98" t="s">
        <v>391</v>
      </c>
      <c r="E1407" s="103">
        <v>3700</v>
      </c>
      <c r="F1407" s="98" t="s">
        <v>240</v>
      </c>
      <c r="G1407" s="98" t="s">
        <v>373</v>
      </c>
      <c r="H1407" s="98" t="s">
        <v>516</v>
      </c>
      <c r="I1407" s="98" t="s">
        <v>242</v>
      </c>
      <c r="K1407" s="100"/>
      <c r="L1407" s="108"/>
      <c r="M1407" s="100"/>
      <c r="N1407" s="100"/>
    </row>
    <row r="1408" spans="2:14" s="98" customFormat="1">
      <c r="B1408" s="99" t="s">
        <v>543</v>
      </c>
      <c r="C1408" s="109">
        <v>45873</v>
      </c>
      <c r="D1408" s="98" t="s">
        <v>386</v>
      </c>
      <c r="E1408" s="103">
        <v>1190</v>
      </c>
      <c r="F1408" s="98" t="s">
        <v>240</v>
      </c>
      <c r="G1408" s="98" t="s">
        <v>373</v>
      </c>
      <c r="H1408" s="98" t="s">
        <v>516</v>
      </c>
      <c r="I1408" s="98" t="s">
        <v>242</v>
      </c>
      <c r="K1408" s="100"/>
      <c r="L1408" s="108"/>
      <c r="M1408" s="100"/>
      <c r="N1408" s="100"/>
    </row>
    <row r="1409" spans="2:14" s="98" customFormat="1">
      <c r="B1409" s="99" t="s">
        <v>543</v>
      </c>
      <c r="C1409" s="109">
        <v>45873</v>
      </c>
      <c r="D1409" s="98" t="s">
        <v>555</v>
      </c>
      <c r="E1409" s="103">
        <v>61784</v>
      </c>
      <c r="F1409" s="98" t="s">
        <v>240</v>
      </c>
      <c r="G1409" s="98" t="s">
        <v>373</v>
      </c>
      <c r="H1409" s="98" t="s">
        <v>513</v>
      </c>
      <c r="I1409" s="98" t="s">
        <v>271</v>
      </c>
      <c r="K1409" s="100"/>
      <c r="L1409" s="108"/>
      <c r="M1409" s="100"/>
      <c r="N1409" s="100"/>
    </row>
    <row r="1410" spans="2:14" s="98" customFormat="1">
      <c r="B1410" s="99" t="s">
        <v>543</v>
      </c>
      <c r="C1410" s="109">
        <v>45872.826388888891</v>
      </c>
      <c r="D1410" s="98" t="s">
        <v>524</v>
      </c>
      <c r="E1410" s="103">
        <v>17910</v>
      </c>
      <c r="F1410" s="98" t="s">
        <v>240</v>
      </c>
      <c r="G1410" s="98" t="s">
        <v>373</v>
      </c>
      <c r="H1410" s="98" t="s">
        <v>516</v>
      </c>
      <c r="I1410" s="98" t="s">
        <v>245</v>
      </c>
      <c r="K1410" s="100"/>
      <c r="L1410" s="108"/>
      <c r="M1410" s="100"/>
      <c r="N1410" s="100"/>
    </row>
    <row r="1411" spans="2:14" s="98" customFormat="1">
      <c r="B1411" s="99" t="s">
        <v>543</v>
      </c>
      <c r="C1411" s="109">
        <v>45872.779861111114</v>
      </c>
      <c r="D1411" s="98" t="s">
        <v>289</v>
      </c>
      <c r="E1411" s="103">
        <v>30970</v>
      </c>
      <c r="F1411" s="98" t="s">
        <v>240</v>
      </c>
      <c r="G1411" s="98" t="s">
        <v>373</v>
      </c>
      <c r="H1411" s="98" t="s">
        <v>516</v>
      </c>
      <c r="I1411" s="98" t="s">
        <v>273</v>
      </c>
      <c r="K1411" s="100"/>
      <c r="L1411" s="108"/>
      <c r="M1411" s="100"/>
      <c r="N1411" s="100"/>
    </row>
    <row r="1412" spans="2:14" s="98" customFormat="1">
      <c r="B1412" s="99" t="s">
        <v>543</v>
      </c>
      <c r="C1412" s="109">
        <v>45872.625694444447</v>
      </c>
      <c r="D1412" s="98" t="s">
        <v>525</v>
      </c>
      <c r="E1412" s="103">
        <v>23600</v>
      </c>
      <c r="F1412" s="98" t="s">
        <v>240</v>
      </c>
      <c r="G1412" s="98" t="s">
        <v>373</v>
      </c>
      <c r="H1412" s="98" t="s">
        <v>516</v>
      </c>
      <c r="I1412" s="98" t="s">
        <v>264</v>
      </c>
      <c r="K1412" s="100"/>
      <c r="L1412" s="108"/>
      <c r="M1412" s="100"/>
      <c r="N1412" s="100"/>
    </row>
    <row r="1413" spans="2:14" s="98" customFormat="1">
      <c r="B1413" s="99" t="s">
        <v>543</v>
      </c>
      <c r="C1413" s="109">
        <v>45872.551388888889</v>
      </c>
      <c r="D1413" s="98" t="s">
        <v>526</v>
      </c>
      <c r="E1413" s="103">
        <v>900</v>
      </c>
      <c r="F1413" s="98" t="s">
        <v>240</v>
      </c>
      <c r="G1413" s="98" t="s">
        <v>373</v>
      </c>
      <c r="H1413" s="98" t="s">
        <v>516</v>
      </c>
      <c r="I1413" s="98" t="s">
        <v>247</v>
      </c>
      <c r="K1413" s="100"/>
      <c r="L1413" s="108"/>
      <c r="M1413" s="100"/>
      <c r="N1413" s="100"/>
    </row>
    <row r="1414" spans="2:14" s="98" customFormat="1">
      <c r="B1414" s="99" t="s">
        <v>543</v>
      </c>
      <c r="C1414" s="109">
        <v>45872.52847222222</v>
      </c>
      <c r="D1414" s="98" t="s">
        <v>353</v>
      </c>
      <c r="E1414" s="103">
        <v>4640</v>
      </c>
      <c r="F1414" s="98" t="s">
        <v>240</v>
      </c>
      <c r="G1414" s="98" t="s">
        <v>373</v>
      </c>
      <c r="H1414" s="98" t="s">
        <v>516</v>
      </c>
      <c r="I1414" s="98" t="s">
        <v>244</v>
      </c>
      <c r="K1414" s="100"/>
      <c r="L1414" s="108"/>
      <c r="M1414" s="100"/>
      <c r="N1414" s="100"/>
    </row>
    <row r="1415" spans="2:14" s="98" customFormat="1">
      <c r="B1415" s="99" t="s">
        <v>543</v>
      </c>
      <c r="C1415" s="109">
        <v>45872</v>
      </c>
      <c r="D1415" s="98" t="s">
        <v>540</v>
      </c>
      <c r="E1415" s="103">
        <v>13440</v>
      </c>
      <c r="F1415" s="98" t="s">
        <v>240</v>
      </c>
      <c r="G1415" s="98" t="s">
        <v>542</v>
      </c>
      <c r="H1415" s="98" t="s">
        <v>516</v>
      </c>
      <c r="I1415" s="98" t="s">
        <v>244</v>
      </c>
      <c r="K1415" s="100"/>
      <c r="L1415" s="108"/>
      <c r="M1415" s="100"/>
      <c r="N1415" s="100"/>
    </row>
    <row r="1416" spans="2:14" s="98" customFormat="1">
      <c r="B1416" s="99" t="s">
        <v>543</v>
      </c>
      <c r="C1416" s="109">
        <v>45872</v>
      </c>
      <c r="D1416" s="98" t="s">
        <v>541</v>
      </c>
      <c r="E1416" s="103">
        <v>19789</v>
      </c>
      <c r="F1416" s="98" t="s">
        <v>240</v>
      </c>
      <c r="G1416" s="98" t="s">
        <v>542</v>
      </c>
      <c r="H1416" s="98" t="s">
        <v>516</v>
      </c>
      <c r="I1416" s="98" t="s">
        <v>244</v>
      </c>
      <c r="K1416" s="100"/>
      <c r="L1416" s="108"/>
      <c r="M1416" s="100"/>
      <c r="N1416" s="100"/>
    </row>
    <row r="1417" spans="2:14" s="98" customFormat="1">
      <c r="B1417" s="99" t="s">
        <v>543</v>
      </c>
      <c r="C1417" s="109">
        <v>45871.843055555553</v>
      </c>
      <c r="D1417" s="98" t="s">
        <v>287</v>
      </c>
      <c r="E1417" s="103">
        <v>38114</v>
      </c>
      <c r="F1417" s="98" t="s">
        <v>240</v>
      </c>
      <c r="G1417" s="98" t="s">
        <v>373</v>
      </c>
      <c r="H1417" s="98" t="s">
        <v>516</v>
      </c>
      <c r="I1417" s="98" t="s">
        <v>245</v>
      </c>
      <c r="K1417" s="100"/>
      <c r="L1417" s="108"/>
      <c r="M1417" s="100"/>
      <c r="N1417" s="100"/>
    </row>
    <row r="1418" spans="2:14" s="98" customFormat="1">
      <c r="B1418" s="99" t="s">
        <v>543</v>
      </c>
      <c r="C1418" s="109">
        <v>45871.491666666669</v>
      </c>
      <c r="D1418" s="98" t="s">
        <v>520</v>
      </c>
      <c r="E1418" s="103">
        <v>30000</v>
      </c>
      <c r="F1418" s="98" t="s">
        <v>240</v>
      </c>
      <c r="G1418" s="98" t="s">
        <v>374</v>
      </c>
      <c r="H1418" s="98" t="s">
        <v>516</v>
      </c>
      <c r="I1418" s="98" t="s">
        <v>263</v>
      </c>
      <c r="K1418" s="100"/>
      <c r="L1418" s="108"/>
      <c r="M1418" s="100"/>
      <c r="N1418" s="100"/>
    </row>
    <row r="1419" spans="2:14" s="98" customFormat="1">
      <c r="B1419" s="99" t="s">
        <v>543</v>
      </c>
      <c r="C1419" s="109">
        <v>45870.818749999999</v>
      </c>
      <c r="D1419" s="98" t="s">
        <v>521</v>
      </c>
      <c r="E1419" s="103">
        <v>-182223</v>
      </c>
      <c r="F1419" s="98" t="s">
        <v>239</v>
      </c>
      <c r="I1419" s="98" t="s">
        <v>471</v>
      </c>
      <c r="K1419" s="100"/>
      <c r="L1419" s="108"/>
      <c r="M1419" s="100"/>
      <c r="N1419" s="100"/>
    </row>
    <row r="1420" spans="2:14" s="98" customFormat="1">
      <c r="B1420" s="99" t="s">
        <v>543</v>
      </c>
      <c r="C1420" s="109">
        <v>45870</v>
      </c>
      <c r="D1420" s="98" t="s">
        <v>528</v>
      </c>
      <c r="E1420" s="103">
        <v>1500</v>
      </c>
      <c r="F1420" s="98" t="s">
        <v>240</v>
      </c>
      <c r="G1420" s="98" t="s">
        <v>373</v>
      </c>
      <c r="H1420" s="98" t="s">
        <v>516</v>
      </c>
      <c r="I1420" s="98" t="s">
        <v>241</v>
      </c>
      <c r="K1420" s="100"/>
      <c r="L1420" s="108"/>
      <c r="M1420" s="100"/>
      <c r="N1420" s="100"/>
    </row>
    <row r="1421" spans="2:14" s="98" customFormat="1">
      <c r="B1421" s="99" t="s">
        <v>543</v>
      </c>
      <c r="C1421" s="109">
        <v>45870</v>
      </c>
      <c r="D1421" s="98" t="s">
        <v>527</v>
      </c>
      <c r="E1421" s="103">
        <v>27588</v>
      </c>
      <c r="F1421" s="98" t="s">
        <v>240</v>
      </c>
      <c r="G1421" s="98" t="s">
        <v>373</v>
      </c>
      <c r="H1421" s="98" t="s">
        <v>516</v>
      </c>
      <c r="I1421" s="98" t="s">
        <v>248</v>
      </c>
      <c r="K1421" s="100"/>
      <c r="L1421" s="108"/>
      <c r="M1421" s="100"/>
      <c r="N1421" s="100"/>
    </row>
    <row r="1422" spans="2:14" s="98" customFormat="1">
      <c r="B1422" s="99" t="s">
        <v>543</v>
      </c>
      <c r="C1422" s="109">
        <v>45870</v>
      </c>
      <c r="D1422" s="98" t="s">
        <v>386</v>
      </c>
      <c r="E1422" s="103">
        <v>1190</v>
      </c>
      <c r="F1422" s="98" t="s">
        <v>240</v>
      </c>
      <c r="G1422" s="98" t="s">
        <v>373</v>
      </c>
      <c r="H1422" s="98" t="s">
        <v>516</v>
      </c>
      <c r="I1422" s="98" t="s">
        <v>242</v>
      </c>
      <c r="K1422" s="100"/>
      <c r="L1422" s="108"/>
      <c r="M1422" s="100"/>
      <c r="N1422" s="100"/>
    </row>
    <row r="1423" spans="2:14" s="98" customFormat="1">
      <c r="B1423" s="99" t="s">
        <v>543</v>
      </c>
      <c r="C1423" s="109">
        <v>45870</v>
      </c>
      <c r="D1423" s="98" t="s">
        <v>386</v>
      </c>
      <c r="E1423" s="103">
        <v>1190</v>
      </c>
      <c r="F1423" s="98" t="s">
        <v>240</v>
      </c>
      <c r="G1423" s="98" t="s">
        <v>373</v>
      </c>
      <c r="H1423" s="98" t="s">
        <v>516</v>
      </c>
      <c r="I1423" s="98" t="s">
        <v>242</v>
      </c>
      <c r="K1423" s="100"/>
      <c r="L1423" s="108"/>
      <c r="M1423" s="100"/>
      <c r="N1423" s="100"/>
    </row>
    <row r="1424" spans="2:14" s="98" customFormat="1">
      <c r="B1424" s="99" t="s">
        <v>543</v>
      </c>
      <c r="C1424" s="109">
        <v>45870</v>
      </c>
      <c r="D1424" s="98" t="s">
        <v>390</v>
      </c>
      <c r="E1424" s="103">
        <v>712088</v>
      </c>
      <c r="F1424" s="98" t="s">
        <v>240</v>
      </c>
      <c r="G1424" s="98" t="s">
        <v>373</v>
      </c>
      <c r="H1424" s="98" t="s">
        <v>513</v>
      </c>
      <c r="I1424" s="98" t="s">
        <v>252</v>
      </c>
      <c r="K1424" s="100"/>
      <c r="L1424" s="108"/>
      <c r="M1424" s="100"/>
      <c r="N1424" s="100"/>
    </row>
    <row r="1425" spans="2:14" s="98" customFormat="1">
      <c r="B1425" s="99" t="s">
        <v>543</v>
      </c>
      <c r="C1425" s="109">
        <v>45870</v>
      </c>
      <c r="D1425" s="98" t="s">
        <v>392</v>
      </c>
      <c r="E1425" s="103">
        <v>1449</v>
      </c>
      <c r="F1425" s="98" t="s">
        <v>240</v>
      </c>
      <c r="G1425" s="98" t="s">
        <v>373</v>
      </c>
      <c r="H1425" s="98" t="s">
        <v>513</v>
      </c>
      <c r="I1425" s="98" t="s">
        <v>544</v>
      </c>
      <c r="K1425" s="100"/>
      <c r="L1425" s="108"/>
      <c r="M1425" s="100"/>
      <c r="N1425" s="100"/>
    </row>
    <row r="1426" spans="2:14" s="98" customFormat="1">
      <c r="B1426" s="99" t="s">
        <v>543</v>
      </c>
      <c r="C1426" s="109">
        <v>45869.932638888888</v>
      </c>
      <c r="D1426" s="98" t="s">
        <v>151</v>
      </c>
      <c r="E1426" s="103">
        <v>3252</v>
      </c>
      <c r="F1426" s="98" t="s">
        <v>240</v>
      </c>
      <c r="G1426" s="98" t="s">
        <v>374</v>
      </c>
      <c r="H1426" s="98" t="s">
        <v>516</v>
      </c>
      <c r="I1426" s="98" t="s">
        <v>247</v>
      </c>
      <c r="K1426" s="100"/>
      <c r="L1426" s="108"/>
      <c r="M1426" s="100"/>
      <c r="N1426" s="100"/>
    </row>
    <row r="1427" spans="2:14" s="98" customFormat="1">
      <c r="B1427" s="99" t="s">
        <v>543</v>
      </c>
      <c r="C1427" s="109">
        <v>45869.913888888892</v>
      </c>
      <c r="D1427" s="98" t="s">
        <v>73</v>
      </c>
      <c r="E1427" s="103">
        <v>19400</v>
      </c>
      <c r="F1427" s="98" t="s">
        <v>240</v>
      </c>
      <c r="G1427" s="98" t="s">
        <v>374</v>
      </c>
      <c r="H1427" s="98" t="s">
        <v>516</v>
      </c>
      <c r="I1427" s="98" t="s">
        <v>251</v>
      </c>
      <c r="K1427" s="100"/>
      <c r="L1427" s="108"/>
      <c r="M1427" s="100"/>
      <c r="N1427" s="100"/>
    </row>
    <row r="1428" spans="2:14" s="98" customFormat="1">
      <c r="B1428" s="99" t="s">
        <v>543</v>
      </c>
      <c r="C1428" s="109">
        <v>45869.877083333333</v>
      </c>
      <c r="D1428" s="98" t="s">
        <v>529</v>
      </c>
      <c r="E1428" s="103">
        <v>50</v>
      </c>
      <c r="F1428" s="98" t="s">
        <v>240</v>
      </c>
      <c r="G1428" s="98" t="s">
        <v>373</v>
      </c>
      <c r="H1428" s="98" t="s">
        <v>516</v>
      </c>
      <c r="I1428" s="98" t="s">
        <v>268</v>
      </c>
      <c r="K1428" s="100"/>
      <c r="L1428" s="108"/>
      <c r="M1428" s="100"/>
      <c r="N1428" s="100"/>
    </row>
    <row r="1429" spans="2:14" s="98" customFormat="1">
      <c r="B1429" s="99" t="s">
        <v>543</v>
      </c>
      <c r="C1429" s="109">
        <v>45869.854861111111</v>
      </c>
      <c r="D1429" s="98" t="s">
        <v>530</v>
      </c>
      <c r="E1429" s="103">
        <v>1500</v>
      </c>
      <c r="F1429" s="98" t="s">
        <v>240</v>
      </c>
      <c r="G1429" s="98" t="s">
        <v>373</v>
      </c>
      <c r="H1429" s="98" t="s">
        <v>516</v>
      </c>
      <c r="I1429" s="98" t="s">
        <v>241</v>
      </c>
      <c r="K1429" s="100"/>
      <c r="L1429" s="108"/>
      <c r="M1429" s="100"/>
      <c r="N1429" s="100"/>
    </row>
    <row r="1430" spans="2:14" s="98" customFormat="1">
      <c r="B1430" s="99" t="s">
        <v>543</v>
      </c>
      <c r="C1430" s="109">
        <v>45869.853472222225</v>
      </c>
      <c r="D1430" s="98" t="s">
        <v>28</v>
      </c>
      <c r="E1430" s="103">
        <v>26380</v>
      </c>
      <c r="F1430" s="98" t="s">
        <v>240</v>
      </c>
      <c r="G1430" s="98" t="s">
        <v>374</v>
      </c>
      <c r="H1430" s="98" t="s">
        <v>516</v>
      </c>
      <c r="I1430" s="98" t="s">
        <v>245</v>
      </c>
      <c r="K1430" s="100"/>
      <c r="L1430" s="108"/>
      <c r="M1430" s="100"/>
      <c r="N1430" s="100"/>
    </row>
    <row r="1431" spans="2:14" s="98" customFormat="1">
      <c r="B1431" s="99" t="s">
        <v>543</v>
      </c>
      <c r="C1431" s="109">
        <v>45869.447222222225</v>
      </c>
      <c r="D1431" s="98" t="s">
        <v>30</v>
      </c>
      <c r="E1431" s="103">
        <v>2790</v>
      </c>
      <c r="F1431" s="98" t="s">
        <v>240</v>
      </c>
      <c r="G1431" s="98" t="s">
        <v>374</v>
      </c>
      <c r="H1431" s="98" t="s">
        <v>516</v>
      </c>
      <c r="I1431" s="98" t="s">
        <v>247</v>
      </c>
      <c r="K1431" s="100"/>
      <c r="L1431" s="108"/>
      <c r="M1431" s="100"/>
      <c r="N1431" s="100"/>
    </row>
    <row r="1432" spans="2:14" s="98" customFormat="1">
      <c r="B1432" s="99" t="s">
        <v>543</v>
      </c>
      <c r="C1432" s="109">
        <v>45869</v>
      </c>
      <c r="D1432" s="98" t="s">
        <v>529</v>
      </c>
      <c r="E1432" s="103">
        <v>5000</v>
      </c>
      <c r="F1432" s="98" t="s">
        <v>240</v>
      </c>
      <c r="G1432" s="98" t="s">
        <v>373</v>
      </c>
      <c r="H1432" s="98" t="s">
        <v>516</v>
      </c>
      <c r="I1432" s="98" t="s">
        <v>268</v>
      </c>
      <c r="K1432" s="100"/>
      <c r="L1432" s="108"/>
      <c r="M1432" s="100"/>
      <c r="N1432" s="100"/>
    </row>
    <row r="1433" spans="2:14" s="98" customFormat="1">
      <c r="B1433" s="99" t="s">
        <v>543</v>
      </c>
      <c r="C1433" s="109">
        <v>45869</v>
      </c>
      <c r="D1433" s="98" t="s">
        <v>533</v>
      </c>
      <c r="E1433" s="103">
        <v>26072</v>
      </c>
      <c r="F1433" s="98" t="s">
        <v>240</v>
      </c>
      <c r="G1433" s="98" t="s">
        <v>373</v>
      </c>
      <c r="H1433" s="98" t="s">
        <v>516</v>
      </c>
      <c r="I1433" s="98" t="s">
        <v>244</v>
      </c>
      <c r="K1433" s="100"/>
      <c r="L1433" s="108"/>
      <c r="M1433" s="100"/>
      <c r="N1433" s="100"/>
    </row>
    <row r="1434" spans="2:14" s="98" customFormat="1">
      <c r="B1434" s="99" t="s">
        <v>543</v>
      </c>
      <c r="C1434" s="109">
        <v>45869</v>
      </c>
      <c r="D1434" s="98" t="s">
        <v>533</v>
      </c>
      <c r="E1434" s="103">
        <v>9093</v>
      </c>
      <c r="F1434" s="98" t="s">
        <v>240</v>
      </c>
      <c r="G1434" s="98" t="s">
        <v>373</v>
      </c>
      <c r="H1434" s="98" t="s">
        <v>516</v>
      </c>
      <c r="I1434" s="98" t="s">
        <v>244</v>
      </c>
      <c r="K1434" s="100"/>
      <c r="L1434" s="108"/>
      <c r="M1434" s="100"/>
      <c r="N1434" s="100"/>
    </row>
    <row r="1435" spans="2:14" s="98" customFormat="1">
      <c r="B1435" s="99" t="s">
        <v>543</v>
      </c>
      <c r="C1435" s="109">
        <v>45869</v>
      </c>
      <c r="D1435" s="98" t="s">
        <v>532</v>
      </c>
      <c r="E1435" s="103">
        <v>1700</v>
      </c>
      <c r="F1435" s="98" t="s">
        <v>240</v>
      </c>
      <c r="G1435" s="98" t="s">
        <v>373</v>
      </c>
      <c r="H1435" s="98" t="s">
        <v>516</v>
      </c>
      <c r="I1435" s="98" t="s">
        <v>247</v>
      </c>
      <c r="K1435" s="100"/>
      <c r="L1435" s="108"/>
      <c r="M1435" s="100"/>
      <c r="N1435" s="100"/>
    </row>
    <row r="1436" spans="2:14" s="98" customFormat="1">
      <c r="B1436" s="99" t="s">
        <v>543</v>
      </c>
      <c r="C1436" s="109">
        <v>45869</v>
      </c>
      <c r="D1436" s="98" t="s">
        <v>531</v>
      </c>
      <c r="E1436" s="103">
        <v>8129</v>
      </c>
      <c r="F1436" s="98" t="s">
        <v>240</v>
      </c>
      <c r="G1436" s="98" t="s">
        <v>373</v>
      </c>
      <c r="H1436" s="98" t="s">
        <v>516</v>
      </c>
      <c r="I1436" s="98" t="s">
        <v>247</v>
      </c>
      <c r="K1436" s="100"/>
      <c r="L1436" s="108"/>
      <c r="M1436" s="100"/>
      <c r="N1436" s="100"/>
    </row>
    <row r="1437" spans="2:14" s="98" customFormat="1">
      <c r="B1437" s="99" t="s">
        <v>543</v>
      </c>
      <c r="C1437" s="109">
        <v>45869</v>
      </c>
      <c r="D1437" s="98" t="s">
        <v>493</v>
      </c>
      <c r="E1437" s="103">
        <v>69484</v>
      </c>
      <c r="F1437" s="98" t="s">
        <v>240</v>
      </c>
      <c r="G1437" s="98" t="s">
        <v>373</v>
      </c>
      <c r="H1437" s="98" t="s">
        <v>516</v>
      </c>
      <c r="I1437" s="98" t="s">
        <v>245</v>
      </c>
      <c r="K1437" s="100"/>
      <c r="L1437" s="108"/>
      <c r="M1437" s="100"/>
      <c r="N1437" s="100"/>
    </row>
    <row r="1438" spans="2:14" s="98" customFormat="1">
      <c r="B1438" s="99" t="s">
        <v>543</v>
      </c>
      <c r="C1438" s="109">
        <v>45868.948611111111</v>
      </c>
      <c r="D1438" s="98" t="s">
        <v>149</v>
      </c>
      <c r="E1438" s="103">
        <v>6000</v>
      </c>
      <c r="F1438" s="98" t="s">
        <v>240</v>
      </c>
      <c r="G1438" s="98" t="s">
        <v>374</v>
      </c>
      <c r="H1438" s="98" t="s">
        <v>516</v>
      </c>
      <c r="I1438" s="98" t="s">
        <v>268</v>
      </c>
      <c r="K1438" s="100"/>
      <c r="L1438" s="108"/>
      <c r="M1438" s="100"/>
      <c r="N1438" s="100"/>
    </row>
    <row r="1439" spans="2:14" s="98" customFormat="1">
      <c r="B1439" s="99" t="s">
        <v>543</v>
      </c>
      <c r="C1439" s="109">
        <v>45868.945833333331</v>
      </c>
      <c r="D1439" s="98" t="s">
        <v>47</v>
      </c>
      <c r="E1439" s="103">
        <v>5500</v>
      </c>
      <c r="F1439" s="98" t="s">
        <v>240</v>
      </c>
      <c r="G1439" s="98" t="s">
        <v>374</v>
      </c>
      <c r="H1439" s="98" t="s">
        <v>513</v>
      </c>
      <c r="I1439" s="98" t="s">
        <v>544</v>
      </c>
      <c r="K1439" s="100"/>
      <c r="L1439" s="108"/>
      <c r="M1439" s="100"/>
      <c r="N1439" s="100"/>
    </row>
    <row r="1440" spans="2:14" s="98" customFormat="1">
      <c r="B1440" s="99" t="s">
        <v>543</v>
      </c>
      <c r="C1440" s="109">
        <v>45868.879166666666</v>
      </c>
      <c r="D1440" s="98" t="s">
        <v>51</v>
      </c>
      <c r="E1440" s="103">
        <v>10000</v>
      </c>
      <c r="F1440" s="98" t="s">
        <v>240</v>
      </c>
      <c r="G1440" s="98" t="s">
        <v>374</v>
      </c>
      <c r="H1440" s="98" t="s">
        <v>516</v>
      </c>
      <c r="I1440" s="98" t="s">
        <v>270</v>
      </c>
      <c r="K1440" s="100"/>
      <c r="L1440" s="108"/>
      <c r="M1440" s="100"/>
      <c r="N1440" s="100"/>
    </row>
    <row r="1441" spans="2:14" s="98" customFormat="1">
      <c r="B1441" s="99" t="s">
        <v>543</v>
      </c>
      <c r="C1441" s="109">
        <v>45868.813888888886</v>
      </c>
      <c r="D1441" s="98" t="s">
        <v>522</v>
      </c>
      <c r="E1441" s="103">
        <v>16500</v>
      </c>
      <c r="F1441" s="98" t="s">
        <v>240</v>
      </c>
      <c r="G1441" s="98" t="s">
        <v>374</v>
      </c>
      <c r="H1441" s="98" t="s">
        <v>516</v>
      </c>
      <c r="I1441" s="98" t="s">
        <v>248</v>
      </c>
      <c r="K1441" s="100"/>
      <c r="L1441" s="108"/>
      <c r="M1441" s="100"/>
      <c r="N1441" s="100"/>
    </row>
    <row r="1442" spans="2:14" s="98" customFormat="1">
      <c r="B1442" s="99" t="s">
        <v>543</v>
      </c>
      <c r="C1442" s="109">
        <v>45868.677777777775</v>
      </c>
      <c r="D1442" s="98" t="s">
        <v>82</v>
      </c>
      <c r="E1442" s="103">
        <v>25000</v>
      </c>
      <c r="F1442" s="98" t="s">
        <v>240</v>
      </c>
      <c r="G1442" s="98" t="s">
        <v>374</v>
      </c>
      <c r="H1442" s="98" t="s">
        <v>516</v>
      </c>
      <c r="I1442" s="98" t="s">
        <v>244</v>
      </c>
      <c r="K1442" s="100"/>
      <c r="L1442" s="108"/>
      <c r="M1442" s="100"/>
      <c r="N1442" s="100"/>
    </row>
    <row r="1443" spans="2:14" s="98" customFormat="1">
      <c r="B1443" s="99" t="s">
        <v>543</v>
      </c>
      <c r="C1443" s="109">
        <v>45868.338888888888</v>
      </c>
      <c r="D1443" s="98" t="s">
        <v>30</v>
      </c>
      <c r="E1443" s="103">
        <v>5770</v>
      </c>
      <c r="F1443" s="98" t="s">
        <v>240</v>
      </c>
      <c r="G1443" s="98" t="s">
        <v>374</v>
      </c>
      <c r="H1443" s="98" t="s">
        <v>516</v>
      </c>
      <c r="I1443" s="98" t="s">
        <v>247</v>
      </c>
      <c r="K1443" s="100"/>
      <c r="L1443" s="108"/>
      <c r="M1443" s="100"/>
      <c r="N1443" s="100"/>
    </row>
    <row r="1444" spans="2:14" s="98" customFormat="1">
      <c r="B1444" s="99" t="s">
        <v>543</v>
      </c>
      <c r="C1444" s="109">
        <v>45868.332638888889</v>
      </c>
      <c r="D1444" s="98" t="s">
        <v>30</v>
      </c>
      <c r="E1444" s="103">
        <v>2500</v>
      </c>
      <c r="F1444" s="98" t="s">
        <v>240</v>
      </c>
      <c r="G1444" s="98" t="s">
        <v>374</v>
      </c>
      <c r="H1444" s="98" t="s">
        <v>516</v>
      </c>
      <c r="I1444" s="98" t="s">
        <v>247</v>
      </c>
      <c r="K1444" s="100"/>
      <c r="L1444" s="108"/>
      <c r="M1444" s="100"/>
      <c r="N1444" s="100"/>
    </row>
    <row r="1445" spans="2:14" s="98" customFormat="1">
      <c r="B1445" s="99" t="s">
        <v>543</v>
      </c>
      <c r="C1445" s="109">
        <v>45868.320138888892</v>
      </c>
      <c r="D1445" s="98" t="s">
        <v>149</v>
      </c>
      <c r="E1445" s="103">
        <v>10000</v>
      </c>
      <c r="F1445" s="98" t="s">
        <v>240</v>
      </c>
      <c r="G1445" s="98" t="s">
        <v>374</v>
      </c>
      <c r="H1445" s="98" t="s">
        <v>516</v>
      </c>
      <c r="I1445" s="98" t="s">
        <v>263</v>
      </c>
      <c r="K1445" s="100"/>
      <c r="L1445" s="108"/>
      <c r="M1445" s="100"/>
      <c r="N1445" s="100"/>
    </row>
    <row r="1446" spans="2:14" s="98" customFormat="1">
      <c r="B1446" s="99" t="s">
        <v>543</v>
      </c>
      <c r="C1446" s="109">
        <v>45868</v>
      </c>
      <c r="D1446" s="98" t="s">
        <v>350</v>
      </c>
      <c r="E1446" s="103">
        <v>3090</v>
      </c>
      <c r="F1446" s="98" t="s">
        <v>240</v>
      </c>
      <c r="G1446" s="98" t="s">
        <v>373</v>
      </c>
      <c r="H1446" s="98" t="s">
        <v>516</v>
      </c>
      <c r="I1446" s="98" t="s">
        <v>471</v>
      </c>
      <c r="K1446" s="100"/>
      <c r="L1446" s="108"/>
      <c r="M1446" s="100"/>
      <c r="N1446" s="100"/>
    </row>
    <row r="1447" spans="2:14" s="98" customFormat="1">
      <c r="B1447" s="99" t="s">
        <v>543</v>
      </c>
      <c r="C1447" s="109">
        <v>45868</v>
      </c>
      <c r="D1447" s="98" t="s">
        <v>350</v>
      </c>
      <c r="E1447" s="103">
        <v>1990</v>
      </c>
      <c r="F1447" s="98" t="s">
        <v>240</v>
      </c>
      <c r="G1447" s="98" t="s">
        <v>373</v>
      </c>
      <c r="H1447" s="98" t="s">
        <v>516</v>
      </c>
      <c r="I1447" s="98" t="s">
        <v>471</v>
      </c>
      <c r="K1447" s="100"/>
      <c r="L1447" s="108"/>
      <c r="M1447" s="100"/>
      <c r="N1447" s="100"/>
    </row>
    <row r="1448" spans="2:14" s="98" customFormat="1">
      <c r="B1448" s="99" t="s">
        <v>543</v>
      </c>
      <c r="C1448" s="109">
        <v>45868</v>
      </c>
      <c r="D1448" s="98" t="s">
        <v>536</v>
      </c>
      <c r="E1448" s="103">
        <v>5900</v>
      </c>
      <c r="F1448" s="98" t="s">
        <v>240</v>
      </c>
      <c r="G1448" s="98" t="s">
        <v>373</v>
      </c>
      <c r="H1448" s="98" t="s">
        <v>516</v>
      </c>
      <c r="I1448" s="98" t="s">
        <v>471</v>
      </c>
      <c r="K1448" s="100"/>
      <c r="L1448" s="108"/>
      <c r="M1448" s="100"/>
      <c r="N1448" s="100"/>
    </row>
    <row r="1449" spans="2:14" s="98" customFormat="1">
      <c r="B1449" s="99" t="s">
        <v>543</v>
      </c>
      <c r="C1449" s="109">
        <v>45868</v>
      </c>
      <c r="D1449" s="98" t="s">
        <v>535</v>
      </c>
      <c r="E1449" s="103">
        <v>1000</v>
      </c>
      <c r="F1449" s="98" t="s">
        <v>240</v>
      </c>
      <c r="G1449" s="98" t="s">
        <v>373</v>
      </c>
      <c r="H1449" s="98" t="s">
        <v>516</v>
      </c>
      <c r="I1449" s="98" t="s">
        <v>247</v>
      </c>
      <c r="K1449" s="100"/>
      <c r="L1449" s="108"/>
      <c r="M1449" s="100"/>
      <c r="N1449" s="100"/>
    </row>
    <row r="1450" spans="2:14" s="98" customFormat="1">
      <c r="B1450" s="99" t="s">
        <v>543</v>
      </c>
      <c r="C1450" s="109">
        <v>45868</v>
      </c>
      <c r="D1450" s="98" t="s">
        <v>534</v>
      </c>
      <c r="E1450" s="103">
        <v>18351</v>
      </c>
      <c r="F1450" s="98" t="s">
        <v>240</v>
      </c>
      <c r="G1450" s="98" t="s">
        <v>373</v>
      </c>
      <c r="H1450" s="98" t="s">
        <v>516</v>
      </c>
      <c r="I1450" s="98" t="s">
        <v>471</v>
      </c>
      <c r="K1450" s="100"/>
      <c r="L1450" s="108"/>
      <c r="M1450" s="100"/>
      <c r="N1450" s="100"/>
    </row>
    <row r="1451" spans="2:14" s="98" customFormat="1">
      <c r="B1451" s="99" t="s">
        <v>543</v>
      </c>
      <c r="C1451" s="109">
        <v>45867.948611111111</v>
      </c>
      <c r="D1451" s="98" t="s">
        <v>11</v>
      </c>
      <c r="E1451" s="103">
        <v>-2588117</v>
      </c>
      <c r="F1451" s="98" t="s">
        <v>239</v>
      </c>
      <c r="I1451" s="98" t="s">
        <v>246</v>
      </c>
      <c r="K1451" s="100"/>
      <c r="L1451" s="108"/>
      <c r="M1451" s="100"/>
      <c r="N1451" s="100"/>
    </row>
    <row r="1452" spans="2:14" s="98" customFormat="1">
      <c r="B1452" s="99" t="s">
        <v>472</v>
      </c>
      <c r="C1452" s="109">
        <v>45867.80972222222</v>
      </c>
      <c r="D1452" s="98" t="s">
        <v>56</v>
      </c>
      <c r="E1452" s="103">
        <v>5300</v>
      </c>
      <c r="F1452" s="98" t="s">
        <v>240</v>
      </c>
      <c r="G1452" s="98" t="s">
        <v>374</v>
      </c>
      <c r="H1452" s="98" t="s">
        <v>516</v>
      </c>
      <c r="I1452" s="98" t="s">
        <v>247</v>
      </c>
      <c r="K1452" s="100"/>
      <c r="L1452" s="108"/>
      <c r="M1452" s="100"/>
      <c r="N1452" s="100"/>
    </row>
    <row r="1453" spans="2:14" s="98" customFormat="1">
      <c r="B1453" s="99" t="s">
        <v>472</v>
      </c>
      <c r="C1453" s="109">
        <v>45867.801388888889</v>
      </c>
      <c r="D1453" s="98" t="s">
        <v>12</v>
      </c>
      <c r="E1453" s="103">
        <v>2700</v>
      </c>
      <c r="F1453" s="98" t="s">
        <v>240</v>
      </c>
      <c r="G1453" s="98" t="s">
        <v>374</v>
      </c>
      <c r="H1453" s="98" t="s">
        <v>516</v>
      </c>
      <c r="I1453" s="98" t="s">
        <v>245</v>
      </c>
      <c r="K1453" s="100"/>
      <c r="L1453" s="108"/>
      <c r="M1453" s="100"/>
      <c r="N1453" s="100"/>
    </row>
    <row r="1454" spans="2:14" s="98" customFormat="1">
      <c r="B1454" s="99" t="s">
        <v>472</v>
      </c>
      <c r="C1454" s="109">
        <v>45867.54791666667</v>
      </c>
      <c r="D1454" s="98" t="s">
        <v>19</v>
      </c>
      <c r="E1454" s="103">
        <v>3700</v>
      </c>
      <c r="F1454" s="98" t="s">
        <v>240</v>
      </c>
      <c r="G1454" s="98" t="s">
        <v>374</v>
      </c>
      <c r="H1454" s="98" t="s">
        <v>516</v>
      </c>
      <c r="I1454" s="98" t="s">
        <v>242</v>
      </c>
      <c r="K1454" s="100"/>
      <c r="L1454" s="108"/>
      <c r="M1454" s="100"/>
      <c r="N1454" s="100"/>
    </row>
    <row r="1455" spans="2:14" s="98" customFormat="1">
      <c r="B1455" s="99" t="s">
        <v>472</v>
      </c>
      <c r="C1455" s="109">
        <v>45867.311805555553</v>
      </c>
      <c r="D1455" s="98" t="s">
        <v>523</v>
      </c>
      <c r="E1455" s="103">
        <v>5000</v>
      </c>
      <c r="F1455" s="98" t="s">
        <v>240</v>
      </c>
      <c r="G1455" s="98" t="s">
        <v>374</v>
      </c>
      <c r="H1455" s="98" t="s">
        <v>516</v>
      </c>
      <c r="I1455" s="98" t="s">
        <v>270</v>
      </c>
      <c r="K1455" s="100"/>
      <c r="L1455" s="108"/>
      <c r="M1455" s="100"/>
      <c r="N1455" s="100"/>
    </row>
    <row r="1456" spans="2:14" s="98" customFormat="1">
      <c r="B1456" s="99" t="s">
        <v>543</v>
      </c>
      <c r="C1456" s="109">
        <v>45867</v>
      </c>
      <c r="D1456" s="98" t="s">
        <v>538</v>
      </c>
      <c r="E1456" s="103">
        <v>95076</v>
      </c>
      <c r="F1456" s="98" t="s">
        <v>240</v>
      </c>
      <c r="G1456" s="98" t="s">
        <v>373</v>
      </c>
      <c r="H1456" s="98" t="s">
        <v>516</v>
      </c>
      <c r="I1456" s="98" t="s">
        <v>245</v>
      </c>
      <c r="K1456" s="100"/>
      <c r="L1456" s="108"/>
      <c r="M1456" s="100"/>
      <c r="N1456" s="100"/>
    </row>
    <row r="1457" spans="2:14" s="98" customFormat="1">
      <c r="B1457" s="99" t="s">
        <v>543</v>
      </c>
      <c r="C1457" s="109">
        <v>45867</v>
      </c>
      <c r="D1457" s="98" t="s">
        <v>537</v>
      </c>
      <c r="E1457" s="103">
        <v>20990</v>
      </c>
      <c r="F1457" s="98" t="s">
        <v>240</v>
      </c>
      <c r="G1457" s="98" t="s">
        <v>373</v>
      </c>
      <c r="H1457" s="98" t="s">
        <v>513</v>
      </c>
      <c r="I1457" s="98" t="s">
        <v>545</v>
      </c>
      <c r="K1457" s="100"/>
      <c r="L1457" s="108"/>
      <c r="M1457" s="100"/>
      <c r="N1457" s="100"/>
    </row>
    <row r="1458" spans="2:14" s="98" customFormat="1">
      <c r="B1458" s="99" t="s">
        <v>543</v>
      </c>
      <c r="C1458" s="109">
        <v>45867</v>
      </c>
      <c r="D1458" s="98" t="s">
        <v>537</v>
      </c>
      <c r="E1458" s="103">
        <v>20990</v>
      </c>
      <c r="F1458" s="98" t="s">
        <v>240</v>
      </c>
      <c r="G1458" s="98" t="s">
        <v>373</v>
      </c>
      <c r="H1458" s="98" t="s">
        <v>513</v>
      </c>
      <c r="I1458" s="98" t="s">
        <v>545</v>
      </c>
      <c r="K1458" s="100"/>
      <c r="L1458" s="108"/>
      <c r="M1458" s="100"/>
      <c r="N1458" s="100"/>
    </row>
    <row r="1459" spans="2:14" s="98" customFormat="1">
      <c r="B1459" s="99" t="s">
        <v>472</v>
      </c>
      <c r="C1459" s="109">
        <v>45866.798611111109</v>
      </c>
      <c r="D1459" s="98" t="s">
        <v>12</v>
      </c>
      <c r="E1459" s="103">
        <v>2884</v>
      </c>
      <c r="F1459" s="98" t="s">
        <v>240</v>
      </c>
      <c r="G1459" s="98" t="s">
        <v>374</v>
      </c>
      <c r="H1459" s="98" t="s">
        <v>516</v>
      </c>
      <c r="I1459" s="98" t="s">
        <v>245</v>
      </c>
      <c r="K1459" s="100"/>
      <c r="L1459" s="108"/>
      <c r="M1459" s="100"/>
      <c r="N1459" s="100"/>
    </row>
    <row r="1460" spans="2:14" s="98" customFormat="1">
      <c r="B1460" s="99" t="s">
        <v>472</v>
      </c>
      <c r="C1460" s="109">
        <v>45866.652083333334</v>
      </c>
      <c r="D1460" s="98" t="s">
        <v>46</v>
      </c>
      <c r="E1460" s="103">
        <v>1300</v>
      </c>
      <c r="F1460" s="98" t="s">
        <v>240</v>
      </c>
      <c r="G1460" s="98" t="s">
        <v>374</v>
      </c>
      <c r="H1460" s="98" t="s">
        <v>516</v>
      </c>
      <c r="I1460" s="98" t="s">
        <v>247</v>
      </c>
      <c r="K1460" s="100"/>
      <c r="L1460" s="108"/>
      <c r="M1460" s="100"/>
      <c r="N1460" s="100"/>
    </row>
    <row r="1461" spans="2:14" s="98" customFormat="1">
      <c r="B1461" s="99" t="s">
        <v>472</v>
      </c>
      <c r="C1461" s="109">
        <v>45866.540972222225</v>
      </c>
      <c r="D1461" s="98" t="s">
        <v>19</v>
      </c>
      <c r="E1461" s="103">
        <v>3700</v>
      </c>
      <c r="F1461" s="98" t="s">
        <v>240</v>
      </c>
      <c r="G1461" s="98" t="s">
        <v>374</v>
      </c>
      <c r="H1461" s="98" t="s">
        <v>516</v>
      </c>
      <c r="I1461" s="98" t="s">
        <v>242</v>
      </c>
      <c r="K1461" s="100"/>
      <c r="L1461" s="108"/>
      <c r="M1461" s="100"/>
      <c r="N1461" s="100"/>
    </row>
    <row r="1462" spans="2:14" s="98" customFormat="1">
      <c r="B1462" s="99" t="s">
        <v>472</v>
      </c>
      <c r="C1462" s="109">
        <v>45865.80972222222</v>
      </c>
      <c r="D1462" s="98" t="s">
        <v>56</v>
      </c>
      <c r="E1462" s="103">
        <v>5740</v>
      </c>
      <c r="F1462" s="98" t="s">
        <v>240</v>
      </c>
      <c r="G1462" s="98" t="s">
        <v>374</v>
      </c>
      <c r="H1462" s="98" t="s">
        <v>516</v>
      </c>
      <c r="I1462" s="98" t="s">
        <v>247</v>
      </c>
      <c r="K1462" s="100"/>
      <c r="L1462" s="108"/>
      <c r="M1462" s="100"/>
      <c r="N1462" s="100"/>
    </row>
    <row r="1463" spans="2:14" s="98" customFormat="1">
      <c r="B1463" s="99" t="s">
        <v>472</v>
      </c>
      <c r="C1463" s="109">
        <v>45865.799305555556</v>
      </c>
      <c r="D1463" s="98" t="s">
        <v>500</v>
      </c>
      <c r="E1463" s="103">
        <v>3990</v>
      </c>
      <c r="F1463" s="98" t="s">
        <v>240</v>
      </c>
      <c r="G1463" s="98" t="s">
        <v>374</v>
      </c>
      <c r="H1463" s="98" t="s">
        <v>516</v>
      </c>
      <c r="I1463" s="98" t="s">
        <v>244</v>
      </c>
      <c r="K1463" s="100"/>
      <c r="L1463" s="108"/>
      <c r="M1463" s="100"/>
      <c r="N1463" s="100"/>
    </row>
    <row r="1464" spans="2:14" s="98" customFormat="1">
      <c r="B1464" s="99" t="s">
        <v>472</v>
      </c>
      <c r="C1464" s="109">
        <v>45865.731249999997</v>
      </c>
      <c r="D1464" s="98" t="s">
        <v>508</v>
      </c>
      <c r="E1464" s="103">
        <v>10000</v>
      </c>
      <c r="F1464" s="98" t="s">
        <v>240</v>
      </c>
      <c r="G1464" s="98" t="s">
        <v>373</v>
      </c>
      <c r="H1464" s="98" t="s">
        <v>516</v>
      </c>
      <c r="I1464" s="98" t="s">
        <v>270</v>
      </c>
      <c r="K1464" s="100"/>
      <c r="L1464" s="108"/>
      <c r="M1464" s="100"/>
      <c r="N1464" s="100"/>
    </row>
    <row r="1465" spans="2:14" s="98" customFormat="1">
      <c r="B1465" s="99" t="s">
        <v>472</v>
      </c>
      <c r="C1465" s="109">
        <v>45865.547222222223</v>
      </c>
      <c r="D1465" s="98" t="s">
        <v>32</v>
      </c>
      <c r="E1465" s="103">
        <v>2650</v>
      </c>
      <c r="F1465" s="98" t="s">
        <v>240</v>
      </c>
      <c r="G1465" s="98" t="s">
        <v>374</v>
      </c>
      <c r="H1465" s="98" t="s">
        <v>516</v>
      </c>
      <c r="I1465" s="98" t="s">
        <v>245</v>
      </c>
      <c r="K1465" s="100"/>
      <c r="L1465" s="108"/>
      <c r="M1465" s="100"/>
      <c r="N1465" s="100"/>
    </row>
    <row r="1466" spans="2:14" s="98" customFormat="1">
      <c r="B1466" s="99" t="s">
        <v>472</v>
      </c>
      <c r="C1466" s="109">
        <v>45864.515972222223</v>
      </c>
      <c r="D1466" s="98" t="s">
        <v>24</v>
      </c>
      <c r="E1466" s="103">
        <v>6833</v>
      </c>
      <c r="F1466" s="98" t="s">
        <v>240</v>
      </c>
      <c r="G1466" s="98" t="s">
        <v>374</v>
      </c>
      <c r="H1466" s="98" t="s">
        <v>516</v>
      </c>
      <c r="I1466" s="98" t="s">
        <v>245</v>
      </c>
      <c r="K1466" s="100"/>
      <c r="L1466" s="108"/>
      <c r="M1466" s="100"/>
      <c r="N1466" s="100"/>
    </row>
    <row r="1467" spans="2:14" s="98" customFormat="1">
      <c r="B1467" s="99" t="s">
        <v>472</v>
      </c>
      <c r="C1467" s="109">
        <v>45864.513888888891</v>
      </c>
      <c r="D1467" s="98" t="s">
        <v>24</v>
      </c>
      <c r="E1467" s="103">
        <v>28215</v>
      </c>
      <c r="F1467" s="98" t="s">
        <v>240</v>
      </c>
      <c r="G1467" s="98" t="s">
        <v>374</v>
      </c>
      <c r="H1467" s="98" t="s">
        <v>516</v>
      </c>
      <c r="I1467" s="98" t="s">
        <v>245</v>
      </c>
      <c r="K1467" s="100"/>
      <c r="L1467" s="108"/>
      <c r="M1467" s="100"/>
      <c r="N1467" s="100"/>
    </row>
    <row r="1468" spans="2:14" s="98" customFormat="1">
      <c r="B1468" s="99" t="s">
        <v>472</v>
      </c>
      <c r="C1468" s="109">
        <v>45863.791666666664</v>
      </c>
      <c r="D1468" s="98" t="s">
        <v>14</v>
      </c>
      <c r="E1468" s="103">
        <v>1650</v>
      </c>
      <c r="F1468" s="98" t="s">
        <v>240</v>
      </c>
      <c r="G1468" s="98" t="s">
        <v>374</v>
      </c>
      <c r="H1468" s="98" t="s">
        <v>516</v>
      </c>
      <c r="I1468" s="98" t="s">
        <v>247</v>
      </c>
      <c r="K1468" s="100"/>
      <c r="L1468" s="108"/>
      <c r="M1468" s="100"/>
      <c r="N1468" s="100"/>
    </row>
    <row r="1469" spans="2:14" s="98" customFormat="1">
      <c r="B1469" s="99" t="s">
        <v>472</v>
      </c>
      <c r="C1469" s="109">
        <v>45863.726388888892</v>
      </c>
      <c r="D1469" s="98" t="s">
        <v>501</v>
      </c>
      <c r="E1469" s="103">
        <v>4800</v>
      </c>
      <c r="F1469" s="98" t="s">
        <v>240</v>
      </c>
      <c r="G1469" s="98" t="s">
        <v>374</v>
      </c>
      <c r="H1469" s="98" t="s">
        <v>516</v>
      </c>
      <c r="I1469" s="98" t="s">
        <v>248</v>
      </c>
      <c r="K1469" s="100"/>
      <c r="L1469" s="108"/>
      <c r="M1469" s="100"/>
      <c r="N1469" s="100"/>
    </row>
    <row r="1470" spans="2:14" s="98" customFormat="1">
      <c r="B1470" s="99" t="s">
        <v>472</v>
      </c>
      <c r="C1470" s="109">
        <v>45863.598611111112</v>
      </c>
      <c r="D1470" s="98" t="s">
        <v>9</v>
      </c>
      <c r="E1470" s="103">
        <v>15000</v>
      </c>
      <c r="F1470" s="98" t="s">
        <v>240</v>
      </c>
      <c r="G1470" s="98" t="s">
        <v>374</v>
      </c>
      <c r="H1470" s="98" t="s">
        <v>516</v>
      </c>
      <c r="I1470" s="98" t="s">
        <v>270</v>
      </c>
      <c r="K1470" s="100"/>
      <c r="L1470" s="108"/>
      <c r="M1470" s="100"/>
      <c r="N1470" s="100"/>
    </row>
    <row r="1471" spans="2:14" s="98" customFormat="1">
      <c r="B1471" s="99" t="s">
        <v>472</v>
      </c>
      <c r="C1471" s="109">
        <v>45863</v>
      </c>
      <c r="D1471" s="98" t="s">
        <v>386</v>
      </c>
      <c r="E1471" s="103">
        <v>1190</v>
      </c>
      <c r="F1471" s="98" t="s">
        <v>240</v>
      </c>
      <c r="G1471" s="98" t="s">
        <v>373</v>
      </c>
      <c r="H1471" s="98" t="s">
        <v>516</v>
      </c>
      <c r="I1471" s="98" t="s">
        <v>242</v>
      </c>
      <c r="K1471" s="100"/>
      <c r="L1471" s="108"/>
      <c r="M1471" s="100"/>
      <c r="N1471" s="100"/>
    </row>
    <row r="1472" spans="2:14" s="98" customFormat="1">
      <c r="B1472" s="99" t="s">
        <v>472</v>
      </c>
      <c r="C1472" s="109">
        <v>45862.805555555555</v>
      </c>
      <c r="D1472" s="98" t="s">
        <v>56</v>
      </c>
      <c r="E1472" s="103">
        <v>1630</v>
      </c>
      <c r="F1472" s="98" t="s">
        <v>240</v>
      </c>
      <c r="G1472" s="98" t="s">
        <v>374</v>
      </c>
      <c r="H1472" s="98" t="s">
        <v>516</v>
      </c>
      <c r="I1472" s="98" t="s">
        <v>247</v>
      </c>
      <c r="K1472" s="100"/>
      <c r="L1472" s="108"/>
      <c r="M1472" s="100"/>
      <c r="N1472" s="100"/>
    </row>
    <row r="1473" spans="2:14" s="98" customFormat="1">
      <c r="B1473" s="99" t="s">
        <v>472</v>
      </c>
      <c r="C1473" s="109">
        <v>45862.74722222222</v>
      </c>
      <c r="D1473" s="98" t="s">
        <v>502</v>
      </c>
      <c r="E1473" s="103">
        <v>2400</v>
      </c>
      <c r="F1473" s="98" t="s">
        <v>240</v>
      </c>
      <c r="G1473" s="98" t="s">
        <v>374</v>
      </c>
      <c r="H1473" s="98" t="s">
        <v>516</v>
      </c>
      <c r="I1473" s="98" t="s">
        <v>247</v>
      </c>
      <c r="K1473" s="100"/>
      <c r="L1473" s="108"/>
      <c r="M1473" s="100"/>
      <c r="N1473" s="100"/>
    </row>
    <row r="1474" spans="2:14" s="98" customFormat="1">
      <c r="B1474" s="99" t="s">
        <v>472</v>
      </c>
      <c r="C1474" s="109">
        <v>45862.618055555555</v>
      </c>
      <c r="D1474" s="98" t="s">
        <v>503</v>
      </c>
      <c r="E1474" s="103">
        <v>5850</v>
      </c>
      <c r="F1474" s="98" t="s">
        <v>240</v>
      </c>
      <c r="G1474" s="98" t="s">
        <v>374</v>
      </c>
      <c r="H1474" s="98" t="s">
        <v>513</v>
      </c>
      <c r="I1474" s="98" t="s">
        <v>544</v>
      </c>
      <c r="K1474" s="100"/>
      <c r="L1474" s="108"/>
      <c r="M1474" s="100"/>
      <c r="N1474" s="100"/>
    </row>
    <row r="1475" spans="2:14" s="98" customFormat="1">
      <c r="B1475" s="99" t="s">
        <v>472</v>
      </c>
      <c r="C1475" s="109">
        <v>45862.575694444444</v>
      </c>
      <c r="D1475" s="98" t="s">
        <v>504</v>
      </c>
      <c r="E1475" s="103">
        <v>16066</v>
      </c>
      <c r="F1475" s="98" t="s">
        <v>240</v>
      </c>
      <c r="G1475" s="98" t="s">
        <v>374</v>
      </c>
      <c r="H1475" s="98" t="s">
        <v>516</v>
      </c>
      <c r="I1475" s="98" t="s">
        <v>245</v>
      </c>
      <c r="K1475" s="100"/>
      <c r="L1475" s="108"/>
      <c r="M1475" s="100"/>
      <c r="N1475" s="100"/>
    </row>
    <row r="1476" spans="2:14" s="98" customFormat="1">
      <c r="B1476" s="99" t="s">
        <v>472</v>
      </c>
      <c r="C1476" s="109">
        <v>45862.380555555559</v>
      </c>
      <c r="D1476" s="98" t="s">
        <v>51</v>
      </c>
      <c r="E1476" s="103">
        <v>10000</v>
      </c>
      <c r="F1476" s="98" t="s">
        <v>240</v>
      </c>
      <c r="G1476" s="98" t="s">
        <v>374</v>
      </c>
      <c r="H1476" s="98" t="s">
        <v>516</v>
      </c>
      <c r="I1476" s="98" t="s">
        <v>270</v>
      </c>
      <c r="K1476" s="100"/>
      <c r="L1476" s="108"/>
      <c r="M1476" s="100"/>
      <c r="N1476" s="100"/>
    </row>
    <row r="1477" spans="2:14" s="98" customFormat="1">
      <c r="B1477" s="99" t="s">
        <v>472</v>
      </c>
      <c r="C1477" s="109">
        <v>45861.803472222222</v>
      </c>
      <c r="D1477" s="98" t="s">
        <v>65</v>
      </c>
      <c r="E1477" s="103">
        <v>9290</v>
      </c>
      <c r="F1477" s="98" t="s">
        <v>240</v>
      </c>
      <c r="G1477" s="98" t="s">
        <v>374</v>
      </c>
      <c r="H1477" s="98" t="s">
        <v>516</v>
      </c>
      <c r="I1477" s="98" t="s">
        <v>247</v>
      </c>
      <c r="K1477" s="100"/>
      <c r="L1477" s="108"/>
      <c r="M1477" s="100"/>
      <c r="N1477" s="100"/>
    </row>
    <row r="1478" spans="2:14" s="98" customFormat="1">
      <c r="B1478" s="99" t="s">
        <v>472</v>
      </c>
      <c r="C1478" s="109">
        <v>45861.70416666667</v>
      </c>
      <c r="D1478" s="98" t="s">
        <v>505</v>
      </c>
      <c r="E1478" s="103">
        <v>17657</v>
      </c>
      <c r="F1478" s="98" t="s">
        <v>240</v>
      </c>
      <c r="G1478" s="98" t="s">
        <v>374</v>
      </c>
      <c r="H1478" s="98" t="s">
        <v>516</v>
      </c>
      <c r="I1478" s="98" t="s">
        <v>471</v>
      </c>
      <c r="K1478" s="100"/>
      <c r="L1478" s="108"/>
      <c r="M1478" s="100"/>
      <c r="N1478" s="100"/>
    </row>
    <row r="1479" spans="2:14" s="98" customFormat="1">
      <c r="B1479" s="99" t="s">
        <v>472</v>
      </c>
      <c r="C1479" s="109">
        <v>45861.654166666667</v>
      </c>
      <c r="D1479" s="98" t="s">
        <v>46</v>
      </c>
      <c r="E1479" s="103">
        <v>1800</v>
      </c>
      <c r="F1479" s="98" t="s">
        <v>240</v>
      </c>
      <c r="G1479" s="98" t="s">
        <v>374</v>
      </c>
      <c r="H1479" s="98" t="s">
        <v>516</v>
      </c>
      <c r="I1479" s="98" t="s">
        <v>247</v>
      </c>
      <c r="K1479" s="100"/>
      <c r="L1479" s="108"/>
      <c r="M1479" s="100"/>
      <c r="N1479" s="100"/>
    </row>
    <row r="1480" spans="2:14" s="98" customFormat="1">
      <c r="B1480" s="99" t="s">
        <v>472</v>
      </c>
      <c r="C1480" s="109">
        <v>45861.634027777778</v>
      </c>
      <c r="D1480" s="98" t="s">
        <v>506</v>
      </c>
      <c r="E1480" s="103">
        <v>5500</v>
      </c>
      <c r="F1480" s="98" t="s">
        <v>240</v>
      </c>
      <c r="G1480" s="98" t="s">
        <v>374</v>
      </c>
      <c r="H1480" s="98" t="s">
        <v>516</v>
      </c>
      <c r="I1480" s="98" t="s">
        <v>471</v>
      </c>
      <c r="K1480" s="100"/>
      <c r="L1480" s="108"/>
      <c r="M1480" s="100"/>
      <c r="N1480" s="100"/>
    </row>
    <row r="1481" spans="2:14" s="98" customFormat="1">
      <c r="B1481" s="99" t="s">
        <v>472</v>
      </c>
      <c r="C1481" s="109">
        <v>45861.555555555555</v>
      </c>
      <c r="D1481" s="98" t="s">
        <v>46</v>
      </c>
      <c r="E1481" s="103">
        <v>1800</v>
      </c>
      <c r="F1481" s="98" t="s">
        <v>240</v>
      </c>
      <c r="G1481" s="98" t="s">
        <v>374</v>
      </c>
      <c r="H1481" s="98" t="s">
        <v>516</v>
      </c>
      <c r="I1481" s="98" t="s">
        <v>247</v>
      </c>
      <c r="K1481" s="100"/>
      <c r="L1481" s="108"/>
      <c r="M1481" s="100"/>
      <c r="N1481" s="100"/>
    </row>
    <row r="1482" spans="2:14" s="98" customFormat="1">
      <c r="B1482" s="99" t="s">
        <v>472</v>
      </c>
      <c r="C1482" s="109">
        <v>45861.319444444445</v>
      </c>
      <c r="D1482" s="98" t="s">
        <v>149</v>
      </c>
      <c r="E1482" s="103">
        <v>10000</v>
      </c>
      <c r="F1482" s="98" t="s">
        <v>240</v>
      </c>
      <c r="G1482" s="98" t="s">
        <v>374</v>
      </c>
      <c r="H1482" s="98" t="s">
        <v>516</v>
      </c>
      <c r="I1482" s="98" t="s">
        <v>263</v>
      </c>
      <c r="K1482" s="100"/>
      <c r="L1482" s="108"/>
      <c r="M1482" s="100"/>
      <c r="N1482" s="100"/>
    </row>
    <row r="1483" spans="2:14" s="98" customFormat="1">
      <c r="B1483" s="99" t="s">
        <v>472</v>
      </c>
      <c r="C1483" s="109">
        <v>45861</v>
      </c>
      <c r="D1483" s="98" t="s">
        <v>459</v>
      </c>
      <c r="E1483" s="103">
        <v>2700</v>
      </c>
      <c r="F1483" s="98" t="s">
        <v>240</v>
      </c>
      <c r="G1483" s="98" t="s">
        <v>373</v>
      </c>
      <c r="H1483" s="98" t="s">
        <v>516</v>
      </c>
      <c r="I1483" s="98" t="s">
        <v>471</v>
      </c>
      <c r="K1483" s="100"/>
      <c r="L1483" s="108"/>
      <c r="M1483" s="100"/>
      <c r="N1483" s="100"/>
    </row>
    <row r="1484" spans="2:14" s="98" customFormat="1">
      <c r="B1484" s="99" t="s">
        <v>472</v>
      </c>
      <c r="C1484" s="109">
        <v>45860.811111111114</v>
      </c>
      <c r="D1484" s="98" t="s">
        <v>12</v>
      </c>
      <c r="E1484" s="103">
        <v>12649</v>
      </c>
      <c r="F1484" s="98" t="s">
        <v>240</v>
      </c>
      <c r="G1484" s="98" t="s">
        <v>374</v>
      </c>
      <c r="H1484" s="98" t="s">
        <v>516</v>
      </c>
      <c r="I1484" s="98" t="s">
        <v>245</v>
      </c>
      <c r="K1484" s="100"/>
      <c r="L1484" s="108"/>
      <c r="M1484" s="100"/>
      <c r="N1484" s="100"/>
    </row>
    <row r="1485" spans="2:14" s="98" customFormat="1">
      <c r="B1485" s="99" t="s">
        <v>472</v>
      </c>
      <c r="C1485" s="109">
        <v>45860.809027777781</v>
      </c>
      <c r="D1485" s="98" t="s">
        <v>12</v>
      </c>
      <c r="E1485" s="103">
        <v>25357</v>
      </c>
      <c r="F1485" s="98" t="s">
        <v>240</v>
      </c>
      <c r="G1485" s="98" t="s">
        <v>374</v>
      </c>
      <c r="H1485" s="98" t="s">
        <v>516</v>
      </c>
      <c r="I1485" s="98" t="s">
        <v>245</v>
      </c>
      <c r="K1485" s="100"/>
      <c r="L1485" s="108"/>
      <c r="M1485" s="100"/>
      <c r="N1485" s="100"/>
    </row>
    <row r="1486" spans="2:14" s="98" customFormat="1">
      <c r="B1486" s="99" t="s">
        <v>472</v>
      </c>
      <c r="C1486" s="109">
        <v>45860.565972222219</v>
      </c>
      <c r="D1486" s="98" t="s">
        <v>19</v>
      </c>
      <c r="E1486" s="103">
        <v>3700</v>
      </c>
      <c r="F1486" s="98" t="s">
        <v>240</v>
      </c>
      <c r="G1486" s="98" t="s">
        <v>374</v>
      </c>
      <c r="H1486" s="98" t="s">
        <v>516</v>
      </c>
      <c r="I1486" s="98" t="s">
        <v>242</v>
      </c>
      <c r="K1486" s="100"/>
      <c r="L1486" s="108"/>
      <c r="M1486" s="100"/>
      <c r="N1486" s="100"/>
    </row>
    <row r="1487" spans="2:14" s="98" customFormat="1">
      <c r="B1487" s="99" t="s">
        <v>472</v>
      </c>
      <c r="C1487" s="109">
        <v>45860.478472222225</v>
      </c>
      <c r="D1487" s="98" t="s">
        <v>151</v>
      </c>
      <c r="E1487" s="103">
        <v>2991</v>
      </c>
      <c r="F1487" s="98" t="s">
        <v>240</v>
      </c>
      <c r="G1487" s="98" t="s">
        <v>374</v>
      </c>
      <c r="H1487" s="98" t="s">
        <v>516</v>
      </c>
      <c r="I1487" s="98" t="s">
        <v>247</v>
      </c>
      <c r="K1487" s="100"/>
      <c r="L1487" s="108"/>
      <c r="M1487" s="100"/>
      <c r="N1487" s="100"/>
    </row>
    <row r="1488" spans="2:14" s="98" customFormat="1">
      <c r="B1488" s="99" t="s">
        <v>472</v>
      </c>
      <c r="C1488" s="109">
        <v>45860.384027777778</v>
      </c>
      <c r="D1488" s="98" t="s">
        <v>151</v>
      </c>
      <c r="E1488" s="103">
        <v>3498</v>
      </c>
      <c r="F1488" s="98" t="s">
        <v>240</v>
      </c>
      <c r="G1488" s="98" t="s">
        <v>374</v>
      </c>
      <c r="H1488" s="98" t="s">
        <v>516</v>
      </c>
      <c r="I1488" s="98" t="s">
        <v>247</v>
      </c>
      <c r="K1488" s="100"/>
      <c r="L1488" s="108"/>
      <c r="M1488" s="100"/>
      <c r="N1488" s="100"/>
    </row>
    <row r="1489" spans="2:14" s="98" customFormat="1">
      <c r="B1489" s="99" t="s">
        <v>472</v>
      </c>
      <c r="C1489" s="109">
        <v>45860</v>
      </c>
      <c r="D1489" s="98" t="s">
        <v>386</v>
      </c>
      <c r="E1489" s="103">
        <v>1190</v>
      </c>
      <c r="F1489" s="98" t="s">
        <v>240</v>
      </c>
      <c r="G1489" s="98" t="s">
        <v>373</v>
      </c>
      <c r="H1489" s="98" t="s">
        <v>516</v>
      </c>
      <c r="I1489" s="98" t="s">
        <v>242</v>
      </c>
      <c r="K1489" s="100"/>
      <c r="L1489" s="108"/>
      <c r="M1489" s="100"/>
      <c r="N1489" s="100"/>
    </row>
    <row r="1490" spans="2:14" s="98" customFormat="1">
      <c r="B1490" s="99" t="s">
        <v>472</v>
      </c>
      <c r="C1490" s="109">
        <v>45859.545138888891</v>
      </c>
      <c r="D1490" s="98" t="s">
        <v>19</v>
      </c>
      <c r="E1490" s="103">
        <v>3700</v>
      </c>
      <c r="F1490" s="98" t="s">
        <v>240</v>
      </c>
      <c r="G1490" s="98" t="s">
        <v>374</v>
      </c>
      <c r="H1490" s="98" t="s">
        <v>516</v>
      </c>
      <c r="I1490" s="98" t="s">
        <v>242</v>
      </c>
      <c r="K1490" s="100"/>
      <c r="L1490" s="108"/>
      <c r="M1490" s="100"/>
      <c r="N1490" s="100"/>
    </row>
    <row r="1491" spans="2:14" s="98" customFormat="1">
      <c r="B1491" s="99" t="s">
        <v>472</v>
      </c>
      <c r="C1491" s="109">
        <v>45858.824999999997</v>
      </c>
      <c r="D1491" s="98" t="s">
        <v>507</v>
      </c>
      <c r="E1491" s="103">
        <v>2500</v>
      </c>
      <c r="F1491" s="98" t="s">
        <v>240</v>
      </c>
      <c r="G1491" s="98" t="s">
        <v>374</v>
      </c>
      <c r="H1491" s="98" t="s">
        <v>516</v>
      </c>
      <c r="I1491" s="98" t="s">
        <v>248</v>
      </c>
      <c r="K1491" s="100"/>
      <c r="L1491" s="108"/>
      <c r="M1491" s="100"/>
      <c r="N1491" s="100"/>
    </row>
    <row r="1492" spans="2:14" s="98" customFormat="1">
      <c r="B1492" s="99" t="s">
        <v>472</v>
      </c>
      <c r="C1492" s="109">
        <v>45858</v>
      </c>
      <c r="D1492" s="98" t="s">
        <v>288</v>
      </c>
      <c r="E1492" s="103">
        <v>2354</v>
      </c>
      <c r="F1492" s="98" t="s">
        <v>240</v>
      </c>
      <c r="G1492" s="98" t="s">
        <v>373</v>
      </c>
      <c r="H1492" s="98" t="s">
        <v>513</v>
      </c>
      <c r="I1492" s="98" t="s">
        <v>370</v>
      </c>
      <c r="K1492" s="100"/>
      <c r="L1492" s="108"/>
      <c r="M1492" s="100"/>
      <c r="N1492" s="100"/>
    </row>
    <row r="1493" spans="2:14" s="98" customFormat="1">
      <c r="B1493" s="99" t="s">
        <v>472</v>
      </c>
      <c r="C1493" s="109">
        <v>45858</v>
      </c>
      <c r="D1493" s="98" t="s">
        <v>349</v>
      </c>
      <c r="E1493" s="103">
        <v>20000</v>
      </c>
      <c r="F1493" s="98" t="s">
        <v>240</v>
      </c>
      <c r="G1493" s="98" t="s">
        <v>373</v>
      </c>
      <c r="H1493" s="98" t="s">
        <v>516</v>
      </c>
      <c r="I1493" s="98" t="s">
        <v>270</v>
      </c>
      <c r="K1493" s="100"/>
      <c r="L1493" s="108"/>
      <c r="M1493" s="100"/>
      <c r="N1493" s="100"/>
    </row>
    <row r="1494" spans="2:14" s="98" customFormat="1">
      <c r="B1494" s="99" t="s">
        <v>472</v>
      </c>
      <c r="C1494" s="109">
        <v>45858</v>
      </c>
      <c r="D1494" s="98" t="s">
        <v>512</v>
      </c>
      <c r="E1494" s="103">
        <v>2990</v>
      </c>
      <c r="F1494" s="98" t="s">
        <v>240</v>
      </c>
      <c r="G1494" s="98" t="s">
        <v>373</v>
      </c>
      <c r="H1494" s="98" t="s">
        <v>516</v>
      </c>
      <c r="I1494" s="98" t="s">
        <v>247</v>
      </c>
      <c r="K1494" s="100"/>
      <c r="L1494" s="108"/>
      <c r="M1494" s="100"/>
      <c r="N1494" s="100"/>
    </row>
    <row r="1495" spans="2:14" s="98" customFormat="1">
      <c r="B1495" s="99" t="s">
        <v>472</v>
      </c>
      <c r="C1495" s="109">
        <v>45858</v>
      </c>
      <c r="D1495" s="98" t="s">
        <v>367</v>
      </c>
      <c r="E1495" s="103">
        <v>16300</v>
      </c>
      <c r="F1495" s="98" t="s">
        <v>240</v>
      </c>
      <c r="G1495" s="98" t="s">
        <v>373</v>
      </c>
      <c r="H1495" s="98" t="s">
        <v>516</v>
      </c>
      <c r="I1495" s="98" t="s">
        <v>248</v>
      </c>
      <c r="K1495" s="100"/>
      <c r="L1495" s="108"/>
      <c r="M1495" s="100"/>
      <c r="N1495" s="100"/>
    </row>
    <row r="1496" spans="2:14" s="98" customFormat="1">
      <c r="B1496" s="99" t="s">
        <v>472</v>
      </c>
      <c r="C1496" s="109">
        <v>45858</v>
      </c>
      <c r="D1496" s="98" t="s">
        <v>511</v>
      </c>
      <c r="E1496" s="103">
        <v>9990</v>
      </c>
      <c r="F1496" s="98" t="s">
        <v>240</v>
      </c>
      <c r="G1496" s="98" t="s">
        <v>373</v>
      </c>
      <c r="H1496" s="98" t="s">
        <v>516</v>
      </c>
      <c r="I1496" s="98" t="s">
        <v>248</v>
      </c>
      <c r="K1496" s="100"/>
      <c r="L1496" s="108"/>
      <c r="M1496" s="100"/>
      <c r="N1496" s="100"/>
    </row>
    <row r="1497" spans="2:14" s="98" customFormat="1">
      <c r="B1497" s="99" t="s">
        <v>472</v>
      </c>
      <c r="C1497" s="109">
        <v>45858</v>
      </c>
      <c r="D1497" s="98" t="s">
        <v>510</v>
      </c>
      <c r="E1497" s="103">
        <v>12090</v>
      </c>
      <c r="F1497" s="98" t="s">
        <v>240</v>
      </c>
      <c r="G1497" s="98" t="s">
        <v>373</v>
      </c>
      <c r="H1497" s="98" t="s">
        <v>516</v>
      </c>
      <c r="I1497" s="98" t="s">
        <v>248</v>
      </c>
      <c r="K1497" s="100"/>
      <c r="L1497" s="108"/>
      <c r="M1497" s="100"/>
      <c r="N1497" s="100"/>
    </row>
    <row r="1498" spans="2:14" s="98" customFormat="1">
      <c r="B1498" s="99" t="s">
        <v>472</v>
      </c>
      <c r="C1498" s="109">
        <v>45858</v>
      </c>
      <c r="D1498" s="98" t="s">
        <v>509</v>
      </c>
      <c r="E1498" s="103">
        <v>8280</v>
      </c>
      <c r="F1498" s="98" t="s">
        <v>240</v>
      </c>
      <c r="G1498" s="98" t="s">
        <v>373</v>
      </c>
      <c r="H1498" s="98" t="s">
        <v>513</v>
      </c>
      <c r="I1498" s="98" t="s">
        <v>282</v>
      </c>
      <c r="K1498" s="100"/>
      <c r="L1498" s="108"/>
      <c r="M1498" s="100"/>
      <c r="N1498" s="100"/>
    </row>
    <row r="1499" spans="2:14" s="98" customFormat="1">
      <c r="B1499" s="99" t="s">
        <v>472</v>
      </c>
      <c r="C1499" s="109">
        <v>45857.929166666669</v>
      </c>
      <c r="D1499" s="98" t="s">
        <v>286</v>
      </c>
      <c r="E1499" s="103">
        <v>8979</v>
      </c>
      <c r="F1499" s="98" t="s">
        <v>240</v>
      </c>
      <c r="G1499" s="98" t="s">
        <v>373</v>
      </c>
      <c r="H1499" s="98" t="s">
        <v>516</v>
      </c>
      <c r="I1499" s="98" t="s">
        <v>245</v>
      </c>
      <c r="K1499" s="100"/>
      <c r="L1499" s="108"/>
      <c r="M1499" s="100"/>
      <c r="N1499" s="100"/>
    </row>
    <row r="1500" spans="2:14" s="98" customFormat="1">
      <c r="B1500" s="99" t="s">
        <v>472</v>
      </c>
      <c r="C1500" s="109">
        <v>45857.785416666666</v>
      </c>
      <c r="D1500" s="98" t="s">
        <v>488</v>
      </c>
      <c r="E1500" s="103">
        <v>29436</v>
      </c>
      <c r="F1500" s="98" t="s">
        <v>240</v>
      </c>
      <c r="G1500" s="98" t="s">
        <v>373</v>
      </c>
      <c r="H1500" s="98" t="s">
        <v>516</v>
      </c>
      <c r="I1500" s="98" t="s">
        <v>245</v>
      </c>
      <c r="K1500" s="100"/>
      <c r="L1500" s="108"/>
      <c r="M1500" s="100"/>
      <c r="N1500" s="100"/>
    </row>
    <row r="1501" spans="2:14" s="98" customFormat="1">
      <c r="B1501" s="99" t="s">
        <v>472</v>
      </c>
      <c r="C1501" s="109">
        <v>45857.667361111111</v>
      </c>
      <c r="D1501" s="98" t="s">
        <v>489</v>
      </c>
      <c r="E1501" s="103">
        <v>1300</v>
      </c>
      <c r="F1501" s="98" t="s">
        <v>240</v>
      </c>
      <c r="G1501" s="98" t="s">
        <v>373</v>
      </c>
      <c r="H1501" s="98" t="s">
        <v>516</v>
      </c>
      <c r="I1501" s="98" t="s">
        <v>269</v>
      </c>
      <c r="K1501" s="100"/>
      <c r="L1501" s="108"/>
      <c r="M1501" s="100"/>
      <c r="N1501" s="100"/>
    </row>
    <row r="1502" spans="2:14" s="98" customFormat="1">
      <c r="B1502" s="99" t="s">
        <v>472</v>
      </c>
      <c r="C1502" s="109">
        <v>45857.665972222225</v>
      </c>
      <c r="D1502" s="98" t="s">
        <v>490</v>
      </c>
      <c r="E1502" s="103">
        <v>6000</v>
      </c>
      <c r="F1502" s="98" t="s">
        <v>240</v>
      </c>
      <c r="G1502" s="98" t="s">
        <v>373</v>
      </c>
      <c r="H1502" s="98" t="s">
        <v>516</v>
      </c>
      <c r="I1502" s="98" t="s">
        <v>269</v>
      </c>
      <c r="K1502" s="100"/>
      <c r="L1502" s="108"/>
      <c r="M1502" s="100"/>
      <c r="N1502" s="100"/>
    </row>
    <row r="1503" spans="2:14" s="98" customFormat="1">
      <c r="B1503" s="99" t="s">
        <v>472</v>
      </c>
      <c r="C1503" s="109">
        <v>45857.655555555553</v>
      </c>
      <c r="D1503" s="98" t="s">
        <v>490</v>
      </c>
      <c r="E1503" s="103">
        <v>7000</v>
      </c>
      <c r="F1503" s="98" t="s">
        <v>240</v>
      </c>
      <c r="G1503" s="98" t="s">
        <v>373</v>
      </c>
      <c r="H1503" s="98" t="s">
        <v>516</v>
      </c>
      <c r="I1503" s="98" t="s">
        <v>269</v>
      </c>
      <c r="K1503" s="100"/>
      <c r="L1503" s="108"/>
      <c r="M1503" s="100"/>
      <c r="N1503" s="100"/>
    </row>
    <row r="1504" spans="2:14" s="98" customFormat="1">
      <c r="B1504" s="99" t="s">
        <v>472</v>
      </c>
      <c r="C1504" s="109">
        <v>45857.617361111108</v>
      </c>
      <c r="D1504" s="98" t="s">
        <v>491</v>
      </c>
      <c r="E1504" s="103">
        <v>8720</v>
      </c>
      <c r="F1504" s="98" t="s">
        <v>240</v>
      </c>
      <c r="G1504" s="98" t="s">
        <v>373</v>
      </c>
      <c r="H1504" s="98" t="s">
        <v>516</v>
      </c>
      <c r="I1504" s="98" t="s">
        <v>244</v>
      </c>
      <c r="K1504" s="100"/>
      <c r="L1504" s="108"/>
      <c r="M1504" s="100"/>
      <c r="N1504" s="100"/>
    </row>
    <row r="1505" spans="2:14" s="98" customFormat="1">
      <c r="B1505" s="99" t="s">
        <v>472</v>
      </c>
      <c r="C1505" s="109">
        <v>45856.848611111112</v>
      </c>
      <c r="D1505" s="98" t="s">
        <v>483</v>
      </c>
      <c r="E1505" s="103">
        <v>23545</v>
      </c>
      <c r="F1505" s="98" t="s">
        <v>240</v>
      </c>
      <c r="G1505" s="98" t="s">
        <v>374</v>
      </c>
      <c r="H1505" s="98" t="s">
        <v>516</v>
      </c>
      <c r="I1505" s="98" t="s">
        <v>269</v>
      </c>
      <c r="K1505" s="100"/>
      <c r="L1505" s="108"/>
      <c r="M1505" s="100"/>
      <c r="N1505" s="100"/>
    </row>
    <row r="1506" spans="2:14" s="98" customFormat="1">
      <c r="B1506" s="99" t="s">
        <v>472</v>
      </c>
      <c r="C1506" s="109">
        <v>45856.731944444444</v>
      </c>
      <c r="D1506" s="98" t="s">
        <v>484</v>
      </c>
      <c r="E1506" s="103">
        <v>23250</v>
      </c>
      <c r="F1506" s="98" t="s">
        <v>240</v>
      </c>
      <c r="G1506" s="98" t="s">
        <v>374</v>
      </c>
      <c r="H1506" s="98" t="s">
        <v>516</v>
      </c>
      <c r="I1506" s="98" t="s">
        <v>269</v>
      </c>
      <c r="K1506" s="100"/>
      <c r="L1506" s="108"/>
      <c r="M1506" s="100"/>
      <c r="N1506" s="100"/>
    </row>
    <row r="1507" spans="2:14" s="98" customFormat="1">
      <c r="B1507" s="99" t="s">
        <v>472</v>
      </c>
      <c r="C1507" s="109">
        <v>45856.71875</v>
      </c>
      <c r="D1507" s="98" t="s">
        <v>378</v>
      </c>
      <c r="E1507" s="103">
        <v>2500</v>
      </c>
      <c r="F1507" s="98" t="s">
        <v>240</v>
      </c>
      <c r="G1507" s="98" t="s">
        <v>374</v>
      </c>
      <c r="H1507" s="98" t="s">
        <v>516</v>
      </c>
      <c r="I1507" s="98" t="s">
        <v>273</v>
      </c>
      <c r="K1507" s="100"/>
      <c r="L1507" s="108"/>
      <c r="M1507" s="100"/>
      <c r="N1507" s="100"/>
    </row>
    <row r="1508" spans="2:14" s="98" customFormat="1">
      <c r="B1508" s="99" t="s">
        <v>472</v>
      </c>
      <c r="C1508" s="109">
        <v>45856.536111111112</v>
      </c>
      <c r="D1508" s="98" t="s">
        <v>492</v>
      </c>
      <c r="E1508" s="103">
        <v>1850</v>
      </c>
      <c r="F1508" s="98" t="s">
        <v>240</v>
      </c>
      <c r="G1508" s="98" t="s">
        <v>373</v>
      </c>
      <c r="H1508" s="98" t="s">
        <v>516</v>
      </c>
      <c r="I1508" s="98" t="s">
        <v>242</v>
      </c>
      <c r="K1508" s="100"/>
      <c r="L1508" s="108"/>
      <c r="M1508" s="100"/>
      <c r="N1508" s="100"/>
    </row>
    <row r="1509" spans="2:14" s="98" customFormat="1">
      <c r="B1509" s="99" t="s">
        <v>472</v>
      </c>
      <c r="C1509" s="109">
        <v>45855.619444444441</v>
      </c>
      <c r="D1509" s="98" t="s">
        <v>485</v>
      </c>
      <c r="E1509" s="103">
        <v>6290</v>
      </c>
      <c r="F1509" s="98" t="s">
        <v>240</v>
      </c>
      <c r="G1509" s="98" t="s">
        <v>374</v>
      </c>
      <c r="H1509" s="98" t="s">
        <v>516</v>
      </c>
      <c r="I1509" s="98" t="s">
        <v>471</v>
      </c>
      <c r="K1509" s="100"/>
      <c r="L1509" s="108"/>
      <c r="M1509" s="100"/>
      <c r="N1509" s="100"/>
    </row>
    <row r="1510" spans="2:14" s="98" customFormat="1">
      <c r="B1510" s="99" t="s">
        <v>472</v>
      </c>
      <c r="C1510" s="109">
        <v>45855.513194444444</v>
      </c>
      <c r="D1510" s="98" t="s">
        <v>149</v>
      </c>
      <c r="E1510" s="103">
        <v>10000</v>
      </c>
      <c r="F1510" s="98" t="s">
        <v>240</v>
      </c>
      <c r="G1510" s="98" t="s">
        <v>374</v>
      </c>
      <c r="H1510" s="98" t="s">
        <v>516</v>
      </c>
      <c r="I1510" s="98" t="s">
        <v>263</v>
      </c>
      <c r="K1510" s="100"/>
      <c r="L1510" s="108"/>
      <c r="M1510" s="100"/>
      <c r="N1510" s="100"/>
    </row>
    <row r="1511" spans="2:14" s="98" customFormat="1">
      <c r="B1511" s="99" t="s">
        <v>472</v>
      </c>
      <c r="C1511" s="109">
        <v>45855.290277777778</v>
      </c>
      <c r="D1511" s="98" t="s">
        <v>20</v>
      </c>
      <c r="E1511" s="103">
        <v>3000</v>
      </c>
      <c r="F1511" s="98" t="s">
        <v>240</v>
      </c>
      <c r="G1511" s="98" t="s">
        <v>374</v>
      </c>
      <c r="H1511" s="98" t="s">
        <v>516</v>
      </c>
      <c r="I1511" s="98" t="s">
        <v>471</v>
      </c>
      <c r="K1511" s="100"/>
      <c r="L1511" s="108"/>
      <c r="M1511" s="100"/>
      <c r="N1511" s="100"/>
    </row>
    <row r="1512" spans="2:14" s="98" customFormat="1">
      <c r="B1512" s="99" t="s">
        <v>472</v>
      </c>
      <c r="C1512" s="109">
        <v>45855</v>
      </c>
      <c r="D1512" s="98" t="s">
        <v>494</v>
      </c>
      <c r="E1512" s="103">
        <v>1528</v>
      </c>
      <c r="F1512" s="98" t="s">
        <v>240</v>
      </c>
      <c r="G1512" s="98" t="s">
        <v>373</v>
      </c>
      <c r="H1512" s="98" t="s">
        <v>516</v>
      </c>
      <c r="I1512" s="98" t="s">
        <v>247</v>
      </c>
      <c r="K1512" s="100"/>
      <c r="L1512" s="108"/>
      <c r="M1512" s="100"/>
      <c r="N1512" s="100"/>
    </row>
    <row r="1513" spans="2:14" s="98" customFormat="1">
      <c r="B1513" s="99" t="s">
        <v>472</v>
      </c>
      <c r="C1513" s="109">
        <v>45855</v>
      </c>
      <c r="D1513" s="98" t="s">
        <v>495</v>
      </c>
      <c r="E1513" s="103">
        <v>3770</v>
      </c>
      <c r="F1513" s="98" t="s">
        <v>240</v>
      </c>
      <c r="G1513" s="98" t="s">
        <v>373</v>
      </c>
      <c r="H1513" s="98" t="s">
        <v>516</v>
      </c>
      <c r="I1513" s="98" t="s">
        <v>471</v>
      </c>
      <c r="K1513" s="100"/>
      <c r="L1513" s="108"/>
      <c r="M1513" s="100"/>
      <c r="N1513" s="100"/>
    </row>
    <row r="1514" spans="2:14" s="98" customFormat="1">
      <c r="B1514" s="99" t="s">
        <v>472</v>
      </c>
      <c r="C1514" s="109">
        <v>45855</v>
      </c>
      <c r="D1514" s="98" t="s">
        <v>297</v>
      </c>
      <c r="E1514" s="103">
        <v>14321</v>
      </c>
      <c r="F1514" s="98" t="s">
        <v>240</v>
      </c>
      <c r="G1514" s="98" t="s">
        <v>373</v>
      </c>
      <c r="H1514" s="98" t="s">
        <v>516</v>
      </c>
      <c r="I1514" s="98" t="s">
        <v>471</v>
      </c>
      <c r="K1514" s="100"/>
      <c r="L1514" s="108"/>
      <c r="M1514" s="100"/>
      <c r="N1514" s="100"/>
    </row>
    <row r="1515" spans="2:14" s="98" customFormat="1">
      <c r="B1515" s="99" t="s">
        <v>472</v>
      </c>
      <c r="C1515" s="109">
        <v>45855</v>
      </c>
      <c r="D1515" s="98" t="s">
        <v>493</v>
      </c>
      <c r="E1515" s="103">
        <v>6570</v>
      </c>
      <c r="F1515" s="98" t="s">
        <v>240</v>
      </c>
      <c r="G1515" s="98" t="s">
        <v>373</v>
      </c>
      <c r="H1515" s="98" t="s">
        <v>516</v>
      </c>
      <c r="I1515" s="98" t="s">
        <v>245</v>
      </c>
      <c r="K1515" s="100"/>
      <c r="L1515" s="108"/>
      <c r="M1515" s="100"/>
      <c r="N1515" s="100"/>
    </row>
    <row r="1516" spans="2:14" s="98" customFormat="1">
      <c r="B1516" s="99" t="s">
        <v>472</v>
      </c>
      <c r="C1516" s="109">
        <v>45854.790277777778</v>
      </c>
      <c r="D1516" s="98" t="s">
        <v>12</v>
      </c>
      <c r="E1516" s="103">
        <v>56507</v>
      </c>
      <c r="F1516" s="98" t="s">
        <v>240</v>
      </c>
      <c r="G1516" s="98" t="s">
        <v>374</v>
      </c>
      <c r="H1516" s="98" t="s">
        <v>516</v>
      </c>
      <c r="I1516" s="98" t="s">
        <v>245</v>
      </c>
      <c r="K1516" s="100"/>
      <c r="L1516" s="108"/>
      <c r="M1516" s="100"/>
      <c r="N1516" s="100"/>
    </row>
    <row r="1517" spans="2:14" s="98" customFormat="1">
      <c r="B1517" s="99" t="s">
        <v>472</v>
      </c>
      <c r="C1517" s="109">
        <v>45854.738194444442</v>
      </c>
      <c r="D1517" s="98" t="s">
        <v>486</v>
      </c>
      <c r="E1517" s="103">
        <v>37873</v>
      </c>
      <c r="F1517" s="98" t="s">
        <v>240</v>
      </c>
      <c r="G1517" s="98" t="s">
        <v>374</v>
      </c>
      <c r="H1517" s="98" t="s">
        <v>516</v>
      </c>
      <c r="I1517" s="98" t="s">
        <v>248</v>
      </c>
      <c r="K1517" s="100"/>
      <c r="L1517" s="108"/>
      <c r="M1517" s="100"/>
      <c r="N1517" s="100"/>
    </row>
    <row r="1518" spans="2:14" s="98" customFormat="1">
      <c r="B1518" s="99" t="s">
        <v>472</v>
      </c>
      <c r="C1518" s="109">
        <v>45854.681944444441</v>
      </c>
      <c r="D1518" s="98" t="s">
        <v>378</v>
      </c>
      <c r="E1518" s="103">
        <v>60000</v>
      </c>
      <c r="F1518" s="98" t="s">
        <v>240</v>
      </c>
      <c r="G1518" s="98" t="s">
        <v>374</v>
      </c>
      <c r="H1518" s="98" t="s">
        <v>513</v>
      </c>
      <c r="I1518" s="98" t="s">
        <v>273</v>
      </c>
      <c r="K1518" s="100"/>
      <c r="L1518" s="108"/>
      <c r="M1518" s="100"/>
      <c r="N1518" s="100"/>
    </row>
    <row r="1519" spans="2:14" s="98" customFormat="1">
      <c r="B1519" s="99" t="s">
        <v>472</v>
      </c>
      <c r="C1519" s="109">
        <v>45854.594444444447</v>
      </c>
      <c r="D1519" s="98" t="s">
        <v>20</v>
      </c>
      <c r="E1519" s="103">
        <v>16660</v>
      </c>
      <c r="F1519" s="98" t="s">
        <v>240</v>
      </c>
      <c r="G1519" s="98" t="s">
        <v>374</v>
      </c>
      <c r="H1519" s="98" t="s">
        <v>516</v>
      </c>
      <c r="I1519" s="98" t="s">
        <v>248</v>
      </c>
      <c r="K1519" s="100"/>
      <c r="L1519" s="108"/>
      <c r="M1519" s="100"/>
      <c r="N1519" s="100"/>
    </row>
    <row r="1520" spans="2:14" s="98" customFormat="1">
      <c r="B1520" s="99" t="s">
        <v>472</v>
      </c>
      <c r="C1520" s="109">
        <v>45853.874305555553</v>
      </c>
      <c r="D1520" s="98" t="s">
        <v>487</v>
      </c>
      <c r="E1520" s="103">
        <v>5000</v>
      </c>
      <c r="F1520" s="98" t="s">
        <v>240</v>
      </c>
      <c r="G1520" s="98" t="s">
        <v>374</v>
      </c>
      <c r="H1520" s="98" t="s">
        <v>516</v>
      </c>
      <c r="I1520" s="98" t="s">
        <v>273</v>
      </c>
      <c r="K1520" s="100"/>
      <c r="L1520" s="108"/>
      <c r="M1520" s="100"/>
      <c r="N1520" s="100"/>
    </row>
    <row r="1521" spans="2:14" s="98" customFormat="1">
      <c r="B1521" s="99" t="s">
        <v>472</v>
      </c>
      <c r="C1521" s="109">
        <v>45853.714583333334</v>
      </c>
      <c r="D1521" s="98" t="s">
        <v>46</v>
      </c>
      <c r="E1521" s="103">
        <v>3000</v>
      </c>
      <c r="F1521" s="98" t="s">
        <v>240</v>
      </c>
      <c r="G1521" s="98" t="s">
        <v>374</v>
      </c>
      <c r="H1521" s="98" t="s">
        <v>516</v>
      </c>
      <c r="I1521" s="98" t="s">
        <v>247</v>
      </c>
      <c r="K1521" s="100"/>
      <c r="L1521" s="108"/>
      <c r="M1521" s="100"/>
      <c r="N1521" s="100"/>
    </row>
    <row r="1522" spans="2:14" s="98" customFormat="1">
      <c r="B1522" s="99" t="s">
        <v>472</v>
      </c>
      <c r="C1522" s="109">
        <v>45853</v>
      </c>
      <c r="D1522" s="98" t="s">
        <v>496</v>
      </c>
      <c r="E1522" s="103">
        <v>8250</v>
      </c>
      <c r="F1522" s="98" t="s">
        <v>240</v>
      </c>
      <c r="G1522" s="98" t="s">
        <v>373</v>
      </c>
      <c r="H1522" s="98" t="s">
        <v>516</v>
      </c>
      <c r="I1522" s="98" t="s">
        <v>471</v>
      </c>
      <c r="K1522" s="100"/>
      <c r="L1522" s="108"/>
      <c r="M1522" s="100"/>
      <c r="N1522" s="100"/>
    </row>
    <row r="1523" spans="2:14" s="98" customFormat="1">
      <c r="B1523" s="99" t="s">
        <v>472</v>
      </c>
      <c r="C1523" s="109">
        <v>45853</v>
      </c>
      <c r="D1523" s="98" t="s">
        <v>497</v>
      </c>
      <c r="E1523" s="103">
        <v>1000</v>
      </c>
      <c r="F1523" s="98" t="s">
        <v>240</v>
      </c>
      <c r="G1523" s="98" t="s">
        <v>373</v>
      </c>
      <c r="H1523" s="98" t="s">
        <v>516</v>
      </c>
      <c r="I1523" s="98" t="s">
        <v>471</v>
      </c>
      <c r="K1523" s="100"/>
      <c r="L1523" s="108"/>
      <c r="M1523" s="100"/>
      <c r="N1523" s="100"/>
    </row>
    <row r="1524" spans="2:14" s="98" customFormat="1">
      <c r="B1524" s="99" t="s">
        <v>472</v>
      </c>
      <c r="C1524" s="109">
        <v>45853</v>
      </c>
      <c r="D1524" s="98" t="s">
        <v>459</v>
      </c>
      <c r="E1524" s="103">
        <v>1500</v>
      </c>
      <c r="F1524" s="98" t="s">
        <v>240</v>
      </c>
      <c r="G1524" s="98" t="s">
        <v>373</v>
      </c>
      <c r="H1524" s="98" t="s">
        <v>516</v>
      </c>
      <c r="I1524" s="98" t="s">
        <v>471</v>
      </c>
      <c r="K1524" s="100"/>
      <c r="L1524" s="108"/>
      <c r="M1524" s="100"/>
      <c r="N1524" s="100"/>
    </row>
    <row r="1525" spans="2:14" s="98" customFormat="1">
      <c r="B1525" s="99" t="s">
        <v>472</v>
      </c>
      <c r="C1525" s="109">
        <v>45853</v>
      </c>
      <c r="D1525" s="98" t="s">
        <v>498</v>
      </c>
      <c r="E1525" s="103">
        <v>3400</v>
      </c>
      <c r="F1525" s="98" t="s">
        <v>240</v>
      </c>
      <c r="G1525" s="98" t="s">
        <v>373</v>
      </c>
      <c r="H1525" s="98" t="s">
        <v>516</v>
      </c>
      <c r="I1525" s="98" t="s">
        <v>471</v>
      </c>
      <c r="K1525" s="100"/>
      <c r="L1525" s="108"/>
      <c r="M1525" s="100"/>
      <c r="N1525" s="100"/>
    </row>
    <row r="1526" spans="2:14" s="98" customFormat="1">
      <c r="B1526" s="99" t="s">
        <v>472</v>
      </c>
      <c r="C1526" s="109">
        <v>45853</v>
      </c>
      <c r="D1526" s="98" t="s">
        <v>297</v>
      </c>
      <c r="E1526" s="103">
        <v>17425</v>
      </c>
      <c r="F1526" s="98" t="s">
        <v>240</v>
      </c>
      <c r="G1526" s="98" t="s">
        <v>373</v>
      </c>
      <c r="H1526" s="98" t="s">
        <v>516</v>
      </c>
      <c r="I1526" s="98" t="s">
        <v>471</v>
      </c>
      <c r="K1526" s="100"/>
      <c r="L1526" s="108"/>
      <c r="M1526" s="100"/>
      <c r="N1526" s="100"/>
    </row>
    <row r="1527" spans="2:14" s="98" customFormat="1">
      <c r="B1527" s="99" t="s">
        <v>472</v>
      </c>
      <c r="C1527" s="109">
        <v>45852.654166666667</v>
      </c>
      <c r="D1527" s="98" t="s">
        <v>46</v>
      </c>
      <c r="E1527" s="103">
        <v>3700</v>
      </c>
      <c r="F1527" s="98" t="s">
        <v>240</v>
      </c>
      <c r="G1527" s="98" t="s">
        <v>374</v>
      </c>
      <c r="H1527" s="98" t="s">
        <v>516</v>
      </c>
      <c r="I1527" s="98" t="s">
        <v>247</v>
      </c>
      <c r="K1527" s="100"/>
      <c r="L1527" s="108"/>
      <c r="M1527" s="100"/>
      <c r="N1527" s="100"/>
    </row>
    <row r="1528" spans="2:14" s="98" customFormat="1">
      <c r="B1528" s="99" t="s">
        <v>472</v>
      </c>
      <c r="C1528" s="109">
        <v>45852.563194444447</v>
      </c>
      <c r="D1528" s="98" t="s">
        <v>218</v>
      </c>
      <c r="E1528" s="103">
        <v>62960</v>
      </c>
      <c r="F1528" s="98" t="s">
        <v>240</v>
      </c>
      <c r="G1528" s="98" t="s">
        <v>374</v>
      </c>
      <c r="H1528" s="98" t="s">
        <v>516</v>
      </c>
      <c r="I1528" s="98" t="s">
        <v>251</v>
      </c>
      <c r="K1528" s="100"/>
      <c r="L1528" s="108"/>
      <c r="M1528" s="100"/>
      <c r="N1528" s="100"/>
    </row>
    <row r="1529" spans="2:14" s="98" customFormat="1">
      <c r="B1529" s="99" t="s">
        <v>472</v>
      </c>
      <c r="C1529" s="109">
        <v>45852.555555555555</v>
      </c>
      <c r="D1529" s="98" t="s">
        <v>46</v>
      </c>
      <c r="E1529" s="103">
        <v>2700</v>
      </c>
      <c r="F1529" s="98" t="s">
        <v>240</v>
      </c>
      <c r="G1529" s="98" t="s">
        <v>374</v>
      </c>
      <c r="H1529" s="98" t="s">
        <v>516</v>
      </c>
      <c r="I1529" s="98" t="s">
        <v>247</v>
      </c>
      <c r="K1529" s="100"/>
      <c r="L1529" s="108"/>
      <c r="M1529" s="100"/>
      <c r="N1529" s="100"/>
    </row>
    <row r="1530" spans="2:14" s="98" customFormat="1">
      <c r="B1530" s="99" t="s">
        <v>472</v>
      </c>
      <c r="C1530" s="109">
        <v>45852</v>
      </c>
      <c r="D1530" s="98" t="s">
        <v>386</v>
      </c>
      <c r="E1530" s="103">
        <v>1190</v>
      </c>
      <c r="F1530" s="98" t="s">
        <v>240</v>
      </c>
      <c r="G1530" s="98" t="s">
        <v>373</v>
      </c>
      <c r="H1530" s="98" t="s">
        <v>516</v>
      </c>
      <c r="I1530" s="98" t="s">
        <v>242</v>
      </c>
      <c r="K1530" s="100"/>
      <c r="L1530" s="108"/>
      <c r="M1530" s="100"/>
      <c r="N1530" s="100"/>
    </row>
    <row r="1531" spans="2:14" s="98" customFormat="1">
      <c r="B1531" s="99" t="s">
        <v>472</v>
      </c>
      <c r="C1531" s="109">
        <v>45852</v>
      </c>
      <c r="D1531" s="98" t="s">
        <v>391</v>
      </c>
      <c r="E1531" s="103">
        <v>3700</v>
      </c>
      <c r="F1531" s="98" t="s">
        <v>240</v>
      </c>
      <c r="G1531" s="98" t="s">
        <v>373</v>
      </c>
      <c r="H1531" s="98" t="s">
        <v>516</v>
      </c>
      <c r="I1531" s="98" t="s">
        <v>242</v>
      </c>
      <c r="K1531" s="100"/>
      <c r="L1531" s="108"/>
      <c r="M1531" s="100"/>
      <c r="N1531" s="100"/>
    </row>
    <row r="1532" spans="2:14" s="98" customFormat="1">
      <c r="B1532" s="99" t="s">
        <v>472</v>
      </c>
      <c r="C1532" s="109">
        <v>45851.005555555559</v>
      </c>
      <c r="D1532" s="98" t="s">
        <v>480</v>
      </c>
      <c r="E1532" s="103">
        <v>40328</v>
      </c>
      <c r="F1532" s="98" t="s">
        <v>240</v>
      </c>
      <c r="G1532" s="98" t="s">
        <v>373</v>
      </c>
      <c r="H1532" s="98" t="s">
        <v>513</v>
      </c>
      <c r="I1532" s="98" t="s">
        <v>282</v>
      </c>
      <c r="K1532" s="100"/>
      <c r="L1532" s="108"/>
      <c r="M1532" s="100"/>
      <c r="N1532" s="100"/>
    </row>
    <row r="1533" spans="2:14" s="98" customFormat="1">
      <c r="B1533" s="99" t="s">
        <v>472</v>
      </c>
      <c r="C1533" s="109">
        <v>45851.005555555559</v>
      </c>
      <c r="D1533" s="98" t="s">
        <v>478</v>
      </c>
      <c r="E1533" s="103">
        <v>9857</v>
      </c>
      <c r="F1533" s="98" t="s">
        <v>240</v>
      </c>
      <c r="G1533" s="98" t="s">
        <v>373</v>
      </c>
      <c r="H1533" s="98" t="s">
        <v>513</v>
      </c>
      <c r="I1533" s="98" t="s">
        <v>282</v>
      </c>
      <c r="K1533" s="100"/>
      <c r="L1533" s="108"/>
      <c r="M1533" s="100"/>
      <c r="N1533" s="100"/>
    </row>
    <row r="1534" spans="2:14" s="98" customFormat="1">
      <c r="B1534" s="99" t="s">
        <v>472</v>
      </c>
      <c r="C1534" s="109">
        <v>45851.005555555559</v>
      </c>
      <c r="D1534" s="98" t="s">
        <v>477</v>
      </c>
      <c r="E1534" s="103">
        <v>10060</v>
      </c>
      <c r="F1534" s="98" t="s">
        <v>240</v>
      </c>
      <c r="G1534" s="98" t="s">
        <v>373</v>
      </c>
      <c r="H1534" s="98" t="s">
        <v>513</v>
      </c>
      <c r="I1534" s="98" t="s">
        <v>282</v>
      </c>
      <c r="K1534" s="100"/>
      <c r="L1534" s="108"/>
      <c r="M1534" s="100"/>
      <c r="N1534" s="100"/>
    </row>
    <row r="1535" spans="2:14" s="98" customFormat="1">
      <c r="B1535" s="99" t="s">
        <v>472</v>
      </c>
      <c r="C1535" s="109">
        <v>45851.005555555559</v>
      </c>
      <c r="D1535" s="98" t="s">
        <v>477</v>
      </c>
      <c r="E1535" s="103">
        <v>49625</v>
      </c>
      <c r="F1535" s="98" t="s">
        <v>240</v>
      </c>
      <c r="G1535" s="98" t="s">
        <v>373</v>
      </c>
      <c r="H1535" s="98" t="s">
        <v>513</v>
      </c>
      <c r="I1535" s="98" t="s">
        <v>282</v>
      </c>
      <c r="K1535" s="100"/>
      <c r="L1535" s="108"/>
      <c r="M1535" s="100"/>
      <c r="N1535" s="100"/>
    </row>
    <row r="1536" spans="2:14" s="98" customFormat="1">
      <c r="B1536" s="99" t="s">
        <v>472</v>
      </c>
      <c r="C1536" s="109">
        <v>45851.005555555559</v>
      </c>
      <c r="D1536" s="98" t="s">
        <v>479</v>
      </c>
      <c r="E1536" s="103">
        <v>7360</v>
      </c>
      <c r="F1536" s="98" t="s">
        <v>240</v>
      </c>
      <c r="G1536" s="98" t="s">
        <v>373</v>
      </c>
      <c r="H1536" s="98" t="s">
        <v>513</v>
      </c>
      <c r="I1536" s="98" t="s">
        <v>282</v>
      </c>
      <c r="K1536" s="100"/>
      <c r="L1536" s="108"/>
      <c r="M1536" s="100"/>
      <c r="N1536" s="100"/>
    </row>
    <row r="1537" spans="2:14" s="98" customFormat="1">
      <c r="B1537" s="99" t="s">
        <v>472</v>
      </c>
      <c r="C1537" s="109">
        <v>45850.995833333334</v>
      </c>
      <c r="D1537" s="98" t="s">
        <v>481</v>
      </c>
      <c r="E1537" s="103">
        <v>232943</v>
      </c>
      <c r="F1537" s="98" t="s">
        <v>240</v>
      </c>
      <c r="G1537" s="98" t="s">
        <v>373</v>
      </c>
      <c r="H1537" s="98" t="s">
        <v>513</v>
      </c>
      <c r="I1537" s="98" t="s">
        <v>251</v>
      </c>
      <c r="K1537" s="100"/>
      <c r="L1537" s="108"/>
      <c r="M1537" s="100"/>
      <c r="N1537" s="100"/>
    </row>
    <row r="1538" spans="2:14" s="98" customFormat="1">
      <c r="B1538" s="99" t="s">
        <v>472</v>
      </c>
      <c r="C1538" s="109">
        <v>45850.989583333336</v>
      </c>
      <c r="D1538" s="98" t="s">
        <v>482</v>
      </c>
      <c r="E1538" s="103">
        <v>175413</v>
      </c>
      <c r="F1538" s="98" t="s">
        <v>240</v>
      </c>
      <c r="G1538" s="98" t="s">
        <v>373</v>
      </c>
      <c r="H1538" s="98" t="s">
        <v>513</v>
      </c>
      <c r="I1538" s="98" t="s">
        <v>284</v>
      </c>
      <c r="K1538" s="100"/>
      <c r="L1538" s="108"/>
      <c r="M1538" s="100"/>
      <c r="N1538" s="100"/>
    </row>
    <row r="1539" spans="2:14" s="98" customFormat="1">
      <c r="B1539" s="99" t="s">
        <v>472</v>
      </c>
      <c r="C1539" s="109">
        <v>45850.988194444442</v>
      </c>
      <c r="D1539" s="98" t="s">
        <v>457</v>
      </c>
      <c r="E1539" s="103">
        <v>47980</v>
      </c>
      <c r="F1539" s="98" t="s">
        <v>240</v>
      </c>
      <c r="G1539" s="98" t="s">
        <v>373</v>
      </c>
      <c r="H1539" s="98" t="s">
        <v>513</v>
      </c>
      <c r="I1539" s="98" t="s">
        <v>271</v>
      </c>
      <c r="K1539" s="100"/>
      <c r="L1539" s="108"/>
      <c r="M1539" s="100"/>
      <c r="N1539" s="100"/>
    </row>
    <row r="1540" spans="2:14" s="98" customFormat="1">
      <c r="B1540" s="99" t="s">
        <v>472</v>
      </c>
      <c r="C1540" s="109">
        <v>45850.842361111114</v>
      </c>
      <c r="D1540" s="98" t="s">
        <v>447</v>
      </c>
      <c r="E1540" s="103">
        <v>3500</v>
      </c>
      <c r="F1540" s="98" t="s">
        <v>240</v>
      </c>
      <c r="G1540" s="98" t="s">
        <v>373</v>
      </c>
      <c r="H1540" s="98" t="s">
        <v>516</v>
      </c>
      <c r="I1540" s="98" t="s">
        <v>247</v>
      </c>
      <c r="K1540" s="100"/>
      <c r="L1540" s="113"/>
      <c r="M1540" s="113"/>
      <c r="N1540" s="101"/>
    </row>
    <row r="1541" spans="2:14" s="98" customFormat="1">
      <c r="B1541" s="99" t="s">
        <v>472</v>
      </c>
      <c r="C1541" s="109">
        <v>45850.824305555558</v>
      </c>
      <c r="D1541" s="98" t="s">
        <v>448</v>
      </c>
      <c r="E1541" s="103">
        <v>17990</v>
      </c>
      <c r="F1541" s="98" t="s">
        <v>240</v>
      </c>
      <c r="G1541" s="98" t="s">
        <v>373</v>
      </c>
      <c r="H1541" s="98" t="s">
        <v>516</v>
      </c>
      <c r="I1541" s="98" t="s">
        <v>244</v>
      </c>
    </row>
    <row r="1542" spans="2:14" s="98" customFormat="1">
      <c r="B1542" s="99" t="s">
        <v>472</v>
      </c>
      <c r="C1542" s="109">
        <v>45850.8</v>
      </c>
      <c r="D1542" s="98" t="s">
        <v>449</v>
      </c>
      <c r="E1542" s="103">
        <v>19990</v>
      </c>
      <c r="F1542" s="98" t="s">
        <v>240</v>
      </c>
      <c r="G1542" s="98" t="s">
        <v>373</v>
      </c>
      <c r="H1542" s="98" t="s">
        <v>516</v>
      </c>
      <c r="I1542" s="98" t="s">
        <v>243</v>
      </c>
    </row>
    <row r="1543" spans="2:14" s="98" customFormat="1">
      <c r="B1543" s="99" t="s">
        <v>472</v>
      </c>
      <c r="C1543" s="109">
        <v>45850.789583333331</v>
      </c>
      <c r="D1543" s="98" t="s">
        <v>97</v>
      </c>
      <c r="E1543" s="103">
        <v>6990</v>
      </c>
      <c r="F1543" s="98" t="s">
        <v>240</v>
      </c>
      <c r="G1543" s="98" t="s">
        <v>374</v>
      </c>
      <c r="H1543" s="98" t="s">
        <v>516</v>
      </c>
      <c r="I1543" s="98" t="s">
        <v>244</v>
      </c>
    </row>
    <row r="1544" spans="2:14" s="98" customFormat="1">
      <c r="B1544" s="99" t="s">
        <v>472</v>
      </c>
      <c r="C1544" s="109">
        <v>45850.786111111112</v>
      </c>
      <c r="D1544" s="98" t="s">
        <v>450</v>
      </c>
      <c r="E1544" s="103">
        <v>20990</v>
      </c>
      <c r="F1544" s="98" t="s">
        <v>240</v>
      </c>
      <c r="G1544" s="98" t="s">
        <v>373</v>
      </c>
      <c r="H1544" s="98" t="s">
        <v>516</v>
      </c>
      <c r="I1544" s="98" t="s">
        <v>244</v>
      </c>
    </row>
    <row r="1545" spans="2:14" s="98" customFormat="1">
      <c r="B1545" s="99" t="s">
        <v>472</v>
      </c>
      <c r="C1545" s="109">
        <v>45850.725694444445</v>
      </c>
      <c r="D1545" s="98" t="s">
        <v>451</v>
      </c>
      <c r="E1545" s="103">
        <v>8569</v>
      </c>
      <c r="F1545" s="98" t="s">
        <v>240</v>
      </c>
      <c r="G1545" s="98" t="s">
        <v>373</v>
      </c>
      <c r="H1545" s="98" t="s">
        <v>516</v>
      </c>
      <c r="I1545" s="98" t="s">
        <v>248</v>
      </c>
    </row>
    <row r="1546" spans="2:14" s="98" customFormat="1">
      <c r="B1546" s="99" t="s">
        <v>472</v>
      </c>
      <c r="C1546" s="109">
        <v>45850.723611111112</v>
      </c>
      <c r="D1546" s="98" t="s">
        <v>442</v>
      </c>
      <c r="E1546" s="103">
        <v>2000</v>
      </c>
      <c r="F1546" s="98" t="s">
        <v>240</v>
      </c>
      <c r="G1546" s="98" t="s">
        <v>374</v>
      </c>
      <c r="H1546" s="98" t="s">
        <v>516</v>
      </c>
      <c r="I1546" s="98" t="s">
        <v>248</v>
      </c>
    </row>
    <row r="1547" spans="2:14" s="98" customFormat="1">
      <c r="B1547" s="99" t="s">
        <v>472</v>
      </c>
      <c r="C1547" s="109">
        <v>45850.720138888886</v>
      </c>
      <c r="D1547" s="98" t="s">
        <v>443</v>
      </c>
      <c r="E1547" s="103">
        <v>1000</v>
      </c>
      <c r="F1547" s="98" t="s">
        <v>240</v>
      </c>
      <c r="G1547" s="98" t="s">
        <v>374</v>
      </c>
      <c r="H1547" s="98" t="s">
        <v>516</v>
      </c>
      <c r="I1547" s="98" t="s">
        <v>247</v>
      </c>
    </row>
    <row r="1548" spans="2:14" s="98" customFormat="1">
      <c r="B1548" s="99" t="s">
        <v>472</v>
      </c>
      <c r="C1548" s="109">
        <v>45850.7</v>
      </c>
      <c r="D1548" s="98" t="s">
        <v>444</v>
      </c>
      <c r="E1548" s="103">
        <v>1500</v>
      </c>
      <c r="F1548" s="98" t="s">
        <v>240</v>
      </c>
      <c r="G1548" s="98" t="s">
        <v>374</v>
      </c>
      <c r="H1548" s="98" t="s">
        <v>516</v>
      </c>
      <c r="I1548" s="98" t="s">
        <v>247</v>
      </c>
    </row>
    <row r="1549" spans="2:14" s="98" customFormat="1">
      <c r="B1549" s="99" t="s">
        <v>472</v>
      </c>
      <c r="C1549" s="109">
        <v>45850.697916666664</v>
      </c>
      <c r="D1549" s="98" t="s">
        <v>452</v>
      </c>
      <c r="E1549" s="103">
        <v>15300</v>
      </c>
      <c r="F1549" s="98" t="s">
        <v>240</v>
      </c>
      <c r="G1549" s="98" t="s">
        <v>373</v>
      </c>
      <c r="H1549" s="98" t="s">
        <v>516</v>
      </c>
      <c r="I1549" s="98" t="s">
        <v>248</v>
      </c>
    </row>
    <row r="1550" spans="2:14" s="98" customFormat="1">
      <c r="B1550" s="99" t="s">
        <v>472</v>
      </c>
      <c r="C1550" s="109">
        <v>45850.683333333334</v>
      </c>
      <c r="D1550" s="98" t="s">
        <v>453</v>
      </c>
      <c r="E1550" s="103">
        <v>2000</v>
      </c>
      <c r="F1550" s="98" t="s">
        <v>240</v>
      </c>
      <c r="G1550" s="98" t="s">
        <v>373</v>
      </c>
      <c r="H1550" s="98" t="s">
        <v>516</v>
      </c>
      <c r="I1550" s="98" t="s">
        <v>248</v>
      </c>
    </row>
    <row r="1551" spans="2:14" s="98" customFormat="1">
      <c r="B1551" s="99" t="s">
        <v>472</v>
      </c>
      <c r="C1551" s="109">
        <v>45850.668749999997</v>
      </c>
      <c r="D1551" s="98" t="s">
        <v>454</v>
      </c>
      <c r="E1551" s="103">
        <v>3800</v>
      </c>
      <c r="F1551" s="98" t="s">
        <v>240</v>
      </c>
      <c r="G1551" s="98" t="s">
        <v>373</v>
      </c>
      <c r="H1551" s="98" t="s">
        <v>516</v>
      </c>
      <c r="I1551" s="98" t="s">
        <v>248</v>
      </c>
    </row>
    <row r="1552" spans="2:14" s="98" customFormat="1">
      <c r="B1552" s="99" t="s">
        <v>472</v>
      </c>
      <c r="C1552" s="109">
        <v>45850.631249999999</v>
      </c>
      <c r="D1552" s="98" t="s">
        <v>455</v>
      </c>
      <c r="E1552" s="103">
        <v>149900</v>
      </c>
      <c r="F1552" s="98" t="s">
        <v>240</v>
      </c>
      <c r="G1552" s="98" t="s">
        <v>373</v>
      </c>
      <c r="H1552" s="98" t="s">
        <v>516</v>
      </c>
      <c r="I1552" s="98" t="s">
        <v>273</v>
      </c>
    </row>
    <row r="1553" spans="2:9" s="98" customFormat="1">
      <c r="B1553" s="99" t="s">
        <v>472</v>
      </c>
      <c r="C1553" s="109">
        <v>45850</v>
      </c>
      <c r="D1553" s="98" t="s">
        <v>461</v>
      </c>
      <c r="E1553" s="103">
        <v>7890</v>
      </c>
      <c r="F1553" s="98" t="s">
        <v>240</v>
      </c>
      <c r="G1553" s="98" t="s">
        <v>373</v>
      </c>
      <c r="H1553" s="98" t="s">
        <v>516</v>
      </c>
      <c r="I1553" s="98" t="s">
        <v>248</v>
      </c>
    </row>
    <row r="1554" spans="2:9" s="98" customFormat="1">
      <c r="B1554" s="99" t="s">
        <v>472</v>
      </c>
      <c r="C1554" s="109">
        <v>45850</v>
      </c>
      <c r="D1554" s="98" t="s">
        <v>462</v>
      </c>
      <c r="E1554" s="103">
        <v>8080</v>
      </c>
      <c r="F1554" s="98" t="s">
        <v>240</v>
      </c>
      <c r="G1554" s="98" t="s">
        <v>373</v>
      </c>
      <c r="H1554" s="98" t="s">
        <v>516</v>
      </c>
      <c r="I1554" s="98" t="s">
        <v>248</v>
      </c>
    </row>
    <row r="1555" spans="2:9" s="98" customFormat="1">
      <c r="B1555" s="99" t="s">
        <v>472</v>
      </c>
      <c r="C1555" s="109">
        <v>45849.969444444447</v>
      </c>
      <c r="D1555" s="98" t="s">
        <v>297</v>
      </c>
      <c r="E1555" s="103">
        <v>5890</v>
      </c>
      <c r="F1555" s="98" t="s">
        <v>240</v>
      </c>
      <c r="G1555" s="98" t="s">
        <v>373</v>
      </c>
      <c r="H1555" s="98" t="s">
        <v>516</v>
      </c>
      <c r="I1555" s="98" t="s">
        <v>247</v>
      </c>
    </row>
    <row r="1556" spans="2:9" s="98" customFormat="1">
      <c r="B1556" s="99" t="s">
        <v>472</v>
      </c>
      <c r="C1556" s="109">
        <v>45849.768750000003</v>
      </c>
      <c r="D1556" s="98" t="s">
        <v>445</v>
      </c>
      <c r="E1556" s="103">
        <v>91430</v>
      </c>
      <c r="F1556" s="98" t="s">
        <v>240</v>
      </c>
      <c r="G1556" s="98" t="s">
        <v>374</v>
      </c>
      <c r="H1556" s="98" t="s">
        <v>516</v>
      </c>
      <c r="I1556" s="98" t="s">
        <v>245</v>
      </c>
    </row>
    <row r="1557" spans="2:9" s="98" customFormat="1">
      <c r="B1557" s="99" t="s">
        <v>472</v>
      </c>
      <c r="C1557" s="109">
        <v>45849.496527777781</v>
      </c>
      <c r="D1557" s="98" t="s">
        <v>456</v>
      </c>
      <c r="E1557" s="103">
        <v>16190</v>
      </c>
      <c r="F1557" s="98" t="s">
        <v>240</v>
      </c>
      <c r="G1557" s="98" t="s">
        <v>373</v>
      </c>
      <c r="H1557" s="98" t="s">
        <v>516</v>
      </c>
      <c r="I1557" s="98" t="s">
        <v>248</v>
      </c>
    </row>
    <row r="1558" spans="2:9" s="98" customFormat="1">
      <c r="B1558" s="99" t="s">
        <v>472</v>
      </c>
      <c r="C1558" s="109">
        <v>45849.408333333333</v>
      </c>
      <c r="D1558" s="98" t="s">
        <v>457</v>
      </c>
      <c r="E1558" s="103">
        <v>226901</v>
      </c>
      <c r="F1558" s="98" t="s">
        <v>240</v>
      </c>
      <c r="G1558" s="98" t="s">
        <v>373</v>
      </c>
      <c r="H1558" s="98" t="s">
        <v>513</v>
      </c>
      <c r="I1558" s="98" t="s">
        <v>271</v>
      </c>
    </row>
    <row r="1559" spans="2:9" s="98" customFormat="1">
      <c r="B1559" s="99" t="s">
        <v>472</v>
      </c>
      <c r="C1559" s="109">
        <v>45849</v>
      </c>
      <c r="D1559" s="98" t="s">
        <v>463</v>
      </c>
      <c r="E1559" s="103">
        <v>2800</v>
      </c>
      <c r="F1559" s="98" t="s">
        <v>240</v>
      </c>
      <c r="G1559" s="98" t="s">
        <v>373</v>
      </c>
      <c r="H1559" s="98" t="s">
        <v>516</v>
      </c>
      <c r="I1559" s="98" t="s">
        <v>247</v>
      </c>
    </row>
    <row r="1560" spans="2:9" s="98" customFormat="1">
      <c r="B1560" s="99" t="s">
        <v>472</v>
      </c>
      <c r="C1560" s="109">
        <v>45848.65347222222</v>
      </c>
      <c r="D1560" s="98" t="s">
        <v>46</v>
      </c>
      <c r="E1560" s="103">
        <v>4600</v>
      </c>
      <c r="F1560" s="98" t="s">
        <v>240</v>
      </c>
      <c r="G1560" s="98" t="s">
        <v>374</v>
      </c>
      <c r="H1560" s="98" t="s">
        <v>516</v>
      </c>
      <c r="I1560" s="98" t="s">
        <v>247</v>
      </c>
    </row>
    <row r="1561" spans="2:9" s="98" customFormat="1">
      <c r="B1561" s="99" t="s">
        <v>472</v>
      </c>
      <c r="C1561" s="109">
        <v>45848.6</v>
      </c>
      <c r="D1561" s="98" t="s">
        <v>149</v>
      </c>
      <c r="E1561" s="103">
        <v>15000</v>
      </c>
      <c r="F1561" s="98" t="s">
        <v>240</v>
      </c>
      <c r="G1561" s="98" t="s">
        <v>374</v>
      </c>
      <c r="H1561" s="98" t="s">
        <v>516</v>
      </c>
      <c r="I1561" s="98" t="s">
        <v>471</v>
      </c>
    </row>
    <row r="1562" spans="2:9" s="98" customFormat="1">
      <c r="B1562" s="99" t="s">
        <v>472</v>
      </c>
      <c r="C1562" s="109">
        <v>45848.409722222219</v>
      </c>
      <c r="D1562" s="98" t="s">
        <v>134</v>
      </c>
      <c r="E1562" s="103">
        <v>10000</v>
      </c>
      <c r="F1562" s="98" t="s">
        <v>240</v>
      </c>
      <c r="G1562" s="98" t="s">
        <v>374</v>
      </c>
      <c r="H1562" s="98" t="s">
        <v>516</v>
      </c>
      <c r="I1562" s="98" t="s">
        <v>471</v>
      </c>
    </row>
    <row r="1563" spans="2:9" s="98" customFormat="1">
      <c r="B1563" s="99" t="s">
        <v>472</v>
      </c>
      <c r="C1563" s="109">
        <v>45848.377083333333</v>
      </c>
      <c r="D1563" s="98" t="s">
        <v>149</v>
      </c>
      <c r="E1563" s="103">
        <v>10000</v>
      </c>
      <c r="F1563" s="98" t="s">
        <v>240</v>
      </c>
      <c r="G1563" s="98" t="s">
        <v>374</v>
      </c>
      <c r="H1563" s="98" t="s">
        <v>516</v>
      </c>
      <c r="I1563" s="98" t="s">
        <v>263</v>
      </c>
    </row>
    <row r="1564" spans="2:9" s="98" customFormat="1">
      <c r="B1564" s="99" t="s">
        <v>472</v>
      </c>
      <c r="C1564" s="109">
        <v>45848</v>
      </c>
      <c r="D1564" s="98" t="s">
        <v>465</v>
      </c>
      <c r="E1564" s="103">
        <v>4800</v>
      </c>
      <c r="F1564" s="98" t="s">
        <v>240</v>
      </c>
      <c r="G1564" s="98" t="s">
        <v>373</v>
      </c>
      <c r="H1564" s="98" t="s">
        <v>516</v>
      </c>
      <c r="I1564" s="98" t="s">
        <v>247</v>
      </c>
    </row>
    <row r="1565" spans="2:9" s="98" customFormat="1">
      <c r="B1565" s="99" t="s">
        <v>472</v>
      </c>
      <c r="C1565" s="109">
        <v>45848</v>
      </c>
      <c r="D1565" s="98" t="s">
        <v>468</v>
      </c>
      <c r="E1565" s="103">
        <v>7990</v>
      </c>
      <c r="F1565" s="98" t="s">
        <v>240</v>
      </c>
      <c r="G1565" s="98" t="s">
        <v>373</v>
      </c>
      <c r="H1565" s="98" t="s">
        <v>516</v>
      </c>
      <c r="I1565" s="98" t="s">
        <v>247</v>
      </c>
    </row>
    <row r="1566" spans="2:9" s="98" customFormat="1">
      <c r="B1566" s="99" t="s">
        <v>472</v>
      </c>
      <c r="C1566" s="109">
        <v>45848</v>
      </c>
      <c r="D1566" s="98" t="s">
        <v>464</v>
      </c>
      <c r="E1566" s="103">
        <v>6890</v>
      </c>
      <c r="F1566" s="98" t="s">
        <v>240</v>
      </c>
      <c r="G1566" s="98" t="s">
        <v>373</v>
      </c>
      <c r="H1566" s="98" t="s">
        <v>516</v>
      </c>
      <c r="I1566" s="98" t="s">
        <v>471</v>
      </c>
    </row>
    <row r="1567" spans="2:9" s="98" customFormat="1">
      <c r="B1567" s="99" t="s">
        <v>472</v>
      </c>
      <c r="C1567" s="109">
        <v>45848</v>
      </c>
      <c r="D1567" s="98" t="s">
        <v>466</v>
      </c>
      <c r="E1567" s="103">
        <v>49918</v>
      </c>
      <c r="F1567" s="98" t="s">
        <v>240</v>
      </c>
      <c r="G1567" s="98" t="s">
        <v>373</v>
      </c>
      <c r="H1567" s="98" t="s">
        <v>516</v>
      </c>
      <c r="I1567" s="98" t="s">
        <v>471</v>
      </c>
    </row>
    <row r="1568" spans="2:9" s="98" customFormat="1">
      <c r="B1568" s="99" t="s">
        <v>472</v>
      </c>
      <c r="C1568" s="109">
        <v>45848</v>
      </c>
      <c r="D1568" s="98" t="s">
        <v>467</v>
      </c>
      <c r="E1568" s="103">
        <v>17880</v>
      </c>
      <c r="F1568" s="98" t="s">
        <v>240</v>
      </c>
      <c r="G1568" s="98" t="s">
        <v>373</v>
      </c>
      <c r="H1568" s="98" t="s">
        <v>516</v>
      </c>
      <c r="I1568" s="98" t="s">
        <v>248</v>
      </c>
    </row>
    <row r="1569" spans="2:9" s="98" customFormat="1">
      <c r="B1569" s="99" t="s">
        <v>472</v>
      </c>
      <c r="C1569" s="109">
        <v>45848</v>
      </c>
      <c r="D1569" s="98" t="s">
        <v>469</v>
      </c>
      <c r="E1569" s="103">
        <v>6700</v>
      </c>
      <c r="F1569" s="98" t="s">
        <v>240</v>
      </c>
      <c r="G1569" s="98" t="s">
        <v>373</v>
      </c>
      <c r="H1569" s="98" t="s">
        <v>516</v>
      </c>
      <c r="I1569" s="98" t="s">
        <v>248</v>
      </c>
    </row>
    <row r="1570" spans="2:9" s="98" customFormat="1">
      <c r="B1570" s="99" t="s">
        <v>472</v>
      </c>
      <c r="C1570" s="109">
        <v>45848</v>
      </c>
      <c r="D1570" s="98" t="s">
        <v>306</v>
      </c>
      <c r="E1570" s="103">
        <v>1590</v>
      </c>
      <c r="F1570" s="98" t="s">
        <v>240</v>
      </c>
      <c r="G1570" s="98" t="s">
        <v>373</v>
      </c>
      <c r="H1570" s="98" t="s">
        <v>516</v>
      </c>
      <c r="I1570" s="98" t="s">
        <v>248</v>
      </c>
    </row>
    <row r="1571" spans="2:9" s="98" customFormat="1">
      <c r="B1571" s="99" t="s">
        <v>472</v>
      </c>
      <c r="C1571" s="109">
        <v>45847.910416666666</v>
      </c>
      <c r="D1571" s="98" t="s">
        <v>45</v>
      </c>
      <c r="E1571" s="103">
        <v>-2068811</v>
      </c>
      <c r="F1571" s="98" t="s">
        <v>239</v>
      </c>
      <c r="I1571" s="98" t="s">
        <v>397</v>
      </c>
    </row>
    <row r="1572" spans="2:9" s="98" customFormat="1">
      <c r="B1572" s="99" t="s">
        <v>472</v>
      </c>
      <c r="C1572" s="109">
        <v>45847.652777777781</v>
      </c>
      <c r="D1572" s="98" t="s">
        <v>46</v>
      </c>
      <c r="E1572" s="103">
        <v>2000</v>
      </c>
      <c r="F1572" s="98" t="s">
        <v>240</v>
      </c>
      <c r="G1572" s="98" t="s">
        <v>374</v>
      </c>
      <c r="H1572" s="98" t="s">
        <v>516</v>
      </c>
      <c r="I1572" s="98" t="s">
        <v>247</v>
      </c>
    </row>
    <row r="1573" spans="2:9" s="98" customFormat="1">
      <c r="B1573" s="99" t="s">
        <v>472</v>
      </c>
      <c r="C1573" s="109">
        <v>45847.556944444441</v>
      </c>
      <c r="D1573" s="98" t="s">
        <v>30</v>
      </c>
      <c r="E1573" s="103">
        <v>4490</v>
      </c>
      <c r="F1573" s="98" t="s">
        <v>240</v>
      </c>
      <c r="G1573" s="98" t="s">
        <v>374</v>
      </c>
      <c r="H1573" s="98" t="s">
        <v>516</v>
      </c>
      <c r="I1573" s="98" t="s">
        <v>247</v>
      </c>
    </row>
    <row r="1574" spans="2:9" s="98" customFormat="1">
      <c r="B1574" s="99" t="s">
        <v>472</v>
      </c>
      <c r="C1574" s="109">
        <v>45847.554861111108</v>
      </c>
      <c r="D1574" s="98" t="s">
        <v>46</v>
      </c>
      <c r="E1574" s="103">
        <v>1000</v>
      </c>
      <c r="F1574" s="98" t="s">
        <v>240</v>
      </c>
      <c r="G1574" s="98" t="s">
        <v>374</v>
      </c>
      <c r="H1574" s="98" t="s">
        <v>516</v>
      </c>
      <c r="I1574" s="98" t="s">
        <v>247</v>
      </c>
    </row>
    <row r="1575" spans="2:9" s="98" customFormat="1">
      <c r="B1575" s="99" t="s">
        <v>472</v>
      </c>
      <c r="C1575" s="109">
        <v>45847.547222222223</v>
      </c>
      <c r="D1575" s="98" t="s">
        <v>84</v>
      </c>
      <c r="E1575" s="103">
        <v>26550</v>
      </c>
      <c r="F1575" s="98" t="s">
        <v>240</v>
      </c>
      <c r="G1575" s="98" t="s">
        <v>374</v>
      </c>
      <c r="H1575" s="98" t="s">
        <v>516</v>
      </c>
      <c r="I1575" s="98" t="s">
        <v>272</v>
      </c>
    </row>
    <row r="1576" spans="2:9" s="98" customFormat="1">
      <c r="B1576" s="99" t="s">
        <v>472</v>
      </c>
      <c r="C1576" s="109">
        <v>45847</v>
      </c>
      <c r="D1576" s="98" t="s">
        <v>386</v>
      </c>
      <c r="E1576" s="103">
        <v>1190</v>
      </c>
      <c r="F1576" s="98" t="s">
        <v>240</v>
      </c>
      <c r="G1576" s="98" t="s">
        <v>373</v>
      </c>
      <c r="H1576" s="98" t="s">
        <v>516</v>
      </c>
      <c r="I1576" s="98" t="s">
        <v>242</v>
      </c>
    </row>
    <row r="1577" spans="2:9" s="98" customFormat="1">
      <c r="B1577" s="99" t="s">
        <v>472</v>
      </c>
      <c r="C1577" s="109">
        <v>45847</v>
      </c>
      <c r="D1577" s="98" t="s">
        <v>388</v>
      </c>
      <c r="E1577" s="103">
        <v>3700</v>
      </c>
      <c r="F1577" s="98" t="s">
        <v>240</v>
      </c>
      <c r="G1577" s="98" t="s">
        <v>373</v>
      </c>
      <c r="H1577" s="98" t="s">
        <v>516</v>
      </c>
      <c r="I1577" s="98" t="s">
        <v>242</v>
      </c>
    </row>
    <row r="1578" spans="2:9" s="98" customFormat="1">
      <c r="B1578" s="99" t="s">
        <v>472</v>
      </c>
      <c r="C1578" s="109">
        <v>45847</v>
      </c>
      <c r="D1578" s="98" t="s">
        <v>388</v>
      </c>
      <c r="E1578" s="103">
        <v>1800</v>
      </c>
      <c r="F1578" s="98" t="s">
        <v>240</v>
      </c>
      <c r="G1578" s="98" t="s">
        <v>373</v>
      </c>
      <c r="H1578" s="98" t="s">
        <v>516</v>
      </c>
      <c r="I1578" s="98" t="s">
        <v>242</v>
      </c>
    </row>
    <row r="1579" spans="2:9" s="98" customFormat="1">
      <c r="B1579" s="99" t="s">
        <v>472</v>
      </c>
      <c r="C1579" s="109">
        <v>45847</v>
      </c>
      <c r="D1579" s="98" t="s">
        <v>427</v>
      </c>
      <c r="E1579" s="103">
        <v>350</v>
      </c>
      <c r="F1579" s="98" t="s">
        <v>240</v>
      </c>
      <c r="G1579" s="98" t="s">
        <v>373</v>
      </c>
      <c r="H1579" s="98" t="s">
        <v>516</v>
      </c>
      <c r="I1579" s="98" t="s">
        <v>241</v>
      </c>
    </row>
    <row r="1580" spans="2:9" s="98" customFormat="1">
      <c r="B1580" s="99" t="s">
        <v>472</v>
      </c>
      <c r="C1580" s="109">
        <v>45846.771527777775</v>
      </c>
      <c r="D1580" s="98" t="s">
        <v>446</v>
      </c>
      <c r="E1580" s="103">
        <v>1790</v>
      </c>
      <c r="F1580" s="98" t="s">
        <v>240</v>
      </c>
      <c r="G1580" s="98" t="s">
        <v>374</v>
      </c>
      <c r="H1580" s="98" t="s">
        <v>513</v>
      </c>
      <c r="I1580" s="98" t="s">
        <v>268</v>
      </c>
    </row>
    <row r="1581" spans="2:9" s="98" customFormat="1">
      <c r="B1581" s="99" t="s">
        <v>472</v>
      </c>
      <c r="C1581" s="109">
        <v>45846.556944444441</v>
      </c>
      <c r="D1581" s="98" t="s">
        <v>30</v>
      </c>
      <c r="E1581" s="103">
        <v>2500</v>
      </c>
      <c r="F1581" s="98" t="s">
        <v>240</v>
      </c>
      <c r="G1581" s="98" t="s">
        <v>374</v>
      </c>
      <c r="H1581" s="98" t="s">
        <v>516</v>
      </c>
      <c r="I1581" s="98" t="s">
        <v>247</v>
      </c>
    </row>
    <row r="1582" spans="2:9" s="98" customFormat="1">
      <c r="B1582" s="99" t="s">
        <v>472</v>
      </c>
      <c r="C1582" s="109">
        <v>45846.556944444441</v>
      </c>
      <c r="D1582" s="98" t="s">
        <v>149</v>
      </c>
      <c r="E1582" s="103">
        <v>10000</v>
      </c>
      <c r="F1582" s="98" t="s">
        <v>240</v>
      </c>
      <c r="G1582" s="98" t="s">
        <v>374</v>
      </c>
      <c r="H1582" s="98" t="s">
        <v>516</v>
      </c>
      <c r="I1582" s="98" t="s">
        <v>471</v>
      </c>
    </row>
    <row r="1583" spans="2:9" s="98" customFormat="1">
      <c r="B1583" s="99" t="s">
        <v>472</v>
      </c>
      <c r="C1583" s="109">
        <v>45846.554861111108</v>
      </c>
      <c r="D1583" s="98" t="s">
        <v>46</v>
      </c>
      <c r="E1583" s="103">
        <v>1000</v>
      </c>
      <c r="F1583" s="98" t="s">
        <v>240</v>
      </c>
      <c r="G1583" s="98" t="s">
        <v>374</v>
      </c>
      <c r="H1583" s="98" t="s">
        <v>516</v>
      </c>
      <c r="I1583" s="98" t="s">
        <v>247</v>
      </c>
    </row>
    <row r="1584" spans="2:9" s="98" customFormat="1">
      <c r="B1584" s="99" t="s">
        <v>472</v>
      </c>
      <c r="C1584" s="109">
        <v>45846.253472222219</v>
      </c>
      <c r="D1584" s="98" t="s">
        <v>20</v>
      </c>
      <c r="E1584" s="103">
        <v>3390</v>
      </c>
      <c r="F1584" s="98" t="s">
        <v>240</v>
      </c>
      <c r="G1584" s="98" t="s">
        <v>374</v>
      </c>
      <c r="H1584" s="98" t="s">
        <v>516</v>
      </c>
      <c r="I1584" s="98" t="s">
        <v>471</v>
      </c>
    </row>
    <row r="1585" spans="2:11" s="98" customFormat="1">
      <c r="B1585" s="99" t="s">
        <v>472</v>
      </c>
      <c r="C1585" s="109">
        <v>45846</v>
      </c>
      <c r="D1585" s="98" t="s">
        <v>459</v>
      </c>
      <c r="E1585" s="103">
        <v>2500</v>
      </c>
      <c r="F1585" s="98" t="s">
        <v>240</v>
      </c>
      <c r="G1585" s="98" t="s">
        <v>373</v>
      </c>
      <c r="H1585" s="98" t="s">
        <v>516</v>
      </c>
      <c r="I1585" s="98" t="s">
        <v>242</v>
      </c>
    </row>
    <row r="1586" spans="2:11" s="98" customFormat="1">
      <c r="B1586" s="99" t="s">
        <v>472</v>
      </c>
      <c r="C1586" s="109">
        <v>45846</v>
      </c>
      <c r="D1586" s="98" t="s">
        <v>458</v>
      </c>
      <c r="E1586" s="103">
        <v>1650</v>
      </c>
      <c r="F1586" s="98" t="s">
        <v>240</v>
      </c>
      <c r="G1586" s="98" t="s">
        <v>373</v>
      </c>
      <c r="H1586" s="98" t="s">
        <v>516</v>
      </c>
      <c r="I1586" s="98" t="s">
        <v>242</v>
      </c>
    </row>
    <row r="1587" spans="2:11" s="98" customFormat="1">
      <c r="B1587" s="99" t="s">
        <v>472</v>
      </c>
      <c r="C1587" s="109">
        <v>45846</v>
      </c>
      <c r="D1587" s="98" t="s">
        <v>297</v>
      </c>
      <c r="E1587" s="103">
        <v>36095</v>
      </c>
      <c r="F1587" s="98" t="s">
        <v>240</v>
      </c>
      <c r="G1587" s="98" t="s">
        <v>373</v>
      </c>
      <c r="H1587" s="98" t="s">
        <v>516</v>
      </c>
      <c r="I1587" s="98" t="s">
        <v>471</v>
      </c>
    </row>
    <row r="1588" spans="2:11" s="98" customFormat="1">
      <c r="B1588" s="99" t="s">
        <v>472</v>
      </c>
      <c r="C1588" s="109">
        <v>45846</v>
      </c>
      <c r="D1588" s="98" t="s">
        <v>460</v>
      </c>
      <c r="E1588" s="103">
        <v>9900</v>
      </c>
      <c r="F1588" s="98" t="s">
        <v>240</v>
      </c>
      <c r="G1588" s="98" t="s">
        <v>373</v>
      </c>
      <c r="H1588" s="98" t="s">
        <v>516</v>
      </c>
      <c r="I1588" s="98" t="s">
        <v>471</v>
      </c>
    </row>
    <row r="1589" spans="2:11" s="98" customFormat="1">
      <c r="B1589" s="99" t="s">
        <v>472</v>
      </c>
      <c r="C1589" s="109">
        <v>45846</v>
      </c>
      <c r="D1589" s="98" t="s">
        <v>340</v>
      </c>
      <c r="E1589" s="103">
        <v>14200</v>
      </c>
      <c r="F1589" s="98" t="s">
        <v>240</v>
      </c>
      <c r="G1589" s="98" t="s">
        <v>373</v>
      </c>
      <c r="H1589" s="98" t="s">
        <v>516</v>
      </c>
      <c r="I1589" s="98" t="s">
        <v>248</v>
      </c>
    </row>
    <row r="1590" spans="2:11" s="98" customFormat="1">
      <c r="B1590" s="99" t="s">
        <v>472</v>
      </c>
      <c r="C1590" s="109">
        <v>45845.949305555558</v>
      </c>
      <c r="D1590" s="98" t="s">
        <v>48</v>
      </c>
      <c r="E1590" s="103">
        <v>6800</v>
      </c>
      <c r="F1590" s="98" t="s">
        <v>240</v>
      </c>
      <c r="G1590" s="98" t="s">
        <v>374</v>
      </c>
      <c r="H1590" s="98" t="s">
        <v>516</v>
      </c>
      <c r="I1590" s="98" t="s">
        <v>273</v>
      </c>
    </row>
    <row r="1591" spans="2:11" s="98" customFormat="1">
      <c r="B1591" s="99" t="s">
        <v>472</v>
      </c>
      <c r="C1591" s="109">
        <v>45845</v>
      </c>
      <c r="D1591" s="98" t="s">
        <v>391</v>
      </c>
      <c r="E1591" s="103">
        <v>3700</v>
      </c>
      <c r="F1591" s="98" t="s">
        <v>240</v>
      </c>
      <c r="G1591" s="98" t="s">
        <v>373</v>
      </c>
      <c r="H1591" s="98" t="s">
        <v>516</v>
      </c>
      <c r="I1591" s="98" t="s">
        <v>242</v>
      </c>
    </row>
    <row r="1592" spans="2:11" s="98" customFormat="1">
      <c r="B1592" s="99" t="s">
        <v>472</v>
      </c>
      <c r="C1592" s="109">
        <v>45845</v>
      </c>
      <c r="D1592" s="98" t="s">
        <v>386</v>
      </c>
      <c r="E1592" s="103">
        <v>1190</v>
      </c>
      <c r="F1592" s="98" t="s">
        <v>240</v>
      </c>
      <c r="G1592" s="98" t="s">
        <v>373</v>
      </c>
      <c r="H1592" s="98" t="s">
        <v>516</v>
      </c>
      <c r="I1592" s="98" t="s">
        <v>242</v>
      </c>
    </row>
    <row r="1593" spans="2:11" s="98" customFormat="1">
      <c r="B1593" s="99" t="s">
        <v>472</v>
      </c>
      <c r="C1593" s="109">
        <v>45845</v>
      </c>
      <c r="D1593" s="98" t="s">
        <v>301</v>
      </c>
      <c r="E1593" s="103">
        <v>11480</v>
      </c>
      <c r="F1593" s="98" t="s">
        <v>240</v>
      </c>
      <c r="G1593" s="98" t="s">
        <v>373</v>
      </c>
      <c r="H1593" s="98" t="s">
        <v>516</v>
      </c>
      <c r="I1593" s="98" t="s">
        <v>244</v>
      </c>
    </row>
    <row r="1594" spans="2:11" s="98" customFormat="1">
      <c r="B1594" s="99" t="s">
        <v>472</v>
      </c>
      <c r="C1594" s="109">
        <v>45844.831944444442</v>
      </c>
      <c r="D1594" s="98" t="s">
        <v>382</v>
      </c>
      <c r="E1594" s="103">
        <v>87307</v>
      </c>
      <c r="F1594" s="98" t="s">
        <v>240</v>
      </c>
      <c r="G1594" s="98" t="s">
        <v>373</v>
      </c>
      <c r="H1594" s="98" t="s">
        <v>516</v>
      </c>
      <c r="I1594" s="98" t="s">
        <v>245</v>
      </c>
    </row>
    <row r="1595" spans="2:11" s="98" customFormat="1">
      <c r="B1595" s="99" t="s">
        <v>472</v>
      </c>
      <c r="C1595" s="109">
        <v>45843.911111111112</v>
      </c>
      <c r="D1595" s="98" t="s">
        <v>78</v>
      </c>
      <c r="E1595" s="103">
        <v>32670</v>
      </c>
      <c r="F1595" s="98" t="s">
        <v>240</v>
      </c>
      <c r="G1595" s="98" t="s">
        <v>374</v>
      </c>
      <c r="H1595" s="98" t="s">
        <v>516</v>
      </c>
      <c r="I1595" s="98" t="s">
        <v>248</v>
      </c>
    </row>
    <row r="1596" spans="2:11" s="98" customFormat="1">
      <c r="B1596" s="99" t="s">
        <v>472</v>
      </c>
      <c r="C1596" s="109">
        <v>45843.792361111111</v>
      </c>
      <c r="D1596" s="98" t="s">
        <v>383</v>
      </c>
      <c r="E1596" s="103">
        <v>1250</v>
      </c>
      <c r="F1596" s="98" t="s">
        <v>240</v>
      </c>
      <c r="G1596" s="98" t="s">
        <v>373</v>
      </c>
      <c r="H1596" s="98" t="s">
        <v>516</v>
      </c>
      <c r="I1596" s="98" t="s">
        <v>241</v>
      </c>
    </row>
    <row r="1597" spans="2:11" s="98" customFormat="1">
      <c r="B1597" s="99" t="s">
        <v>472</v>
      </c>
      <c r="C1597" s="109">
        <v>45843.770833333336</v>
      </c>
      <c r="D1597" s="98" t="s">
        <v>377</v>
      </c>
      <c r="E1597" s="103">
        <v>10470</v>
      </c>
      <c r="F1597" s="98" t="s">
        <v>240</v>
      </c>
      <c r="G1597" s="98" t="s">
        <v>374</v>
      </c>
      <c r="H1597" s="98" t="s">
        <v>516</v>
      </c>
      <c r="I1597" s="98" t="s">
        <v>248</v>
      </c>
    </row>
    <row r="1598" spans="2:11" s="98" customFormat="1">
      <c r="B1598" s="99" t="s">
        <v>472</v>
      </c>
      <c r="C1598" s="109">
        <v>45843.741666666669</v>
      </c>
      <c r="D1598" s="98" t="s">
        <v>378</v>
      </c>
      <c r="E1598" s="103">
        <v>110000</v>
      </c>
      <c r="F1598" s="98" t="s">
        <v>240</v>
      </c>
      <c r="G1598" s="98" t="s">
        <v>374</v>
      </c>
      <c r="H1598" s="98" t="s">
        <v>513</v>
      </c>
      <c r="I1598" s="98" t="s">
        <v>273</v>
      </c>
      <c r="K1598" s="114"/>
    </row>
    <row r="1599" spans="2:11" s="98" customFormat="1">
      <c r="B1599" s="99" t="s">
        <v>472</v>
      </c>
      <c r="C1599" s="109">
        <v>45843.606249999997</v>
      </c>
      <c r="D1599" s="98" t="s">
        <v>62</v>
      </c>
      <c r="E1599" s="103">
        <v>1600</v>
      </c>
      <c r="F1599" s="98" t="s">
        <v>240</v>
      </c>
      <c r="G1599" s="98" t="s">
        <v>374</v>
      </c>
      <c r="H1599" s="98" t="s">
        <v>516</v>
      </c>
      <c r="I1599" s="98" t="s">
        <v>247</v>
      </c>
      <c r="K1599" s="114"/>
    </row>
    <row r="1600" spans="2:11" s="98" customFormat="1">
      <c r="B1600" s="99" t="s">
        <v>472</v>
      </c>
      <c r="C1600" s="109">
        <v>45843.597222222219</v>
      </c>
      <c r="D1600" s="98" t="s">
        <v>146</v>
      </c>
      <c r="E1600" s="103">
        <v>3180</v>
      </c>
      <c r="F1600" s="98" t="s">
        <v>240</v>
      </c>
      <c r="G1600" s="98" t="s">
        <v>374</v>
      </c>
      <c r="H1600" s="98" t="s">
        <v>516</v>
      </c>
      <c r="I1600" s="98" t="s">
        <v>242</v>
      </c>
      <c r="K1600" s="114"/>
    </row>
    <row r="1601" spans="2:11" s="98" customFormat="1">
      <c r="B1601" s="99" t="s">
        <v>472</v>
      </c>
      <c r="C1601" s="109">
        <v>45843.558333333334</v>
      </c>
      <c r="D1601" s="98" t="s">
        <v>379</v>
      </c>
      <c r="E1601" s="103">
        <v>5000</v>
      </c>
      <c r="F1601" s="98" t="s">
        <v>240</v>
      </c>
      <c r="G1601" s="98" t="s">
        <v>374</v>
      </c>
      <c r="H1601" s="98" t="s">
        <v>516</v>
      </c>
      <c r="I1601" s="98" t="s">
        <v>243</v>
      </c>
      <c r="K1601" s="114"/>
    </row>
    <row r="1602" spans="2:11" s="98" customFormat="1">
      <c r="B1602" s="99" t="s">
        <v>472</v>
      </c>
      <c r="C1602" s="109">
        <v>45843.477777777778</v>
      </c>
      <c r="D1602" s="98" t="s">
        <v>384</v>
      </c>
      <c r="E1602" s="103">
        <v>6000</v>
      </c>
      <c r="F1602" s="98" t="s">
        <v>240</v>
      </c>
      <c r="G1602" s="98" t="s">
        <v>373</v>
      </c>
      <c r="H1602" s="98" t="s">
        <v>516</v>
      </c>
      <c r="I1602" s="98" t="s">
        <v>247</v>
      </c>
      <c r="K1602" s="114"/>
    </row>
    <row r="1603" spans="2:11" s="98" customFormat="1">
      <c r="B1603" s="99" t="s">
        <v>472</v>
      </c>
      <c r="C1603" s="109">
        <v>45842.915972222225</v>
      </c>
      <c r="D1603" s="98" t="s">
        <v>151</v>
      </c>
      <c r="E1603" s="103">
        <v>3294</v>
      </c>
      <c r="F1603" s="98" t="s">
        <v>240</v>
      </c>
      <c r="G1603" s="98" t="s">
        <v>374</v>
      </c>
      <c r="H1603" s="98" t="s">
        <v>516</v>
      </c>
      <c r="I1603" s="98" t="s">
        <v>247</v>
      </c>
      <c r="K1603" s="114"/>
    </row>
    <row r="1604" spans="2:11" s="98" customFormat="1">
      <c r="B1604" s="99" t="s">
        <v>472</v>
      </c>
      <c r="C1604" s="109">
        <v>45842.869444444441</v>
      </c>
      <c r="D1604" s="98" t="s">
        <v>380</v>
      </c>
      <c r="E1604" s="103">
        <v>1890</v>
      </c>
      <c r="F1604" s="98" t="s">
        <v>240</v>
      </c>
      <c r="G1604" s="98" t="s">
        <v>374</v>
      </c>
      <c r="H1604" s="98" t="s">
        <v>516</v>
      </c>
      <c r="I1604" s="98" t="s">
        <v>247</v>
      </c>
      <c r="K1604" s="114"/>
    </row>
    <row r="1605" spans="2:11" s="98" customFormat="1">
      <c r="B1605" s="99" t="s">
        <v>472</v>
      </c>
      <c r="C1605" s="109">
        <v>45842.611805555556</v>
      </c>
      <c r="D1605" s="98" t="s">
        <v>14</v>
      </c>
      <c r="E1605" s="103">
        <v>3130</v>
      </c>
      <c r="F1605" s="98" t="s">
        <v>240</v>
      </c>
      <c r="G1605" s="98" t="s">
        <v>374</v>
      </c>
      <c r="H1605" s="98" t="s">
        <v>516</v>
      </c>
      <c r="I1605" s="98" t="s">
        <v>247</v>
      </c>
      <c r="K1605" s="114"/>
    </row>
    <row r="1606" spans="2:11" s="98" customFormat="1">
      <c r="B1606" s="99" t="s">
        <v>472</v>
      </c>
      <c r="C1606" s="109">
        <v>45842.506944444445</v>
      </c>
      <c r="D1606" s="98" t="s">
        <v>151</v>
      </c>
      <c r="E1606" s="103">
        <v>2498</v>
      </c>
      <c r="F1606" s="98" t="s">
        <v>240</v>
      </c>
      <c r="G1606" s="98" t="s">
        <v>374</v>
      </c>
      <c r="H1606" s="98" t="s">
        <v>516</v>
      </c>
      <c r="I1606" s="98" t="s">
        <v>247</v>
      </c>
      <c r="K1606" s="114"/>
    </row>
    <row r="1607" spans="2:11" s="98" customFormat="1">
      <c r="B1607" s="99" t="s">
        <v>472</v>
      </c>
      <c r="C1607" s="109">
        <v>45842.504166666666</v>
      </c>
      <c r="D1607" s="98" t="s">
        <v>381</v>
      </c>
      <c r="E1607" s="103">
        <v>48184</v>
      </c>
      <c r="F1607" s="98" t="s">
        <v>240</v>
      </c>
      <c r="G1607" s="98" t="s">
        <v>374</v>
      </c>
      <c r="H1607" s="98" t="s">
        <v>516</v>
      </c>
      <c r="I1607" s="98" t="s">
        <v>243</v>
      </c>
      <c r="K1607" s="114"/>
    </row>
    <row r="1608" spans="2:11" s="98" customFormat="1">
      <c r="B1608" s="99" t="s">
        <v>472</v>
      </c>
      <c r="C1608" s="109">
        <v>45842</v>
      </c>
      <c r="D1608" s="98" t="s">
        <v>386</v>
      </c>
      <c r="E1608" s="103">
        <v>1190</v>
      </c>
      <c r="F1608" s="98" t="s">
        <v>240</v>
      </c>
      <c r="G1608" s="98" t="s">
        <v>373</v>
      </c>
      <c r="H1608" s="98" t="s">
        <v>516</v>
      </c>
      <c r="I1608" s="98" t="s">
        <v>242</v>
      </c>
      <c r="K1608" s="114"/>
    </row>
    <row r="1609" spans="2:11" s="98" customFormat="1">
      <c r="B1609" s="99" t="s">
        <v>472</v>
      </c>
      <c r="C1609" s="109">
        <v>45842</v>
      </c>
      <c r="D1609" s="98" t="s">
        <v>385</v>
      </c>
      <c r="E1609" s="103">
        <v>61773</v>
      </c>
      <c r="F1609" s="98" t="s">
        <v>240</v>
      </c>
      <c r="G1609" s="98" t="s">
        <v>373</v>
      </c>
      <c r="H1609" s="98" t="s">
        <v>513</v>
      </c>
      <c r="I1609" s="98" t="s">
        <v>271</v>
      </c>
      <c r="K1609" s="114"/>
    </row>
    <row r="1610" spans="2:11" s="98" customFormat="1">
      <c r="B1610" s="99" t="s">
        <v>472</v>
      </c>
      <c r="C1610" s="109">
        <v>45841</v>
      </c>
      <c r="D1610" s="98" t="s">
        <v>388</v>
      </c>
      <c r="E1610" s="103">
        <v>3700</v>
      </c>
      <c r="F1610" s="98" t="s">
        <v>240</v>
      </c>
      <c r="G1610" s="98" t="s">
        <v>373</v>
      </c>
      <c r="H1610" s="98" t="s">
        <v>516</v>
      </c>
      <c r="I1610" s="98" t="s">
        <v>242</v>
      </c>
      <c r="K1610" s="114"/>
    </row>
    <row r="1611" spans="2:11" s="98" customFormat="1">
      <c r="B1611" s="99" t="s">
        <v>472</v>
      </c>
      <c r="C1611" s="109">
        <v>45841</v>
      </c>
      <c r="D1611" s="98" t="s">
        <v>387</v>
      </c>
      <c r="E1611" s="103">
        <v>3300</v>
      </c>
      <c r="F1611" s="98" t="s">
        <v>240</v>
      </c>
      <c r="G1611" s="98" t="s">
        <v>373</v>
      </c>
      <c r="H1611" s="98" t="s">
        <v>516</v>
      </c>
      <c r="I1611" s="98" t="s">
        <v>241</v>
      </c>
      <c r="K1611" s="114"/>
    </row>
    <row r="1612" spans="2:11" s="98" customFormat="1">
      <c r="B1612" s="99" t="s">
        <v>472</v>
      </c>
      <c r="C1612" s="109">
        <v>45841</v>
      </c>
      <c r="D1612" s="98" t="s">
        <v>296</v>
      </c>
      <c r="E1612" s="103">
        <v>8140</v>
      </c>
      <c r="F1612" s="98" t="s">
        <v>240</v>
      </c>
      <c r="G1612" s="98" t="s">
        <v>373</v>
      </c>
      <c r="H1612" s="98" t="s">
        <v>516</v>
      </c>
      <c r="I1612" s="98" t="s">
        <v>247</v>
      </c>
      <c r="K1612" s="114"/>
    </row>
    <row r="1613" spans="2:11" s="98" customFormat="1">
      <c r="B1613" s="99" t="s">
        <v>472</v>
      </c>
      <c r="C1613" s="109">
        <v>45841</v>
      </c>
      <c r="D1613" s="98" t="s">
        <v>389</v>
      </c>
      <c r="E1613" s="103">
        <v>9621</v>
      </c>
      <c r="F1613" s="98" t="s">
        <v>240</v>
      </c>
      <c r="G1613" s="98" t="s">
        <v>373</v>
      </c>
      <c r="H1613" s="98" t="s">
        <v>516</v>
      </c>
      <c r="I1613" s="98" t="s">
        <v>245</v>
      </c>
      <c r="K1613" s="114"/>
    </row>
    <row r="1614" spans="2:11" s="98" customFormat="1">
      <c r="B1614" s="99" t="s">
        <v>472</v>
      </c>
      <c r="C1614" s="109">
        <v>45840</v>
      </c>
      <c r="D1614" s="98" t="s">
        <v>391</v>
      </c>
      <c r="E1614" s="103">
        <v>3900</v>
      </c>
      <c r="F1614" s="98" t="s">
        <v>240</v>
      </c>
      <c r="G1614" s="98" t="s">
        <v>373</v>
      </c>
      <c r="H1614" s="98" t="s">
        <v>516</v>
      </c>
      <c r="I1614" s="98" t="s">
        <v>242</v>
      </c>
      <c r="K1614" s="114"/>
    </row>
    <row r="1615" spans="2:11" s="98" customFormat="1">
      <c r="B1615" s="99" t="s">
        <v>472</v>
      </c>
      <c r="C1615" s="109">
        <v>45840</v>
      </c>
      <c r="D1615" s="98" t="s">
        <v>390</v>
      </c>
      <c r="E1615" s="103">
        <v>712088</v>
      </c>
      <c r="F1615" s="98" t="s">
        <v>240</v>
      </c>
      <c r="G1615" s="98" t="s">
        <v>373</v>
      </c>
      <c r="H1615" s="98" t="s">
        <v>513</v>
      </c>
      <c r="I1615" s="98" t="s">
        <v>252</v>
      </c>
      <c r="K1615" s="114"/>
    </row>
    <row r="1616" spans="2:11" s="98" customFormat="1">
      <c r="B1616" s="99" t="s">
        <v>472</v>
      </c>
      <c r="C1616" s="109">
        <v>45839.34652777778</v>
      </c>
      <c r="D1616" s="98" t="s">
        <v>22</v>
      </c>
      <c r="E1616" s="103">
        <v>20000</v>
      </c>
      <c r="F1616" s="98" t="s">
        <v>240</v>
      </c>
      <c r="G1616" s="98" t="s">
        <v>374</v>
      </c>
      <c r="H1616" s="98" t="s">
        <v>516</v>
      </c>
      <c r="I1616" s="98" t="s">
        <v>263</v>
      </c>
      <c r="K1616" s="114"/>
    </row>
    <row r="1617" spans="2:11" s="98" customFormat="1">
      <c r="B1617" s="99" t="s">
        <v>472</v>
      </c>
      <c r="C1617" s="109">
        <v>45839</v>
      </c>
      <c r="D1617" s="98" t="s">
        <v>394</v>
      </c>
      <c r="E1617" s="103">
        <v>6700</v>
      </c>
      <c r="F1617" s="98" t="s">
        <v>240</v>
      </c>
      <c r="G1617" s="98" t="s">
        <v>373</v>
      </c>
      <c r="H1617" s="98" t="s">
        <v>516</v>
      </c>
      <c r="I1617" s="98" t="s">
        <v>242</v>
      </c>
      <c r="K1617" s="114"/>
    </row>
    <row r="1618" spans="2:11" s="98" customFormat="1">
      <c r="B1618" s="99" t="s">
        <v>472</v>
      </c>
      <c r="C1618" s="109">
        <v>45839</v>
      </c>
      <c r="D1618" s="98" t="s">
        <v>396</v>
      </c>
      <c r="E1618" s="103">
        <v>20740</v>
      </c>
      <c r="F1618" s="98" t="s">
        <v>240</v>
      </c>
      <c r="G1618" s="98" t="s">
        <v>373</v>
      </c>
      <c r="H1618" s="98" t="s">
        <v>516</v>
      </c>
      <c r="I1618" s="98" t="s">
        <v>268</v>
      </c>
      <c r="K1618" s="114"/>
    </row>
    <row r="1619" spans="2:11" s="98" customFormat="1">
      <c r="B1619" s="99" t="s">
        <v>472</v>
      </c>
      <c r="C1619" s="109">
        <v>45839</v>
      </c>
      <c r="D1619" s="98" t="s">
        <v>395</v>
      </c>
      <c r="E1619" s="103">
        <v>12320</v>
      </c>
      <c r="F1619" s="98" t="s">
        <v>240</v>
      </c>
      <c r="G1619" s="98" t="s">
        <v>373</v>
      </c>
      <c r="H1619" s="98" t="s">
        <v>516</v>
      </c>
      <c r="I1619" s="98" t="s">
        <v>268</v>
      </c>
      <c r="K1619" s="114"/>
    </row>
    <row r="1620" spans="2:11" s="98" customFormat="1">
      <c r="B1620" s="99" t="s">
        <v>472</v>
      </c>
      <c r="C1620" s="109">
        <v>45839</v>
      </c>
      <c r="D1620" s="98" t="s">
        <v>393</v>
      </c>
      <c r="E1620" s="103">
        <v>1600</v>
      </c>
      <c r="F1620" s="98" t="s">
        <v>240</v>
      </c>
      <c r="G1620" s="98" t="s">
        <v>373</v>
      </c>
      <c r="H1620" s="98" t="s">
        <v>516</v>
      </c>
      <c r="I1620" s="98" t="s">
        <v>268</v>
      </c>
      <c r="K1620" s="114"/>
    </row>
    <row r="1621" spans="2:11" s="98" customFormat="1">
      <c r="B1621" s="99" t="s">
        <v>472</v>
      </c>
      <c r="C1621" s="109">
        <v>45839</v>
      </c>
      <c r="D1621" s="98" t="s">
        <v>393</v>
      </c>
      <c r="E1621" s="103">
        <v>800</v>
      </c>
      <c r="F1621" s="98" t="s">
        <v>240</v>
      </c>
      <c r="G1621" s="98" t="s">
        <v>373</v>
      </c>
      <c r="H1621" s="98" t="s">
        <v>516</v>
      </c>
      <c r="I1621" s="98" t="s">
        <v>268</v>
      </c>
      <c r="K1621" s="114"/>
    </row>
    <row r="1622" spans="2:11" s="98" customFormat="1">
      <c r="B1622" s="99" t="s">
        <v>472</v>
      </c>
      <c r="C1622" s="109">
        <v>45839</v>
      </c>
      <c r="D1622" s="98" t="s">
        <v>393</v>
      </c>
      <c r="E1622" s="103">
        <v>600</v>
      </c>
      <c r="F1622" s="98" t="s">
        <v>240</v>
      </c>
      <c r="G1622" s="98" t="s">
        <v>373</v>
      </c>
      <c r="H1622" s="98" t="s">
        <v>516</v>
      </c>
      <c r="I1622" s="98" t="s">
        <v>268</v>
      </c>
      <c r="K1622" s="114"/>
    </row>
    <row r="1623" spans="2:11" s="98" customFormat="1">
      <c r="B1623" s="99" t="s">
        <v>472</v>
      </c>
      <c r="C1623" s="109">
        <v>45839</v>
      </c>
      <c r="D1623" s="98" t="s">
        <v>393</v>
      </c>
      <c r="E1623" s="103">
        <v>600</v>
      </c>
      <c r="F1623" s="98" t="s">
        <v>240</v>
      </c>
      <c r="G1623" s="98" t="s">
        <v>373</v>
      </c>
      <c r="H1623" s="98" t="s">
        <v>516</v>
      </c>
      <c r="I1623" s="98" t="s">
        <v>268</v>
      </c>
      <c r="K1623" s="114"/>
    </row>
    <row r="1624" spans="2:11" s="98" customFormat="1">
      <c r="B1624" s="99" t="s">
        <v>472</v>
      </c>
      <c r="C1624" s="109">
        <v>45839</v>
      </c>
      <c r="D1624" s="98" t="s">
        <v>392</v>
      </c>
      <c r="E1624" s="103">
        <v>1449</v>
      </c>
      <c r="F1624" s="98" t="s">
        <v>240</v>
      </c>
      <c r="G1624" s="98" t="s">
        <v>373</v>
      </c>
      <c r="H1624" s="98" t="s">
        <v>513</v>
      </c>
      <c r="I1624" s="98" t="s">
        <v>544</v>
      </c>
      <c r="K1624" s="114"/>
    </row>
    <row r="1625" spans="2:11" s="98" customFormat="1">
      <c r="B1625" s="99" t="s">
        <v>472</v>
      </c>
      <c r="C1625" s="109">
        <v>45838.865277777775</v>
      </c>
      <c r="D1625" s="98" t="s">
        <v>286</v>
      </c>
      <c r="E1625" s="103">
        <v>15450</v>
      </c>
      <c r="F1625" s="98" t="s">
        <v>240</v>
      </c>
      <c r="G1625" s="98" t="s">
        <v>373</v>
      </c>
      <c r="H1625" s="98" t="s">
        <v>516</v>
      </c>
      <c r="I1625" s="98" t="s">
        <v>248</v>
      </c>
      <c r="K1625" s="114"/>
    </row>
    <row r="1626" spans="2:11" s="98" customFormat="1">
      <c r="B1626" s="99" t="s">
        <v>472</v>
      </c>
      <c r="C1626" s="109">
        <v>45838.856944444444</v>
      </c>
      <c r="D1626" s="98" t="s">
        <v>287</v>
      </c>
      <c r="E1626" s="103">
        <v>113359</v>
      </c>
      <c r="F1626" s="98" t="s">
        <v>240</v>
      </c>
      <c r="G1626" s="98" t="s">
        <v>373</v>
      </c>
      <c r="H1626" s="98" t="s">
        <v>516</v>
      </c>
      <c r="I1626" s="98" t="s">
        <v>245</v>
      </c>
      <c r="K1626" s="114"/>
    </row>
    <row r="1627" spans="2:11" s="98" customFormat="1">
      <c r="B1627" s="99" t="s">
        <v>472</v>
      </c>
      <c r="C1627" s="109">
        <v>45838.543749999997</v>
      </c>
      <c r="D1627" s="98" t="s">
        <v>19</v>
      </c>
      <c r="E1627" s="103">
        <v>3700</v>
      </c>
      <c r="F1627" s="98" t="s">
        <v>240</v>
      </c>
      <c r="G1627" s="98" t="s">
        <v>374</v>
      </c>
      <c r="H1627" s="98" t="s">
        <v>516</v>
      </c>
      <c r="I1627" s="98" t="s">
        <v>242</v>
      </c>
      <c r="K1627" s="114"/>
    </row>
    <row r="1628" spans="2:11" s="98" customFormat="1">
      <c r="B1628" s="99" t="s">
        <v>472</v>
      </c>
      <c r="C1628" s="109">
        <v>45836.602083333331</v>
      </c>
      <c r="D1628" s="98" t="s">
        <v>0</v>
      </c>
      <c r="E1628" s="103">
        <v>3300</v>
      </c>
      <c r="F1628" s="98" t="s">
        <v>240</v>
      </c>
      <c r="G1628" s="98" t="s">
        <v>374</v>
      </c>
      <c r="H1628" s="98" t="s">
        <v>516</v>
      </c>
      <c r="I1628" s="98" t="s">
        <v>241</v>
      </c>
      <c r="K1628" s="114"/>
    </row>
    <row r="1629" spans="2:11" s="98" customFormat="1">
      <c r="B1629" s="99" t="s">
        <v>472</v>
      </c>
      <c r="C1629" s="109">
        <v>45836.6</v>
      </c>
      <c r="D1629" s="98" t="s">
        <v>1</v>
      </c>
      <c r="E1629" s="103">
        <v>3000</v>
      </c>
      <c r="F1629" s="98" t="s">
        <v>240</v>
      </c>
      <c r="G1629" s="98" t="s">
        <v>374</v>
      </c>
      <c r="H1629" s="98" t="s">
        <v>516</v>
      </c>
      <c r="I1629" s="98" t="s">
        <v>242</v>
      </c>
      <c r="K1629" s="114"/>
    </row>
    <row r="1630" spans="2:11" s="98" customFormat="1">
      <c r="B1630" s="99" t="s">
        <v>472</v>
      </c>
      <c r="C1630" s="109">
        <v>45836.595138888886</v>
      </c>
      <c r="D1630" s="98" t="s">
        <v>2</v>
      </c>
      <c r="E1630" s="103">
        <v>41460</v>
      </c>
      <c r="F1630" s="98" t="s">
        <v>240</v>
      </c>
      <c r="G1630" s="98" t="s">
        <v>374</v>
      </c>
      <c r="H1630" s="98" t="s">
        <v>516</v>
      </c>
      <c r="I1630" s="98" t="s">
        <v>243</v>
      </c>
      <c r="K1630" s="114"/>
    </row>
    <row r="1631" spans="2:11" s="98" customFormat="1">
      <c r="B1631" s="99" t="s">
        <v>472</v>
      </c>
      <c r="C1631" s="109">
        <v>45836.581944444442</v>
      </c>
      <c r="D1631" s="98" t="s">
        <v>3</v>
      </c>
      <c r="E1631" s="103">
        <v>41980</v>
      </c>
      <c r="F1631" s="98" t="s">
        <v>240</v>
      </c>
      <c r="G1631" s="98" t="s">
        <v>374</v>
      </c>
      <c r="H1631" s="98" t="s">
        <v>516</v>
      </c>
      <c r="I1631" s="98" t="s">
        <v>243</v>
      </c>
      <c r="K1631" s="114"/>
    </row>
    <row r="1632" spans="2:11" s="98" customFormat="1">
      <c r="B1632" s="99" t="s">
        <v>472</v>
      </c>
      <c r="C1632" s="109">
        <v>45836.548611111109</v>
      </c>
      <c r="D1632" s="98" t="s">
        <v>4</v>
      </c>
      <c r="E1632" s="103">
        <v>50000</v>
      </c>
      <c r="F1632" s="98" t="s">
        <v>240</v>
      </c>
      <c r="G1632" s="98" t="s">
        <v>374</v>
      </c>
      <c r="H1632" s="98" t="s">
        <v>516</v>
      </c>
      <c r="I1632" s="98" t="s">
        <v>244</v>
      </c>
      <c r="K1632" s="114"/>
    </row>
    <row r="1633" spans="2:11" s="98" customFormat="1">
      <c r="B1633" s="99" t="s">
        <v>472</v>
      </c>
      <c r="C1633" s="109">
        <v>45836.537499999999</v>
      </c>
      <c r="D1633" s="98" t="s">
        <v>5</v>
      </c>
      <c r="E1633" s="103">
        <v>5650</v>
      </c>
      <c r="F1633" s="98" t="s">
        <v>240</v>
      </c>
      <c r="G1633" s="98" t="s">
        <v>374</v>
      </c>
      <c r="H1633" s="98" t="s">
        <v>516</v>
      </c>
      <c r="I1633" s="98" t="s">
        <v>242</v>
      </c>
      <c r="K1633" s="114"/>
    </row>
    <row r="1634" spans="2:11" s="98" customFormat="1">
      <c r="B1634" s="99" t="s">
        <v>472</v>
      </c>
      <c r="C1634" s="109">
        <v>45835.859722222223</v>
      </c>
      <c r="D1634" s="98" t="s">
        <v>6</v>
      </c>
      <c r="E1634" s="103">
        <v>76250</v>
      </c>
      <c r="F1634" s="98" t="s">
        <v>240</v>
      </c>
      <c r="G1634" s="98" t="s">
        <v>374</v>
      </c>
      <c r="H1634" s="98" t="s">
        <v>516</v>
      </c>
      <c r="I1634" s="98" t="s">
        <v>245</v>
      </c>
      <c r="K1634" s="114"/>
    </row>
    <row r="1635" spans="2:11" s="98" customFormat="1">
      <c r="B1635" s="99" t="s">
        <v>472</v>
      </c>
      <c r="C1635" s="109">
        <v>45835.816666666666</v>
      </c>
      <c r="D1635" s="98" t="s">
        <v>7</v>
      </c>
      <c r="E1635" s="103">
        <v>3990</v>
      </c>
      <c r="F1635" s="98" t="s">
        <v>240</v>
      </c>
      <c r="G1635" s="98" t="s">
        <v>374</v>
      </c>
      <c r="H1635" s="98" t="s">
        <v>516</v>
      </c>
      <c r="I1635" s="98" t="s">
        <v>244</v>
      </c>
      <c r="K1635" s="114"/>
    </row>
    <row r="1636" spans="2:11" s="98" customFormat="1">
      <c r="B1636" s="99" t="s">
        <v>472</v>
      </c>
      <c r="C1636" s="109">
        <v>45835.601388888892</v>
      </c>
      <c r="D1636" s="98" t="s">
        <v>8</v>
      </c>
      <c r="E1636" s="103">
        <v>44445</v>
      </c>
      <c r="F1636" s="98" t="s">
        <v>240</v>
      </c>
      <c r="G1636" s="98" t="s">
        <v>374</v>
      </c>
      <c r="H1636" s="98" t="s">
        <v>516</v>
      </c>
      <c r="I1636" s="98" t="s">
        <v>270</v>
      </c>
      <c r="K1636" s="114"/>
    </row>
    <row r="1637" spans="2:11" s="98" customFormat="1">
      <c r="B1637" s="99" t="s">
        <v>472</v>
      </c>
      <c r="C1637" s="109">
        <v>45835.592361111114</v>
      </c>
      <c r="D1637" s="98" t="s">
        <v>9</v>
      </c>
      <c r="E1637" s="103">
        <v>1100</v>
      </c>
      <c r="F1637" s="98" t="s">
        <v>240</v>
      </c>
      <c r="G1637" s="98" t="s">
        <v>374</v>
      </c>
      <c r="H1637" s="98" t="s">
        <v>516</v>
      </c>
      <c r="I1637" s="98" t="s">
        <v>242</v>
      </c>
      <c r="K1637" s="114"/>
    </row>
    <row r="1638" spans="2:11" s="98" customFormat="1">
      <c r="B1638" s="99" t="s">
        <v>472</v>
      </c>
      <c r="C1638" s="109">
        <v>45835.582638888889</v>
      </c>
      <c r="D1638" s="98" t="s">
        <v>9</v>
      </c>
      <c r="E1638" s="103">
        <v>2300</v>
      </c>
      <c r="F1638" s="98" t="s">
        <v>240</v>
      </c>
      <c r="G1638" s="98" t="s">
        <v>374</v>
      </c>
      <c r="H1638" s="98" t="s">
        <v>516</v>
      </c>
      <c r="I1638" s="98" t="s">
        <v>242</v>
      </c>
      <c r="K1638" s="114"/>
    </row>
    <row r="1639" spans="2:11" s="98" customFormat="1">
      <c r="B1639" s="99" t="s">
        <v>472</v>
      </c>
      <c r="C1639" s="109">
        <v>45835.51458333333</v>
      </c>
      <c r="D1639" s="98" t="s">
        <v>10</v>
      </c>
      <c r="E1639" s="103">
        <v>3300</v>
      </c>
      <c r="F1639" s="98" t="s">
        <v>240</v>
      </c>
      <c r="G1639" s="98" t="s">
        <v>374</v>
      </c>
      <c r="H1639" s="98" t="s">
        <v>516</v>
      </c>
      <c r="I1639" s="98" t="s">
        <v>242</v>
      </c>
      <c r="K1639" s="114"/>
    </row>
    <row r="1640" spans="2:11" s="98" customFormat="1">
      <c r="B1640" s="99" t="s">
        <v>472</v>
      </c>
      <c r="C1640" s="109">
        <v>45834.947916666664</v>
      </c>
      <c r="D1640" s="98" t="s">
        <v>11</v>
      </c>
      <c r="E1640" s="103">
        <v>-1323039</v>
      </c>
      <c r="F1640" s="98" t="s">
        <v>239</v>
      </c>
      <c r="I1640" s="98" t="s">
        <v>246</v>
      </c>
      <c r="K1640" s="114"/>
    </row>
    <row r="1641" spans="2:11" s="98" customFormat="1">
      <c r="B1641" s="99" t="s">
        <v>473</v>
      </c>
      <c r="C1641" s="109">
        <v>45834.820138888892</v>
      </c>
      <c r="D1641" s="98" t="s">
        <v>12</v>
      </c>
      <c r="E1641" s="103">
        <v>21595</v>
      </c>
      <c r="F1641" s="98" t="s">
        <v>240</v>
      </c>
      <c r="G1641" s="98" t="s">
        <v>374</v>
      </c>
      <c r="H1641" s="98" t="s">
        <v>516</v>
      </c>
      <c r="I1641" s="98" t="s">
        <v>245</v>
      </c>
      <c r="K1641" s="114"/>
    </row>
    <row r="1642" spans="2:11" s="98" customFormat="1">
      <c r="B1642" s="99" t="s">
        <v>473</v>
      </c>
      <c r="C1642" s="109">
        <v>45834.811111111114</v>
      </c>
      <c r="D1642" s="98" t="s">
        <v>13</v>
      </c>
      <c r="E1642" s="103">
        <v>9099</v>
      </c>
      <c r="F1642" s="98" t="s">
        <v>240</v>
      </c>
      <c r="G1642" s="98" t="s">
        <v>374</v>
      </c>
      <c r="H1642" s="98" t="s">
        <v>516</v>
      </c>
      <c r="I1642" s="98" t="s">
        <v>244</v>
      </c>
      <c r="K1642" s="114"/>
    </row>
    <row r="1643" spans="2:11" s="98" customFormat="1">
      <c r="B1643" s="99" t="s">
        <v>473</v>
      </c>
      <c r="C1643" s="109">
        <v>45834.794444444444</v>
      </c>
      <c r="D1643" s="98" t="s">
        <v>14</v>
      </c>
      <c r="E1643" s="103">
        <v>2300</v>
      </c>
      <c r="F1643" s="98" t="s">
        <v>240</v>
      </c>
      <c r="G1643" s="98" t="s">
        <v>374</v>
      </c>
      <c r="H1643" s="98" t="s">
        <v>516</v>
      </c>
      <c r="I1643" s="98" t="s">
        <v>242</v>
      </c>
      <c r="K1643" s="114"/>
    </row>
    <row r="1644" spans="2:11" s="98" customFormat="1">
      <c r="B1644" s="99" t="s">
        <v>472</v>
      </c>
      <c r="C1644" s="109">
        <v>45834</v>
      </c>
      <c r="D1644" s="98" t="s">
        <v>424</v>
      </c>
      <c r="E1644" s="103">
        <v>5476</v>
      </c>
      <c r="F1644" s="98" t="s">
        <v>240</v>
      </c>
      <c r="G1644" s="98" t="s">
        <v>373</v>
      </c>
      <c r="H1644" s="98" t="s">
        <v>513</v>
      </c>
      <c r="I1644" s="98" t="s">
        <v>370</v>
      </c>
      <c r="K1644" s="114"/>
    </row>
    <row r="1645" spans="2:11" s="98" customFormat="1">
      <c r="B1645" s="99" t="s">
        <v>473</v>
      </c>
      <c r="C1645" s="109">
        <v>45834</v>
      </c>
      <c r="D1645" s="98" t="s">
        <v>424</v>
      </c>
      <c r="E1645" s="103">
        <v>5476</v>
      </c>
      <c r="F1645" s="98" t="s">
        <v>240</v>
      </c>
      <c r="G1645" s="98" t="s">
        <v>373</v>
      </c>
      <c r="H1645" s="98" t="s">
        <v>513</v>
      </c>
      <c r="I1645" s="98" t="s">
        <v>370</v>
      </c>
      <c r="K1645" s="114"/>
    </row>
    <row r="1646" spans="2:11" s="98" customFormat="1">
      <c r="B1646" s="99" t="s">
        <v>473</v>
      </c>
      <c r="C1646" s="109">
        <v>45833.936111111114</v>
      </c>
      <c r="D1646" s="98" t="s">
        <v>15</v>
      </c>
      <c r="E1646" s="103">
        <v>3750</v>
      </c>
      <c r="F1646" s="98" t="s">
        <v>240</v>
      </c>
      <c r="G1646" s="98" t="s">
        <v>374</v>
      </c>
      <c r="H1646" s="98" t="s">
        <v>516</v>
      </c>
      <c r="I1646" s="98" t="s">
        <v>247</v>
      </c>
      <c r="K1646" s="114"/>
    </row>
    <row r="1647" spans="2:11" s="98" customFormat="1">
      <c r="B1647" s="99" t="s">
        <v>473</v>
      </c>
      <c r="C1647" s="109">
        <v>45833.915277777778</v>
      </c>
      <c r="D1647" s="98" t="s">
        <v>16</v>
      </c>
      <c r="E1647" s="103">
        <v>17480</v>
      </c>
      <c r="F1647" s="98" t="s">
        <v>240</v>
      </c>
      <c r="G1647" s="98" t="s">
        <v>374</v>
      </c>
      <c r="H1647" s="98" t="s">
        <v>516</v>
      </c>
      <c r="I1647" s="98" t="s">
        <v>248</v>
      </c>
      <c r="K1647" s="114"/>
    </row>
    <row r="1648" spans="2:11" s="98" customFormat="1">
      <c r="B1648" s="99" t="s">
        <v>473</v>
      </c>
      <c r="C1648" s="109">
        <v>45833.905555555553</v>
      </c>
      <c r="D1648" s="98" t="s">
        <v>17</v>
      </c>
      <c r="E1648" s="103">
        <v>2000</v>
      </c>
      <c r="F1648" s="98" t="s">
        <v>240</v>
      </c>
      <c r="G1648" s="98" t="s">
        <v>374</v>
      </c>
      <c r="H1648" s="98" t="s">
        <v>516</v>
      </c>
      <c r="I1648" s="98" t="s">
        <v>247</v>
      </c>
      <c r="K1648" s="114"/>
    </row>
    <row r="1649" spans="2:11" s="98" customFormat="1">
      <c r="B1649" s="99" t="s">
        <v>473</v>
      </c>
      <c r="C1649" s="109">
        <v>45833.831250000003</v>
      </c>
      <c r="D1649" s="98" t="s">
        <v>18</v>
      </c>
      <c r="E1649" s="103">
        <v>74750</v>
      </c>
      <c r="F1649" s="98" t="s">
        <v>240</v>
      </c>
      <c r="G1649" s="98" t="s">
        <v>374</v>
      </c>
      <c r="H1649" s="98" t="s">
        <v>516</v>
      </c>
      <c r="I1649" s="98" t="s">
        <v>272</v>
      </c>
      <c r="K1649" s="114"/>
    </row>
    <row r="1650" spans="2:11" s="98" customFormat="1">
      <c r="B1650" s="99" t="s">
        <v>473</v>
      </c>
      <c r="C1650" s="109">
        <v>45833.646527777775</v>
      </c>
      <c r="D1650" s="98" t="s">
        <v>10</v>
      </c>
      <c r="E1650" s="103">
        <v>1800</v>
      </c>
      <c r="F1650" s="98" t="s">
        <v>240</v>
      </c>
      <c r="G1650" s="98" t="s">
        <v>374</v>
      </c>
      <c r="H1650" s="98" t="s">
        <v>516</v>
      </c>
      <c r="I1650" s="98" t="s">
        <v>242</v>
      </c>
      <c r="K1650" s="114"/>
    </row>
    <row r="1651" spans="2:11" s="98" customFormat="1">
      <c r="B1651" s="99" t="s">
        <v>473</v>
      </c>
      <c r="C1651" s="109">
        <v>45833.532638888886</v>
      </c>
      <c r="D1651" s="98" t="s">
        <v>19</v>
      </c>
      <c r="E1651" s="103">
        <v>3700</v>
      </c>
      <c r="F1651" s="98" t="s">
        <v>240</v>
      </c>
      <c r="G1651" s="98" t="s">
        <v>374</v>
      </c>
      <c r="H1651" s="98" t="s">
        <v>516</v>
      </c>
      <c r="I1651" s="98" t="s">
        <v>242</v>
      </c>
      <c r="K1651" s="114"/>
    </row>
    <row r="1652" spans="2:11" s="98" customFormat="1">
      <c r="B1652" s="99" t="s">
        <v>473</v>
      </c>
      <c r="C1652" s="109">
        <v>45832.661805555559</v>
      </c>
      <c r="D1652" s="98" t="s">
        <v>20</v>
      </c>
      <c r="E1652" s="103">
        <v>7390</v>
      </c>
      <c r="F1652" s="98" t="s">
        <v>240</v>
      </c>
      <c r="G1652" s="98" t="s">
        <v>374</v>
      </c>
      <c r="H1652" s="98" t="s">
        <v>516</v>
      </c>
      <c r="I1652" s="98" t="s">
        <v>242</v>
      </c>
      <c r="K1652" s="114"/>
    </row>
    <row r="1653" spans="2:11" s="98" customFormat="1">
      <c r="B1653" s="99" t="s">
        <v>473</v>
      </c>
      <c r="C1653" s="109">
        <v>45832.618055555555</v>
      </c>
      <c r="D1653" s="98" t="s">
        <v>21</v>
      </c>
      <c r="E1653" s="103">
        <v>5850</v>
      </c>
      <c r="F1653" s="98" t="s">
        <v>240</v>
      </c>
      <c r="G1653" s="98" t="s">
        <v>374</v>
      </c>
      <c r="H1653" s="98" t="s">
        <v>513</v>
      </c>
      <c r="I1653" s="98" t="s">
        <v>544</v>
      </c>
      <c r="K1653" s="114"/>
    </row>
    <row r="1654" spans="2:11" s="98" customFormat="1">
      <c r="B1654" s="99" t="s">
        <v>473</v>
      </c>
      <c r="C1654" s="109">
        <v>45832.588194444441</v>
      </c>
      <c r="D1654" s="98" t="s">
        <v>22</v>
      </c>
      <c r="E1654" s="103">
        <v>8500</v>
      </c>
      <c r="F1654" s="98" t="s">
        <v>240</v>
      </c>
      <c r="G1654" s="98" t="s">
        <v>374</v>
      </c>
      <c r="H1654" s="98" t="s">
        <v>516</v>
      </c>
      <c r="I1654" s="98" t="s">
        <v>263</v>
      </c>
      <c r="K1654" s="114"/>
    </row>
    <row r="1655" spans="2:11" s="98" customFormat="1">
      <c r="B1655" s="99" t="s">
        <v>473</v>
      </c>
      <c r="C1655" s="109">
        <v>45831.875694444447</v>
      </c>
      <c r="D1655" s="98" t="s">
        <v>23</v>
      </c>
      <c r="E1655" s="103">
        <v>23880</v>
      </c>
      <c r="F1655" s="98" t="s">
        <v>240</v>
      </c>
      <c r="G1655" s="98" t="s">
        <v>374</v>
      </c>
      <c r="H1655" s="98" t="s">
        <v>516</v>
      </c>
      <c r="I1655" s="98" t="s">
        <v>245</v>
      </c>
      <c r="K1655" s="114"/>
    </row>
    <row r="1656" spans="2:11" s="98" customFormat="1">
      <c r="B1656" s="99" t="s">
        <v>473</v>
      </c>
      <c r="C1656" s="109">
        <v>45831.85833333333</v>
      </c>
      <c r="D1656" s="98" t="s">
        <v>22</v>
      </c>
      <c r="E1656" s="103">
        <v>15000</v>
      </c>
      <c r="F1656" s="98" t="s">
        <v>240</v>
      </c>
      <c r="G1656" s="98" t="s">
        <v>374</v>
      </c>
      <c r="H1656" s="98" t="s">
        <v>516</v>
      </c>
      <c r="I1656" s="98" t="s">
        <v>263</v>
      </c>
      <c r="K1656" s="114"/>
    </row>
    <row r="1657" spans="2:11" s="98" customFormat="1">
      <c r="B1657" s="99" t="s">
        <v>473</v>
      </c>
      <c r="C1657" s="109">
        <v>45831.786805555559</v>
      </c>
      <c r="D1657" s="98" t="s">
        <v>24</v>
      </c>
      <c r="E1657" s="103">
        <v>2700</v>
      </c>
      <c r="F1657" s="98" t="s">
        <v>240</v>
      </c>
      <c r="G1657" s="98" t="s">
        <v>374</v>
      </c>
      <c r="H1657" s="98" t="s">
        <v>516</v>
      </c>
      <c r="I1657" s="98" t="s">
        <v>245</v>
      </c>
    </row>
    <row r="1658" spans="2:11" s="98" customFormat="1">
      <c r="B1658" s="99" t="s">
        <v>473</v>
      </c>
      <c r="C1658" s="109">
        <v>45831.777083333334</v>
      </c>
      <c r="D1658" s="98" t="s">
        <v>25</v>
      </c>
      <c r="E1658" s="103">
        <v>5381</v>
      </c>
      <c r="F1658" s="98" t="s">
        <v>240</v>
      </c>
      <c r="G1658" s="98" t="s">
        <v>374</v>
      </c>
      <c r="H1658" s="98" t="s">
        <v>516</v>
      </c>
      <c r="I1658" s="98" t="s">
        <v>270</v>
      </c>
    </row>
    <row r="1659" spans="2:11" s="98" customFormat="1">
      <c r="B1659" s="99" t="s">
        <v>473</v>
      </c>
      <c r="C1659" s="109">
        <v>45831.565972222219</v>
      </c>
      <c r="D1659" s="98" t="s">
        <v>10</v>
      </c>
      <c r="E1659" s="103">
        <v>3700</v>
      </c>
      <c r="F1659" s="98" t="s">
        <v>240</v>
      </c>
      <c r="G1659" s="98" t="s">
        <v>374</v>
      </c>
      <c r="H1659" s="98" t="s">
        <v>516</v>
      </c>
      <c r="I1659" s="98" t="s">
        <v>242</v>
      </c>
    </row>
    <row r="1660" spans="2:11" s="98" customFormat="1">
      <c r="B1660" s="99" t="s">
        <v>473</v>
      </c>
      <c r="C1660" s="109">
        <v>45831</v>
      </c>
      <c r="D1660" s="98" t="s">
        <v>399</v>
      </c>
      <c r="E1660" s="103">
        <v>3265</v>
      </c>
      <c r="F1660" s="98" t="s">
        <v>240</v>
      </c>
      <c r="G1660" s="98" t="s">
        <v>374</v>
      </c>
      <c r="H1660" s="98" t="s">
        <v>513</v>
      </c>
      <c r="I1660" s="98" t="s">
        <v>370</v>
      </c>
    </row>
    <row r="1661" spans="2:11" s="98" customFormat="1">
      <c r="B1661" s="99" t="s">
        <v>473</v>
      </c>
      <c r="C1661" s="109">
        <v>45830.582638888889</v>
      </c>
      <c r="D1661" s="98" t="s">
        <v>6</v>
      </c>
      <c r="E1661" s="103">
        <v>105610</v>
      </c>
      <c r="F1661" s="98" t="s">
        <v>240</v>
      </c>
      <c r="G1661" s="98" t="s">
        <v>374</v>
      </c>
      <c r="H1661" s="98" t="s">
        <v>516</v>
      </c>
      <c r="I1661" s="98" t="s">
        <v>245</v>
      </c>
    </row>
    <row r="1662" spans="2:11" s="98" customFormat="1">
      <c r="B1662" s="99" t="s">
        <v>473</v>
      </c>
      <c r="C1662" s="109">
        <v>45829.960416666669</v>
      </c>
      <c r="D1662" s="98" t="s">
        <v>26</v>
      </c>
      <c r="E1662" s="103">
        <v>8860</v>
      </c>
      <c r="F1662" s="98" t="s">
        <v>240</v>
      </c>
      <c r="G1662" s="98" t="s">
        <v>374</v>
      </c>
      <c r="H1662" s="98" t="s">
        <v>516</v>
      </c>
      <c r="I1662" s="98" t="s">
        <v>248</v>
      </c>
    </row>
    <row r="1663" spans="2:11" s="98" customFormat="1">
      <c r="B1663" s="99" t="s">
        <v>473</v>
      </c>
      <c r="C1663" s="109">
        <v>45829.452777777777</v>
      </c>
      <c r="D1663" s="98" t="s">
        <v>27</v>
      </c>
      <c r="E1663" s="103">
        <v>15000</v>
      </c>
      <c r="F1663" s="98" t="s">
        <v>240</v>
      </c>
      <c r="G1663" s="98" t="s">
        <v>374</v>
      </c>
      <c r="H1663" s="98" t="s">
        <v>516</v>
      </c>
      <c r="I1663" s="98" t="s">
        <v>270</v>
      </c>
    </row>
    <row r="1664" spans="2:11" s="98" customFormat="1">
      <c r="B1664" s="99" t="s">
        <v>473</v>
      </c>
      <c r="C1664" s="109">
        <v>45829.447916666664</v>
      </c>
      <c r="D1664" s="98" t="s">
        <v>22</v>
      </c>
      <c r="E1664" s="103">
        <v>15000</v>
      </c>
      <c r="F1664" s="98" t="s">
        <v>240</v>
      </c>
      <c r="G1664" s="98" t="s">
        <v>374</v>
      </c>
      <c r="H1664" s="98" t="s">
        <v>516</v>
      </c>
      <c r="I1664" s="98" t="s">
        <v>263</v>
      </c>
    </row>
    <row r="1665" spans="2:15" s="98" customFormat="1">
      <c r="B1665" s="99" t="s">
        <v>473</v>
      </c>
      <c r="C1665" s="109">
        <v>45828.836805555555</v>
      </c>
      <c r="D1665" s="98" t="s">
        <v>28</v>
      </c>
      <c r="E1665" s="103">
        <v>30825</v>
      </c>
      <c r="F1665" s="98" t="s">
        <v>240</v>
      </c>
      <c r="G1665" s="98" t="s">
        <v>374</v>
      </c>
      <c r="H1665" s="98" t="s">
        <v>516</v>
      </c>
      <c r="I1665" s="98" t="s">
        <v>245</v>
      </c>
    </row>
    <row r="1666" spans="2:15" s="98" customFormat="1">
      <c r="B1666" s="99" t="s">
        <v>473</v>
      </c>
      <c r="C1666" s="109">
        <v>45828</v>
      </c>
      <c r="D1666" s="98" t="s">
        <v>288</v>
      </c>
      <c r="E1666" s="103">
        <v>2354</v>
      </c>
      <c r="F1666" s="98" t="s">
        <v>240</v>
      </c>
      <c r="G1666" s="98" t="s">
        <v>373</v>
      </c>
      <c r="H1666" s="98" t="s">
        <v>513</v>
      </c>
      <c r="I1666" s="98" t="s">
        <v>370</v>
      </c>
    </row>
    <row r="1667" spans="2:15" s="98" customFormat="1">
      <c r="B1667" s="99" t="s">
        <v>473</v>
      </c>
      <c r="C1667" s="109">
        <v>45828</v>
      </c>
      <c r="D1667" s="98" t="s">
        <v>292</v>
      </c>
      <c r="E1667" s="103">
        <v>4500</v>
      </c>
      <c r="F1667" s="98" t="s">
        <v>240</v>
      </c>
      <c r="G1667" s="98" t="s">
        <v>373</v>
      </c>
      <c r="H1667" s="98" t="s">
        <v>516</v>
      </c>
      <c r="I1667" s="98" t="s">
        <v>242</v>
      </c>
    </row>
    <row r="1668" spans="2:15" s="98" customFormat="1">
      <c r="B1668" s="99" t="s">
        <v>473</v>
      </c>
      <c r="C1668" s="109">
        <v>45828</v>
      </c>
      <c r="D1668" s="98" t="s">
        <v>291</v>
      </c>
      <c r="E1668" s="103">
        <v>2500</v>
      </c>
      <c r="F1668" s="98" t="s">
        <v>240</v>
      </c>
      <c r="G1668" s="98" t="s">
        <v>373</v>
      </c>
      <c r="H1668" s="98" t="s">
        <v>516</v>
      </c>
      <c r="I1668" s="98" t="s">
        <v>247</v>
      </c>
    </row>
    <row r="1669" spans="2:15" s="98" customFormat="1">
      <c r="B1669" s="99" t="s">
        <v>473</v>
      </c>
      <c r="C1669" s="109">
        <v>45828</v>
      </c>
      <c r="D1669" s="98" t="s">
        <v>290</v>
      </c>
      <c r="E1669" s="103">
        <v>12000</v>
      </c>
      <c r="F1669" s="98" t="s">
        <v>240</v>
      </c>
      <c r="G1669" s="98" t="s">
        <v>373</v>
      </c>
      <c r="H1669" s="98" t="s">
        <v>516</v>
      </c>
      <c r="I1669" s="98" t="s">
        <v>247</v>
      </c>
    </row>
    <row r="1670" spans="2:15" s="98" customFormat="1">
      <c r="B1670" s="99" t="s">
        <v>473</v>
      </c>
      <c r="C1670" s="109">
        <v>45828</v>
      </c>
      <c r="D1670" s="98" t="s">
        <v>289</v>
      </c>
      <c r="E1670" s="103">
        <v>49985</v>
      </c>
      <c r="F1670" s="98" t="s">
        <v>240</v>
      </c>
      <c r="G1670" s="98" t="s">
        <v>373</v>
      </c>
      <c r="H1670" s="98" t="s">
        <v>516</v>
      </c>
      <c r="I1670" s="98" t="s">
        <v>264</v>
      </c>
    </row>
    <row r="1671" spans="2:15" s="98" customFormat="1">
      <c r="B1671" s="99" t="s">
        <v>473</v>
      </c>
      <c r="C1671" s="109">
        <v>45828</v>
      </c>
      <c r="D1671" s="98" t="s">
        <v>293</v>
      </c>
      <c r="E1671" s="103">
        <v>54219</v>
      </c>
      <c r="F1671" s="98" t="s">
        <v>240</v>
      </c>
      <c r="G1671" s="98" t="s">
        <v>373</v>
      </c>
      <c r="H1671" s="98" t="s">
        <v>516</v>
      </c>
      <c r="I1671" s="98" t="s">
        <v>248</v>
      </c>
    </row>
    <row r="1672" spans="2:15" s="98" customFormat="1">
      <c r="B1672" s="99" t="s">
        <v>473</v>
      </c>
      <c r="C1672" s="109">
        <v>45828</v>
      </c>
      <c r="D1672" s="98" t="s">
        <v>289</v>
      </c>
      <c r="E1672" s="103">
        <v>21293</v>
      </c>
      <c r="F1672" s="98" t="s">
        <v>240</v>
      </c>
      <c r="G1672" s="98" t="s">
        <v>373</v>
      </c>
      <c r="H1672" s="98" t="s">
        <v>516</v>
      </c>
      <c r="I1672" s="98" t="s">
        <v>243</v>
      </c>
    </row>
    <row r="1673" spans="2:15" s="98" customFormat="1">
      <c r="B1673" s="99" t="s">
        <v>473</v>
      </c>
      <c r="C1673" s="109">
        <v>45827</v>
      </c>
      <c r="D1673" s="98" t="s">
        <v>425</v>
      </c>
      <c r="E1673" s="103">
        <v>826</v>
      </c>
      <c r="F1673" s="98" t="s">
        <v>240</v>
      </c>
      <c r="G1673" s="98" t="s">
        <v>373</v>
      </c>
      <c r="H1673" s="98" t="s">
        <v>513</v>
      </c>
      <c r="I1673" s="98" t="s">
        <v>370</v>
      </c>
    </row>
    <row r="1674" spans="2:15" s="98" customFormat="1">
      <c r="B1674" s="99" t="s">
        <v>473</v>
      </c>
      <c r="C1674" s="109">
        <v>45827</v>
      </c>
      <c r="D1674" s="98" t="s">
        <v>426</v>
      </c>
      <c r="E1674" s="103">
        <v>6866</v>
      </c>
      <c r="F1674" s="98" t="s">
        <v>240</v>
      </c>
      <c r="G1674" s="98" t="s">
        <v>373</v>
      </c>
      <c r="H1674" s="98" t="s">
        <v>513</v>
      </c>
      <c r="I1674" s="98" t="s">
        <v>370</v>
      </c>
    </row>
    <row r="1675" spans="2:15" s="98" customFormat="1">
      <c r="B1675" s="99" t="s">
        <v>473</v>
      </c>
      <c r="C1675" s="109">
        <v>45827</v>
      </c>
      <c r="D1675" s="98" t="s">
        <v>297</v>
      </c>
      <c r="E1675" s="103">
        <v>1090</v>
      </c>
      <c r="F1675" s="98" t="s">
        <v>240</v>
      </c>
      <c r="G1675" s="98" t="s">
        <v>373</v>
      </c>
      <c r="H1675" s="98" t="s">
        <v>516</v>
      </c>
      <c r="I1675" s="98" t="s">
        <v>242</v>
      </c>
    </row>
    <row r="1676" spans="2:15" s="98" customFormat="1">
      <c r="B1676" s="99" t="s">
        <v>473</v>
      </c>
      <c r="C1676" s="109">
        <v>45827</v>
      </c>
      <c r="D1676" s="98" t="s">
        <v>296</v>
      </c>
      <c r="E1676" s="103">
        <v>5500</v>
      </c>
      <c r="F1676" s="98" t="s">
        <v>240</v>
      </c>
      <c r="G1676" s="98" t="s">
        <v>373</v>
      </c>
      <c r="H1676" s="98" t="s">
        <v>516</v>
      </c>
      <c r="I1676" s="98" t="s">
        <v>247</v>
      </c>
    </row>
    <row r="1677" spans="2:15" s="98" customFormat="1">
      <c r="B1677" s="99" t="s">
        <v>473</v>
      </c>
      <c r="C1677" s="109">
        <v>45827</v>
      </c>
      <c r="D1677" s="98" t="s">
        <v>294</v>
      </c>
      <c r="E1677" s="103">
        <v>16100</v>
      </c>
      <c r="F1677" s="98" t="s">
        <v>240</v>
      </c>
      <c r="G1677" s="98" t="s">
        <v>373</v>
      </c>
      <c r="H1677" s="98" t="s">
        <v>516</v>
      </c>
      <c r="I1677" s="98" t="s">
        <v>247</v>
      </c>
    </row>
    <row r="1678" spans="2:15" s="98" customFormat="1">
      <c r="B1678" s="99" t="s">
        <v>473</v>
      </c>
      <c r="C1678" s="109">
        <v>45827</v>
      </c>
      <c r="D1678" s="98" t="s">
        <v>294</v>
      </c>
      <c r="E1678" s="103">
        <v>16100</v>
      </c>
      <c r="F1678" s="98" t="s">
        <v>240</v>
      </c>
      <c r="G1678" s="98" t="s">
        <v>373</v>
      </c>
      <c r="H1678" s="98" t="s">
        <v>516</v>
      </c>
      <c r="I1678" s="98" t="s">
        <v>247</v>
      </c>
      <c r="N1678" s="114"/>
    </row>
    <row r="1679" spans="2:15" s="98" customFormat="1">
      <c r="B1679" s="99" t="s">
        <v>473</v>
      </c>
      <c r="C1679" s="109">
        <v>45827</v>
      </c>
      <c r="D1679" s="98" t="s">
        <v>295</v>
      </c>
      <c r="E1679" s="103">
        <v>12622</v>
      </c>
      <c r="F1679" s="98" t="s">
        <v>240</v>
      </c>
      <c r="G1679" s="98" t="s">
        <v>373</v>
      </c>
      <c r="H1679" s="98" t="s">
        <v>516</v>
      </c>
      <c r="I1679" s="98" t="s">
        <v>248</v>
      </c>
      <c r="J1679" s="103"/>
      <c r="L1679" s="114"/>
      <c r="M1679" s="114"/>
      <c r="N1679" s="114"/>
      <c r="O1679" s="114"/>
    </row>
    <row r="1680" spans="2:15" s="98" customFormat="1">
      <c r="B1680" s="99" t="s">
        <v>473</v>
      </c>
      <c r="C1680" s="109">
        <v>45826</v>
      </c>
      <c r="D1680" s="98" t="s">
        <v>300</v>
      </c>
      <c r="E1680" s="103">
        <v>20000</v>
      </c>
      <c r="F1680" s="98" t="s">
        <v>240</v>
      </c>
      <c r="G1680" s="98" t="s">
        <v>373</v>
      </c>
      <c r="H1680" s="98" t="s">
        <v>516</v>
      </c>
      <c r="I1680" s="98" t="s">
        <v>270</v>
      </c>
      <c r="L1680" s="114"/>
      <c r="M1680" s="114"/>
      <c r="N1680" s="114"/>
      <c r="O1680" s="114"/>
    </row>
    <row r="1681" spans="2:15" s="98" customFormat="1">
      <c r="B1681" s="99" t="s">
        <v>473</v>
      </c>
      <c r="C1681" s="109">
        <v>45826</v>
      </c>
      <c r="D1681" s="98" t="s">
        <v>301</v>
      </c>
      <c r="E1681" s="103">
        <v>4990</v>
      </c>
      <c r="F1681" s="98" t="s">
        <v>240</v>
      </c>
      <c r="G1681" s="98" t="s">
        <v>373</v>
      </c>
      <c r="H1681" s="98" t="s">
        <v>516</v>
      </c>
      <c r="I1681" s="98" t="s">
        <v>244</v>
      </c>
      <c r="M1681" s="114"/>
      <c r="N1681" s="114"/>
      <c r="O1681" s="114"/>
    </row>
    <row r="1682" spans="2:15" s="98" customFormat="1">
      <c r="B1682" s="99" t="s">
        <v>473</v>
      </c>
      <c r="C1682" s="109">
        <v>45826</v>
      </c>
      <c r="D1682" s="98" t="s">
        <v>303</v>
      </c>
      <c r="E1682" s="103">
        <v>6689</v>
      </c>
      <c r="F1682" s="98" t="s">
        <v>240</v>
      </c>
      <c r="G1682" s="98" t="s">
        <v>373</v>
      </c>
      <c r="H1682" s="98" t="s">
        <v>516</v>
      </c>
      <c r="I1682" s="98" t="s">
        <v>244</v>
      </c>
      <c r="M1682" s="114"/>
      <c r="N1682" s="114"/>
      <c r="O1682" s="114"/>
    </row>
    <row r="1683" spans="2:15" s="98" customFormat="1">
      <c r="B1683" s="99" t="s">
        <v>473</v>
      </c>
      <c r="C1683" s="109">
        <v>45826</v>
      </c>
      <c r="D1683" s="98" t="s">
        <v>298</v>
      </c>
      <c r="E1683" s="103">
        <v>6000</v>
      </c>
      <c r="F1683" s="98" t="s">
        <v>240</v>
      </c>
      <c r="G1683" s="98" t="s">
        <v>373</v>
      </c>
      <c r="H1683" s="98" t="s">
        <v>516</v>
      </c>
      <c r="I1683" s="98" t="s">
        <v>247</v>
      </c>
      <c r="M1683" s="114"/>
      <c r="N1683" s="114"/>
      <c r="O1683" s="114"/>
    </row>
    <row r="1684" spans="2:15" s="98" customFormat="1">
      <c r="B1684" s="99" t="s">
        <v>473</v>
      </c>
      <c r="C1684" s="109">
        <v>45826</v>
      </c>
      <c r="D1684" s="98" t="s">
        <v>302</v>
      </c>
      <c r="E1684" s="103">
        <v>1970</v>
      </c>
      <c r="F1684" s="98" t="s">
        <v>240</v>
      </c>
      <c r="G1684" s="98" t="s">
        <v>373</v>
      </c>
      <c r="H1684" s="98" t="s">
        <v>516</v>
      </c>
      <c r="I1684" s="98" t="s">
        <v>245</v>
      </c>
      <c r="M1684" s="114"/>
      <c r="N1684" s="114"/>
      <c r="O1684" s="114"/>
    </row>
    <row r="1685" spans="2:15" s="98" customFormat="1">
      <c r="B1685" s="99" t="s">
        <v>473</v>
      </c>
      <c r="C1685" s="109">
        <v>45826</v>
      </c>
      <c r="D1685" s="98" t="s">
        <v>299</v>
      </c>
      <c r="E1685" s="103">
        <v>4264</v>
      </c>
      <c r="F1685" s="98" t="s">
        <v>240</v>
      </c>
      <c r="G1685" s="98" t="s">
        <v>373</v>
      </c>
      <c r="H1685" s="98" t="s">
        <v>516</v>
      </c>
      <c r="I1685" s="98" t="s">
        <v>245</v>
      </c>
      <c r="M1685" s="114"/>
      <c r="N1685" s="114"/>
      <c r="O1685" s="114"/>
    </row>
    <row r="1686" spans="2:15" s="98" customFormat="1">
      <c r="B1686" s="99" t="s">
        <v>473</v>
      </c>
      <c r="C1686" s="109">
        <v>45825.549305555556</v>
      </c>
      <c r="D1686" s="98" t="s">
        <v>29</v>
      </c>
      <c r="E1686" s="103">
        <v>2690</v>
      </c>
      <c r="F1686" s="98" t="s">
        <v>240</v>
      </c>
      <c r="G1686" s="98" t="s">
        <v>374</v>
      </c>
      <c r="H1686" s="98" t="s">
        <v>516</v>
      </c>
      <c r="I1686" s="98" t="s">
        <v>247</v>
      </c>
      <c r="M1686" s="114"/>
      <c r="N1686" s="114"/>
      <c r="O1686" s="114"/>
    </row>
    <row r="1687" spans="2:15" s="98" customFormat="1">
      <c r="B1687" s="99" t="s">
        <v>473</v>
      </c>
      <c r="C1687" s="109">
        <v>45825.543749999997</v>
      </c>
      <c r="D1687" s="98" t="s">
        <v>30</v>
      </c>
      <c r="E1687" s="103">
        <v>1950</v>
      </c>
      <c r="F1687" s="98" t="s">
        <v>240</v>
      </c>
      <c r="G1687" s="98" t="s">
        <v>374</v>
      </c>
      <c r="H1687" s="98" t="s">
        <v>516</v>
      </c>
      <c r="I1687" s="98" t="s">
        <v>247</v>
      </c>
      <c r="M1687" s="114"/>
      <c r="N1687" s="114"/>
      <c r="O1687" s="114"/>
    </row>
    <row r="1688" spans="2:15" s="98" customFormat="1">
      <c r="B1688" s="99" t="s">
        <v>473</v>
      </c>
      <c r="C1688" s="109">
        <v>45825</v>
      </c>
      <c r="D1688" s="98" t="s">
        <v>305</v>
      </c>
      <c r="E1688" s="103">
        <v>6760</v>
      </c>
      <c r="F1688" s="98" t="s">
        <v>240</v>
      </c>
      <c r="G1688" s="98" t="s">
        <v>373</v>
      </c>
      <c r="H1688" s="98" t="s">
        <v>516</v>
      </c>
      <c r="I1688" s="98" t="s">
        <v>244</v>
      </c>
      <c r="M1688" s="114"/>
      <c r="N1688" s="114"/>
      <c r="O1688" s="114"/>
    </row>
    <row r="1689" spans="2:15" s="98" customFormat="1">
      <c r="B1689" s="99" t="s">
        <v>473</v>
      </c>
      <c r="C1689" s="109">
        <v>45825</v>
      </c>
      <c r="D1689" s="98" t="s">
        <v>306</v>
      </c>
      <c r="E1689" s="103">
        <v>11900</v>
      </c>
      <c r="F1689" s="98" t="s">
        <v>240</v>
      </c>
      <c r="G1689" s="98" t="s">
        <v>373</v>
      </c>
      <c r="H1689" s="98" t="s">
        <v>516</v>
      </c>
      <c r="I1689" s="98" t="s">
        <v>248</v>
      </c>
      <c r="M1689" s="114"/>
      <c r="N1689" s="114"/>
      <c r="O1689" s="114"/>
    </row>
    <row r="1690" spans="2:15" s="98" customFormat="1">
      <c r="B1690" s="99" t="s">
        <v>473</v>
      </c>
      <c r="C1690" s="109">
        <v>45825</v>
      </c>
      <c r="D1690" s="98" t="s">
        <v>304</v>
      </c>
      <c r="E1690" s="103">
        <v>1611</v>
      </c>
      <c r="F1690" s="98" t="s">
        <v>240</v>
      </c>
      <c r="G1690" s="98" t="s">
        <v>373</v>
      </c>
      <c r="H1690" s="98" t="s">
        <v>516</v>
      </c>
      <c r="I1690" s="98" t="s">
        <v>245</v>
      </c>
      <c r="M1690" s="114"/>
      <c r="N1690" s="114"/>
      <c r="O1690" s="114"/>
    </row>
    <row r="1691" spans="2:15" s="98" customFormat="1">
      <c r="B1691" s="99" t="s">
        <v>473</v>
      </c>
      <c r="C1691" s="109">
        <v>45824.688888888886</v>
      </c>
      <c r="D1691" s="98" t="s">
        <v>30</v>
      </c>
      <c r="E1691" s="103">
        <v>3550</v>
      </c>
      <c r="F1691" s="98" t="s">
        <v>240</v>
      </c>
      <c r="G1691" s="98" t="s">
        <v>374</v>
      </c>
      <c r="H1691" s="98" t="s">
        <v>516</v>
      </c>
      <c r="I1691" s="98" t="s">
        <v>247</v>
      </c>
      <c r="M1691" s="114"/>
      <c r="N1691" s="114"/>
      <c r="O1691" s="114"/>
    </row>
    <row r="1692" spans="2:15" s="98" customFormat="1">
      <c r="B1692" s="99" t="s">
        <v>473</v>
      </c>
      <c r="C1692" s="109">
        <v>45824</v>
      </c>
      <c r="D1692" s="98" t="s">
        <v>297</v>
      </c>
      <c r="E1692" s="103">
        <v>20000</v>
      </c>
      <c r="F1692" s="98" t="s">
        <v>240</v>
      </c>
      <c r="G1692" s="98" t="s">
        <v>373</v>
      </c>
      <c r="H1692" s="98" t="s">
        <v>516</v>
      </c>
      <c r="I1692" s="98" t="s">
        <v>270</v>
      </c>
      <c r="N1692" s="114"/>
      <c r="O1692" s="114"/>
    </row>
    <row r="1693" spans="2:15" s="98" customFormat="1">
      <c r="B1693" s="99" t="s">
        <v>473</v>
      </c>
      <c r="C1693" s="109">
        <v>45824</v>
      </c>
      <c r="D1693" s="98" t="s">
        <v>310</v>
      </c>
      <c r="E1693" s="103">
        <v>209676</v>
      </c>
      <c r="F1693" s="98" t="s">
        <v>240</v>
      </c>
      <c r="G1693" s="98" t="s">
        <v>373</v>
      </c>
      <c r="H1693" s="98" t="s">
        <v>513</v>
      </c>
      <c r="I1693" s="98" t="s">
        <v>284</v>
      </c>
      <c r="N1693" s="114"/>
      <c r="O1693" s="114"/>
    </row>
    <row r="1694" spans="2:15" s="98" customFormat="1">
      <c r="B1694" s="99" t="s">
        <v>473</v>
      </c>
      <c r="C1694" s="109">
        <v>45824</v>
      </c>
      <c r="D1694" s="98" t="s">
        <v>308</v>
      </c>
      <c r="E1694" s="103">
        <v>4572</v>
      </c>
      <c r="F1694" s="98" t="s">
        <v>240</v>
      </c>
      <c r="G1694" s="98" t="s">
        <v>373</v>
      </c>
      <c r="H1694" s="98" t="s">
        <v>516</v>
      </c>
      <c r="I1694" s="98" t="s">
        <v>247</v>
      </c>
      <c r="N1694" s="114"/>
      <c r="O1694" s="114"/>
    </row>
    <row r="1695" spans="2:15" s="98" customFormat="1">
      <c r="B1695" s="99" t="s">
        <v>473</v>
      </c>
      <c r="C1695" s="109">
        <v>45824</v>
      </c>
      <c r="D1695" s="98" t="s">
        <v>309</v>
      </c>
      <c r="E1695" s="103">
        <v>6990</v>
      </c>
      <c r="F1695" s="98" t="s">
        <v>240</v>
      </c>
      <c r="G1695" s="98" t="s">
        <v>373</v>
      </c>
      <c r="H1695" s="98" t="s">
        <v>516</v>
      </c>
      <c r="I1695" s="98" t="s">
        <v>247</v>
      </c>
      <c r="N1695" s="114"/>
      <c r="O1695" s="114"/>
    </row>
    <row r="1696" spans="2:15" s="98" customFormat="1">
      <c r="B1696" s="99" t="s">
        <v>473</v>
      </c>
      <c r="C1696" s="109">
        <v>45824</v>
      </c>
      <c r="D1696" s="98" t="s">
        <v>307</v>
      </c>
      <c r="E1696" s="103">
        <v>1490</v>
      </c>
      <c r="F1696" s="98" t="s">
        <v>240</v>
      </c>
      <c r="G1696" s="98" t="s">
        <v>373</v>
      </c>
      <c r="H1696" s="98" t="s">
        <v>516</v>
      </c>
      <c r="I1696" s="98" t="s">
        <v>245</v>
      </c>
      <c r="N1696" s="114"/>
      <c r="O1696" s="114"/>
    </row>
    <row r="1697" spans="2:15" s="98" customFormat="1">
      <c r="B1697" s="99" t="s">
        <v>473</v>
      </c>
      <c r="C1697" s="109">
        <v>45823.827777777777</v>
      </c>
      <c r="D1697" s="98" t="s">
        <v>31</v>
      </c>
      <c r="E1697" s="103">
        <v>10000</v>
      </c>
      <c r="F1697" s="98" t="s">
        <v>240</v>
      </c>
      <c r="G1697" s="98" t="s">
        <v>374</v>
      </c>
      <c r="H1697" s="98" t="s">
        <v>516</v>
      </c>
      <c r="I1697" s="98" t="s">
        <v>242</v>
      </c>
      <c r="O1697" s="114"/>
    </row>
    <row r="1698" spans="2:15" s="98" customFormat="1">
      <c r="B1698" s="99" t="s">
        <v>473</v>
      </c>
      <c r="C1698" s="109">
        <v>45823.792361111111</v>
      </c>
      <c r="D1698" s="98" t="s">
        <v>32</v>
      </c>
      <c r="E1698" s="103">
        <v>31115</v>
      </c>
      <c r="F1698" s="98" t="s">
        <v>240</v>
      </c>
      <c r="G1698" s="98" t="s">
        <v>374</v>
      </c>
      <c r="H1698" s="98" t="s">
        <v>516</v>
      </c>
      <c r="I1698" s="98" t="s">
        <v>245</v>
      </c>
    </row>
    <row r="1699" spans="2:15" s="98" customFormat="1">
      <c r="B1699" s="99" t="s">
        <v>473</v>
      </c>
      <c r="C1699" s="109">
        <v>45823.756944444445</v>
      </c>
      <c r="D1699" s="98" t="s">
        <v>33</v>
      </c>
      <c r="E1699" s="103">
        <v>42990</v>
      </c>
      <c r="F1699" s="98" t="s">
        <v>240</v>
      </c>
      <c r="G1699" s="98" t="s">
        <v>374</v>
      </c>
      <c r="H1699" s="98" t="s">
        <v>516</v>
      </c>
      <c r="I1699" s="98" t="s">
        <v>268</v>
      </c>
    </row>
    <row r="1700" spans="2:15" s="98" customFormat="1">
      <c r="B1700" s="99" t="s">
        <v>473</v>
      </c>
      <c r="C1700" s="109">
        <v>45823</v>
      </c>
      <c r="D1700" s="98" t="s">
        <v>313</v>
      </c>
      <c r="E1700" s="103">
        <v>400</v>
      </c>
      <c r="F1700" s="98" t="s">
        <v>240</v>
      </c>
      <c r="G1700" s="98" t="s">
        <v>373</v>
      </c>
      <c r="H1700" s="98" t="s">
        <v>516</v>
      </c>
      <c r="I1700" s="98" t="s">
        <v>241</v>
      </c>
    </row>
    <row r="1701" spans="2:15" s="98" customFormat="1">
      <c r="B1701" s="99" t="s">
        <v>473</v>
      </c>
      <c r="C1701" s="109">
        <v>45823</v>
      </c>
      <c r="D1701" s="98" t="s">
        <v>305</v>
      </c>
      <c r="E1701" s="103">
        <v>11120</v>
      </c>
      <c r="F1701" s="98" t="s">
        <v>240</v>
      </c>
      <c r="G1701" s="98" t="s">
        <v>373</v>
      </c>
      <c r="H1701" s="98" t="s">
        <v>516</v>
      </c>
      <c r="I1701" s="98" t="s">
        <v>244</v>
      </c>
    </row>
    <row r="1702" spans="2:15" s="98" customFormat="1">
      <c r="B1702" s="99" t="s">
        <v>473</v>
      </c>
      <c r="C1702" s="109">
        <v>45823</v>
      </c>
      <c r="D1702" s="98" t="s">
        <v>312</v>
      </c>
      <c r="E1702" s="103">
        <v>25381</v>
      </c>
      <c r="F1702" s="98" t="s">
        <v>240</v>
      </c>
      <c r="G1702" s="98" t="s">
        <v>373</v>
      </c>
      <c r="H1702" s="98" t="s">
        <v>516</v>
      </c>
      <c r="I1702" s="98" t="s">
        <v>243</v>
      </c>
    </row>
    <row r="1703" spans="2:15" s="98" customFormat="1">
      <c r="B1703" s="99" t="s">
        <v>473</v>
      </c>
      <c r="C1703" s="109">
        <v>45823</v>
      </c>
      <c r="D1703" s="98" t="s">
        <v>311</v>
      </c>
      <c r="E1703" s="103">
        <v>32820</v>
      </c>
      <c r="F1703" s="98" t="s">
        <v>240</v>
      </c>
      <c r="G1703" s="98" t="s">
        <v>373</v>
      </c>
      <c r="H1703" s="98" t="s">
        <v>516</v>
      </c>
      <c r="I1703" s="98" t="s">
        <v>243</v>
      </c>
    </row>
    <row r="1704" spans="2:15" s="98" customFormat="1">
      <c r="B1704" s="99" t="s">
        <v>473</v>
      </c>
      <c r="C1704" s="109">
        <v>45822.85</v>
      </c>
      <c r="D1704" s="98" t="s">
        <v>34</v>
      </c>
      <c r="E1704" s="103">
        <v>4340</v>
      </c>
      <c r="F1704" s="98" t="s">
        <v>240</v>
      </c>
      <c r="G1704" s="98" t="s">
        <v>374</v>
      </c>
      <c r="H1704" s="98" t="s">
        <v>516</v>
      </c>
      <c r="I1704" s="98" t="s">
        <v>241</v>
      </c>
    </row>
    <row r="1705" spans="2:15" s="98" customFormat="1">
      <c r="B1705" s="99" t="s">
        <v>473</v>
      </c>
      <c r="C1705" s="109">
        <v>45822.843055555553</v>
      </c>
      <c r="D1705" s="98" t="s">
        <v>35</v>
      </c>
      <c r="E1705" s="103">
        <v>4500</v>
      </c>
      <c r="F1705" s="98" t="s">
        <v>240</v>
      </c>
      <c r="G1705" s="98" t="s">
        <v>374</v>
      </c>
      <c r="H1705" s="98" t="s">
        <v>516</v>
      </c>
      <c r="I1705" s="98" t="s">
        <v>247</v>
      </c>
    </row>
    <row r="1706" spans="2:15" s="98" customFormat="1">
      <c r="B1706" s="99" t="s">
        <v>473</v>
      </c>
      <c r="C1706" s="109">
        <v>45822.834722222222</v>
      </c>
      <c r="D1706" s="98" t="s">
        <v>36</v>
      </c>
      <c r="E1706" s="103">
        <v>25740</v>
      </c>
      <c r="F1706" s="98" t="s">
        <v>240</v>
      </c>
      <c r="G1706" s="98" t="s">
        <v>374</v>
      </c>
      <c r="H1706" s="98" t="s">
        <v>516</v>
      </c>
      <c r="I1706" s="98" t="s">
        <v>248</v>
      </c>
    </row>
    <row r="1707" spans="2:15" s="98" customFormat="1">
      <c r="B1707" s="99" t="s">
        <v>473</v>
      </c>
      <c r="C1707" s="109">
        <v>45822.765972222223</v>
      </c>
      <c r="D1707" s="98" t="s">
        <v>37</v>
      </c>
      <c r="E1707" s="103">
        <v>5800</v>
      </c>
      <c r="F1707" s="98" t="s">
        <v>240</v>
      </c>
      <c r="G1707" s="98" t="s">
        <v>374</v>
      </c>
      <c r="H1707" s="98" t="s">
        <v>516</v>
      </c>
      <c r="I1707" s="98" t="s">
        <v>248</v>
      </c>
    </row>
    <row r="1708" spans="2:15" s="98" customFormat="1">
      <c r="B1708" s="99" t="s">
        <v>473</v>
      </c>
      <c r="C1708" s="109">
        <v>45822.73541666667</v>
      </c>
      <c r="D1708" s="98" t="s">
        <v>38</v>
      </c>
      <c r="E1708" s="103">
        <v>19920</v>
      </c>
      <c r="F1708" s="98" t="s">
        <v>240</v>
      </c>
      <c r="G1708" s="98" t="s">
        <v>374</v>
      </c>
      <c r="H1708" s="98" t="s">
        <v>516</v>
      </c>
      <c r="I1708" s="98" t="s">
        <v>243</v>
      </c>
    </row>
    <row r="1709" spans="2:15" s="98" customFormat="1">
      <c r="B1709" s="99" t="s">
        <v>473</v>
      </c>
      <c r="C1709" s="109">
        <v>45822.729166666664</v>
      </c>
      <c r="D1709" s="98" t="s">
        <v>39</v>
      </c>
      <c r="E1709" s="103">
        <v>33383</v>
      </c>
      <c r="F1709" s="98" t="s">
        <v>240</v>
      </c>
      <c r="G1709" s="98" t="s">
        <v>374</v>
      </c>
      <c r="H1709" s="98" t="s">
        <v>516</v>
      </c>
      <c r="I1709" s="98" t="s">
        <v>243</v>
      </c>
    </row>
    <row r="1710" spans="2:15" s="98" customFormat="1">
      <c r="B1710" s="99" t="s">
        <v>473</v>
      </c>
      <c r="C1710" s="109">
        <v>45822.495833333334</v>
      </c>
      <c r="D1710" s="98" t="s">
        <v>40</v>
      </c>
      <c r="E1710" s="103">
        <v>35000</v>
      </c>
      <c r="F1710" s="98" t="s">
        <v>240</v>
      </c>
      <c r="G1710" s="98" t="s">
        <v>374</v>
      </c>
      <c r="H1710" s="98" t="s">
        <v>516</v>
      </c>
      <c r="I1710" s="98" t="s">
        <v>263</v>
      </c>
    </row>
    <row r="1711" spans="2:15" s="98" customFormat="1">
      <c r="B1711" s="99" t="s">
        <v>473</v>
      </c>
      <c r="C1711" s="109">
        <v>45821.914583333331</v>
      </c>
      <c r="D1711" s="98" t="s">
        <v>41</v>
      </c>
      <c r="E1711" s="103">
        <v>6830</v>
      </c>
      <c r="F1711" s="98" t="s">
        <v>240</v>
      </c>
      <c r="G1711" s="98" t="s">
        <v>374</v>
      </c>
      <c r="H1711" s="98" t="s">
        <v>516</v>
      </c>
      <c r="I1711" s="98" t="s">
        <v>247</v>
      </c>
    </row>
    <row r="1712" spans="2:15" s="98" customFormat="1">
      <c r="B1712" s="99" t="s">
        <v>473</v>
      </c>
      <c r="C1712" s="109">
        <v>45821.678472222222</v>
      </c>
      <c r="D1712" s="98" t="s">
        <v>42</v>
      </c>
      <c r="E1712" s="103">
        <v>4318</v>
      </c>
      <c r="F1712" s="98" t="s">
        <v>240</v>
      </c>
      <c r="G1712" s="98" t="s">
        <v>374</v>
      </c>
      <c r="H1712" s="98" t="s">
        <v>516</v>
      </c>
      <c r="I1712" s="98" t="s">
        <v>251</v>
      </c>
    </row>
    <row r="1713" spans="2:9" s="98" customFormat="1">
      <c r="B1713" s="99" t="s">
        <v>473</v>
      </c>
      <c r="C1713" s="109">
        <v>45821.599999999999</v>
      </c>
      <c r="D1713" s="98" t="s">
        <v>43</v>
      </c>
      <c r="E1713" s="103">
        <v>20200</v>
      </c>
      <c r="F1713" s="98" t="s">
        <v>240</v>
      </c>
      <c r="G1713" s="98" t="s">
        <v>374</v>
      </c>
      <c r="H1713" s="98" t="s">
        <v>516</v>
      </c>
      <c r="I1713" s="98" t="s">
        <v>245</v>
      </c>
    </row>
    <row r="1714" spans="2:9" s="98" customFormat="1">
      <c r="B1714" s="99" t="s">
        <v>473</v>
      </c>
      <c r="C1714" s="109">
        <v>45821.594444444447</v>
      </c>
      <c r="D1714" s="98" t="s">
        <v>44</v>
      </c>
      <c r="E1714" s="103">
        <v>3990</v>
      </c>
      <c r="F1714" s="98" t="s">
        <v>240</v>
      </c>
      <c r="G1714" s="98" t="s">
        <v>374</v>
      </c>
      <c r="H1714" s="98" t="s">
        <v>516</v>
      </c>
      <c r="I1714" s="98" t="s">
        <v>241</v>
      </c>
    </row>
    <row r="1715" spans="2:9" s="98" customFormat="1">
      <c r="B1715" s="99" t="s">
        <v>473</v>
      </c>
      <c r="C1715" s="109">
        <v>45821</v>
      </c>
      <c r="D1715" s="98" t="s">
        <v>315</v>
      </c>
      <c r="E1715" s="103">
        <v>750</v>
      </c>
      <c r="F1715" s="98" t="s">
        <v>240</v>
      </c>
      <c r="G1715" s="98" t="s">
        <v>373</v>
      </c>
      <c r="H1715" s="98" t="s">
        <v>516</v>
      </c>
      <c r="I1715" s="98" t="s">
        <v>241</v>
      </c>
    </row>
    <row r="1716" spans="2:9" s="98" customFormat="1">
      <c r="B1716" s="99" t="s">
        <v>473</v>
      </c>
      <c r="C1716" s="109">
        <v>45821</v>
      </c>
      <c r="D1716" s="98" t="s">
        <v>314</v>
      </c>
      <c r="E1716" s="103">
        <v>39832</v>
      </c>
      <c r="F1716" s="98" t="s">
        <v>240</v>
      </c>
      <c r="G1716" s="98" t="s">
        <v>373</v>
      </c>
      <c r="H1716" s="98" t="s">
        <v>516</v>
      </c>
      <c r="I1716" s="98" t="s">
        <v>244</v>
      </c>
    </row>
    <row r="1717" spans="2:9" s="98" customFormat="1">
      <c r="B1717" s="99" t="s">
        <v>473</v>
      </c>
      <c r="C1717" s="109">
        <v>45821</v>
      </c>
      <c r="D1717" s="98" t="s">
        <v>316</v>
      </c>
      <c r="E1717" s="103">
        <v>18779</v>
      </c>
      <c r="F1717" s="98" t="s">
        <v>240</v>
      </c>
      <c r="G1717" s="98" t="s">
        <v>373</v>
      </c>
      <c r="H1717" s="98" t="s">
        <v>516</v>
      </c>
      <c r="I1717" s="98" t="s">
        <v>245</v>
      </c>
    </row>
    <row r="1718" spans="2:9" s="98" customFormat="1">
      <c r="B1718" s="99" t="s">
        <v>473</v>
      </c>
      <c r="C1718" s="109">
        <v>45820.449305555558</v>
      </c>
      <c r="D1718" s="98" t="s">
        <v>9</v>
      </c>
      <c r="E1718" s="103">
        <v>27020</v>
      </c>
      <c r="F1718" s="98" t="s">
        <v>240</v>
      </c>
      <c r="G1718" s="98" t="s">
        <v>374</v>
      </c>
      <c r="H1718" s="98" t="s">
        <v>516</v>
      </c>
      <c r="I1718" s="98" t="s">
        <v>270</v>
      </c>
    </row>
    <row r="1719" spans="2:9" s="98" customFormat="1">
      <c r="B1719" s="99" t="s">
        <v>473</v>
      </c>
      <c r="C1719" s="109">
        <v>45820</v>
      </c>
      <c r="D1719" s="98" t="s">
        <v>305</v>
      </c>
      <c r="E1719" s="103">
        <v>8980</v>
      </c>
      <c r="F1719" s="98" t="s">
        <v>240</v>
      </c>
      <c r="G1719" s="98" t="s">
        <v>373</v>
      </c>
      <c r="H1719" s="98" t="s">
        <v>516</v>
      </c>
      <c r="I1719" s="98" t="s">
        <v>244</v>
      </c>
    </row>
    <row r="1720" spans="2:9" s="98" customFormat="1">
      <c r="B1720" s="99" t="s">
        <v>473</v>
      </c>
      <c r="C1720" s="109">
        <v>45820</v>
      </c>
      <c r="D1720" s="98" t="s">
        <v>319</v>
      </c>
      <c r="E1720" s="103">
        <v>26950</v>
      </c>
      <c r="F1720" s="98" t="s">
        <v>240</v>
      </c>
      <c r="G1720" s="98" t="s">
        <v>373</v>
      </c>
      <c r="H1720" s="98" t="s">
        <v>516</v>
      </c>
      <c r="I1720" s="98" t="s">
        <v>272</v>
      </c>
    </row>
    <row r="1721" spans="2:9" s="98" customFormat="1">
      <c r="B1721" s="99" t="s">
        <v>473</v>
      </c>
      <c r="C1721" s="109">
        <v>45820</v>
      </c>
      <c r="D1721" s="98" t="s">
        <v>291</v>
      </c>
      <c r="E1721" s="103">
        <v>2000</v>
      </c>
      <c r="F1721" s="98" t="s">
        <v>240</v>
      </c>
      <c r="G1721" s="98" t="s">
        <v>373</v>
      </c>
      <c r="H1721" s="98" t="s">
        <v>516</v>
      </c>
      <c r="I1721" s="98" t="s">
        <v>247</v>
      </c>
    </row>
    <row r="1722" spans="2:9" s="98" customFormat="1">
      <c r="B1722" s="99" t="s">
        <v>473</v>
      </c>
      <c r="C1722" s="109">
        <v>45820</v>
      </c>
      <c r="D1722" s="98" t="s">
        <v>306</v>
      </c>
      <c r="E1722" s="103">
        <v>10648</v>
      </c>
      <c r="F1722" s="98" t="s">
        <v>240</v>
      </c>
      <c r="G1722" s="98" t="s">
        <v>373</v>
      </c>
      <c r="H1722" s="98" t="s">
        <v>516</v>
      </c>
      <c r="I1722" s="98" t="s">
        <v>248</v>
      </c>
    </row>
    <row r="1723" spans="2:9" s="98" customFormat="1">
      <c r="B1723" s="99" t="s">
        <v>473</v>
      </c>
      <c r="C1723" s="109">
        <v>45820</v>
      </c>
      <c r="D1723" s="98" t="s">
        <v>317</v>
      </c>
      <c r="E1723" s="103">
        <v>20240</v>
      </c>
      <c r="F1723" s="98" t="s">
        <v>240</v>
      </c>
      <c r="G1723" s="98" t="s">
        <v>373</v>
      </c>
      <c r="H1723" s="98" t="s">
        <v>516</v>
      </c>
      <c r="I1723" s="98" t="s">
        <v>248</v>
      </c>
    </row>
    <row r="1724" spans="2:9" s="98" customFormat="1">
      <c r="B1724" s="99" t="s">
        <v>473</v>
      </c>
      <c r="C1724" s="109">
        <v>45820</v>
      </c>
      <c r="D1724" s="98" t="s">
        <v>320</v>
      </c>
      <c r="E1724" s="103">
        <v>26960</v>
      </c>
      <c r="F1724" s="98" t="s">
        <v>240</v>
      </c>
      <c r="G1724" s="98" t="s">
        <v>373</v>
      </c>
      <c r="H1724" s="98" t="s">
        <v>516</v>
      </c>
      <c r="I1724" s="98" t="s">
        <v>248</v>
      </c>
    </row>
    <row r="1725" spans="2:9" s="98" customFormat="1">
      <c r="B1725" s="99" t="s">
        <v>473</v>
      </c>
      <c r="C1725" s="109">
        <v>45820</v>
      </c>
      <c r="D1725" s="98" t="s">
        <v>322</v>
      </c>
      <c r="E1725" s="103">
        <v>17980</v>
      </c>
      <c r="F1725" s="98" t="s">
        <v>240</v>
      </c>
      <c r="G1725" s="98" t="s">
        <v>373</v>
      </c>
      <c r="H1725" s="98" t="s">
        <v>516</v>
      </c>
      <c r="I1725" s="98" t="s">
        <v>243</v>
      </c>
    </row>
    <row r="1726" spans="2:9" s="98" customFormat="1">
      <c r="B1726" s="99" t="s">
        <v>473</v>
      </c>
      <c r="C1726" s="109">
        <v>45820</v>
      </c>
      <c r="D1726" s="98" t="s">
        <v>318</v>
      </c>
      <c r="E1726" s="103">
        <v>6030</v>
      </c>
      <c r="F1726" s="98" t="s">
        <v>240</v>
      </c>
      <c r="G1726" s="98" t="s">
        <v>373</v>
      </c>
      <c r="H1726" s="98" t="s">
        <v>516</v>
      </c>
      <c r="I1726" s="98" t="s">
        <v>245</v>
      </c>
    </row>
    <row r="1727" spans="2:9" s="98" customFormat="1">
      <c r="B1727" s="99" t="s">
        <v>473</v>
      </c>
      <c r="C1727" s="109">
        <v>45820</v>
      </c>
      <c r="D1727" s="98" t="s">
        <v>321</v>
      </c>
      <c r="E1727" s="103">
        <v>200028</v>
      </c>
      <c r="F1727" s="98" t="s">
        <v>240</v>
      </c>
      <c r="G1727" s="98" t="s">
        <v>373</v>
      </c>
      <c r="H1727" s="98" t="s">
        <v>516</v>
      </c>
      <c r="I1727" s="98" t="s">
        <v>245</v>
      </c>
    </row>
    <row r="1728" spans="2:9" s="98" customFormat="1">
      <c r="B1728" s="99" t="s">
        <v>473</v>
      </c>
      <c r="C1728" s="109">
        <v>45819.904861111114</v>
      </c>
      <c r="D1728" s="98" t="s">
        <v>45</v>
      </c>
      <c r="E1728" s="103">
        <v>-2413613</v>
      </c>
      <c r="F1728" s="98" t="s">
        <v>239</v>
      </c>
      <c r="I1728" s="98" t="s">
        <v>397</v>
      </c>
    </row>
    <row r="1729" spans="2:9" s="98" customFormat="1">
      <c r="B1729" s="99" t="s">
        <v>473</v>
      </c>
      <c r="C1729" s="109">
        <v>45819.881249999999</v>
      </c>
      <c r="D1729" s="98" t="s">
        <v>28</v>
      </c>
      <c r="E1729" s="103">
        <v>16050</v>
      </c>
      <c r="F1729" s="98" t="s">
        <v>240</v>
      </c>
      <c r="G1729" s="98" t="s">
        <v>374</v>
      </c>
      <c r="H1729" s="98" t="s">
        <v>516</v>
      </c>
      <c r="I1729" s="98" t="s">
        <v>245</v>
      </c>
    </row>
    <row r="1730" spans="2:9" s="98" customFormat="1">
      <c r="B1730" s="99" t="s">
        <v>473</v>
      </c>
      <c r="C1730" s="109">
        <v>45819.55972222222</v>
      </c>
      <c r="D1730" s="98" t="s">
        <v>30</v>
      </c>
      <c r="E1730" s="103">
        <v>4300</v>
      </c>
      <c r="F1730" s="98" t="s">
        <v>240</v>
      </c>
      <c r="G1730" s="98" t="s">
        <v>374</v>
      </c>
      <c r="H1730" s="98" t="s">
        <v>516</v>
      </c>
      <c r="I1730" s="98" t="s">
        <v>247</v>
      </c>
    </row>
    <row r="1731" spans="2:9" s="98" customFormat="1">
      <c r="B1731" s="99" t="s">
        <v>473</v>
      </c>
      <c r="C1731" s="109">
        <v>45819.556944444441</v>
      </c>
      <c r="D1731" s="98" t="s">
        <v>46</v>
      </c>
      <c r="E1731" s="103">
        <v>1300</v>
      </c>
      <c r="F1731" s="98" t="s">
        <v>240</v>
      </c>
      <c r="G1731" s="98" t="s">
        <v>374</v>
      </c>
      <c r="H1731" s="98" t="s">
        <v>516</v>
      </c>
      <c r="I1731" s="98" t="s">
        <v>247</v>
      </c>
    </row>
    <row r="1732" spans="2:9" s="98" customFormat="1">
      <c r="B1732" s="99" t="s">
        <v>473</v>
      </c>
      <c r="C1732" s="109">
        <v>45819.527777777781</v>
      </c>
      <c r="D1732" s="98" t="s">
        <v>46</v>
      </c>
      <c r="E1732" s="103">
        <v>1000</v>
      </c>
      <c r="F1732" s="98" t="s">
        <v>240</v>
      </c>
      <c r="G1732" s="98" t="s">
        <v>374</v>
      </c>
      <c r="H1732" s="98" t="s">
        <v>516</v>
      </c>
      <c r="I1732" s="98" t="s">
        <v>247</v>
      </c>
    </row>
    <row r="1733" spans="2:9" s="98" customFormat="1">
      <c r="B1733" s="99" t="s">
        <v>473</v>
      </c>
      <c r="C1733" s="109">
        <v>45819</v>
      </c>
      <c r="D1733" s="98" t="s">
        <v>427</v>
      </c>
      <c r="E1733" s="103">
        <v>100</v>
      </c>
      <c r="F1733" s="98" t="s">
        <v>240</v>
      </c>
      <c r="G1733" s="98" t="s">
        <v>373</v>
      </c>
      <c r="H1733" s="98" t="s">
        <v>516</v>
      </c>
      <c r="I1733" s="98" t="s">
        <v>241</v>
      </c>
    </row>
    <row r="1734" spans="2:9" s="98" customFormat="1">
      <c r="B1734" s="99" t="s">
        <v>473</v>
      </c>
      <c r="C1734" s="109">
        <v>45818.494444444441</v>
      </c>
      <c r="D1734" s="98" t="s">
        <v>28</v>
      </c>
      <c r="E1734" s="103">
        <v>29810</v>
      </c>
      <c r="F1734" s="98" t="s">
        <v>240</v>
      </c>
      <c r="G1734" s="98" t="s">
        <v>374</v>
      </c>
      <c r="H1734" s="98" t="s">
        <v>516</v>
      </c>
      <c r="I1734" s="98" t="s">
        <v>245</v>
      </c>
    </row>
    <row r="1735" spans="2:9" s="98" customFormat="1">
      <c r="B1735" s="99" t="s">
        <v>473</v>
      </c>
      <c r="C1735" s="109">
        <v>45817.88958333333</v>
      </c>
      <c r="D1735" s="98" t="s">
        <v>28</v>
      </c>
      <c r="E1735" s="103">
        <v>1290</v>
      </c>
      <c r="F1735" s="98" t="s">
        <v>240</v>
      </c>
      <c r="G1735" s="98" t="s">
        <v>374</v>
      </c>
      <c r="H1735" s="98" t="s">
        <v>516</v>
      </c>
      <c r="I1735" s="98" t="s">
        <v>245</v>
      </c>
    </row>
    <row r="1736" spans="2:9" s="98" customFormat="1">
      <c r="B1736" s="99" t="s">
        <v>473</v>
      </c>
      <c r="C1736" s="109">
        <v>45817.771527777775</v>
      </c>
      <c r="D1736" s="98" t="s">
        <v>47</v>
      </c>
      <c r="E1736" s="103">
        <v>1790</v>
      </c>
      <c r="F1736" s="98" t="s">
        <v>240</v>
      </c>
      <c r="G1736" s="98" t="s">
        <v>374</v>
      </c>
      <c r="H1736" s="98" t="s">
        <v>513</v>
      </c>
      <c r="I1736" s="98" t="s">
        <v>268</v>
      </c>
    </row>
    <row r="1737" spans="2:9" s="98" customFormat="1">
      <c r="B1737" s="99" t="s">
        <v>473</v>
      </c>
      <c r="C1737" s="109">
        <v>45816.893750000003</v>
      </c>
      <c r="D1737" s="98" t="s">
        <v>48</v>
      </c>
      <c r="E1737" s="103">
        <v>9500</v>
      </c>
      <c r="F1737" s="98" t="s">
        <v>240</v>
      </c>
      <c r="G1737" s="98" t="s">
        <v>374</v>
      </c>
      <c r="H1737" s="98" t="s">
        <v>516</v>
      </c>
      <c r="I1737" s="98" t="s">
        <v>273</v>
      </c>
    </row>
    <row r="1738" spans="2:9" s="98" customFormat="1">
      <c r="B1738" s="99" t="s">
        <v>473</v>
      </c>
      <c r="C1738" s="109">
        <v>45816.791666666664</v>
      </c>
      <c r="D1738" s="98" t="s">
        <v>49</v>
      </c>
      <c r="E1738" s="103">
        <v>41846</v>
      </c>
      <c r="F1738" s="98" t="s">
        <v>240</v>
      </c>
      <c r="G1738" s="98" t="s">
        <v>374</v>
      </c>
      <c r="H1738" s="98" t="s">
        <v>516</v>
      </c>
      <c r="I1738" s="98" t="s">
        <v>245</v>
      </c>
    </row>
    <row r="1739" spans="2:9" s="98" customFormat="1">
      <c r="B1739" s="99" t="s">
        <v>473</v>
      </c>
      <c r="C1739" s="109">
        <v>45816.688888888886</v>
      </c>
      <c r="D1739" s="98" t="s">
        <v>50</v>
      </c>
      <c r="E1739" s="103">
        <v>10000</v>
      </c>
      <c r="F1739" s="98" t="s">
        <v>240</v>
      </c>
      <c r="G1739" s="98" t="s">
        <v>374</v>
      </c>
      <c r="H1739" s="98" t="s">
        <v>516</v>
      </c>
      <c r="I1739" s="98" t="s">
        <v>270</v>
      </c>
    </row>
    <row r="1740" spans="2:9" s="98" customFormat="1">
      <c r="B1740" s="99" t="s">
        <v>473</v>
      </c>
      <c r="C1740" s="109">
        <v>45816.394444444442</v>
      </c>
      <c r="D1740" s="98" t="s">
        <v>51</v>
      </c>
      <c r="E1740" s="103">
        <v>15000</v>
      </c>
      <c r="F1740" s="98" t="s">
        <v>240</v>
      </c>
      <c r="G1740" s="98" t="s">
        <v>374</v>
      </c>
      <c r="H1740" s="98" t="s">
        <v>516</v>
      </c>
      <c r="I1740" s="98" t="s">
        <v>270</v>
      </c>
    </row>
    <row r="1741" spans="2:9" s="98" customFormat="1">
      <c r="B1741" s="99" t="s">
        <v>473</v>
      </c>
      <c r="C1741" s="109">
        <v>45815.949305555558</v>
      </c>
      <c r="D1741" s="98" t="s">
        <v>52</v>
      </c>
      <c r="E1741" s="103">
        <v>8480</v>
      </c>
      <c r="F1741" s="98" t="s">
        <v>240</v>
      </c>
      <c r="G1741" s="98" t="s">
        <v>374</v>
      </c>
      <c r="H1741" s="98" t="s">
        <v>516</v>
      </c>
      <c r="I1741" s="98" t="s">
        <v>248</v>
      </c>
    </row>
    <row r="1742" spans="2:9" s="98" customFormat="1">
      <c r="B1742" s="99" t="s">
        <v>473</v>
      </c>
      <c r="C1742" s="109">
        <v>45815.947222222225</v>
      </c>
      <c r="D1742" s="98" t="s">
        <v>53</v>
      </c>
      <c r="E1742" s="103">
        <v>7650</v>
      </c>
      <c r="F1742" s="98" t="s">
        <v>240</v>
      </c>
      <c r="G1742" s="98" t="s">
        <v>374</v>
      </c>
      <c r="H1742" s="98" t="s">
        <v>516</v>
      </c>
      <c r="I1742" s="98" t="s">
        <v>247</v>
      </c>
    </row>
    <row r="1743" spans="2:9" s="98" customFormat="1">
      <c r="B1743" s="99" t="s">
        <v>473</v>
      </c>
      <c r="C1743" s="109">
        <v>45815.828472222223</v>
      </c>
      <c r="D1743" s="98" t="s">
        <v>54</v>
      </c>
      <c r="E1743" s="103">
        <v>4500</v>
      </c>
      <c r="F1743" s="98" t="s">
        <v>240</v>
      </c>
      <c r="G1743" s="98" t="s">
        <v>374</v>
      </c>
      <c r="H1743" s="98" t="s">
        <v>516</v>
      </c>
      <c r="I1743" s="98" t="s">
        <v>247</v>
      </c>
    </row>
    <row r="1744" spans="2:9" s="98" customFormat="1">
      <c r="B1744" s="99" t="s">
        <v>473</v>
      </c>
      <c r="C1744" s="109">
        <v>45815.711805555555</v>
      </c>
      <c r="D1744" s="98" t="s">
        <v>55</v>
      </c>
      <c r="E1744" s="103">
        <v>20000</v>
      </c>
      <c r="F1744" s="98" t="s">
        <v>240</v>
      </c>
      <c r="G1744" s="98" t="s">
        <v>374</v>
      </c>
      <c r="H1744" s="98" t="s">
        <v>516</v>
      </c>
      <c r="I1744" s="98" t="s">
        <v>251</v>
      </c>
    </row>
    <row r="1745" spans="2:9" s="98" customFormat="1">
      <c r="B1745" s="99" t="s">
        <v>473</v>
      </c>
      <c r="C1745" s="109">
        <v>45815.590277777781</v>
      </c>
      <c r="D1745" s="98" t="s">
        <v>27</v>
      </c>
      <c r="E1745" s="103">
        <v>10000</v>
      </c>
      <c r="F1745" s="98" t="s">
        <v>240</v>
      </c>
      <c r="G1745" s="98" t="s">
        <v>374</v>
      </c>
      <c r="H1745" s="98" t="s">
        <v>516</v>
      </c>
      <c r="I1745" s="98" t="s">
        <v>270</v>
      </c>
    </row>
    <row r="1746" spans="2:9" s="98" customFormat="1">
      <c r="B1746" s="99" t="s">
        <v>473</v>
      </c>
      <c r="C1746" s="109">
        <v>45814.795138888891</v>
      </c>
      <c r="D1746" s="98" t="s">
        <v>56</v>
      </c>
      <c r="E1746" s="103">
        <v>2400</v>
      </c>
      <c r="F1746" s="98" t="s">
        <v>240</v>
      </c>
      <c r="G1746" s="98" t="s">
        <v>374</v>
      </c>
      <c r="H1746" s="98" t="s">
        <v>516</v>
      </c>
      <c r="I1746" s="98" t="s">
        <v>247</v>
      </c>
    </row>
    <row r="1747" spans="2:9" s="98" customFormat="1">
      <c r="B1747" s="99" t="s">
        <v>473</v>
      </c>
      <c r="C1747" s="109">
        <v>45814.789583333331</v>
      </c>
      <c r="D1747" s="98" t="s">
        <v>56</v>
      </c>
      <c r="E1747" s="103">
        <v>2050</v>
      </c>
      <c r="F1747" s="98" t="s">
        <v>240</v>
      </c>
      <c r="G1747" s="98" t="s">
        <v>374</v>
      </c>
      <c r="H1747" s="98" t="s">
        <v>516</v>
      </c>
      <c r="I1747" s="98" t="s">
        <v>247</v>
      </c>
    </row>
    <row r="1748" spans="2:9" s="98" customFormat="1">
      <c r="B1748" s="99" t="s">
        <v>473</v>
      </c>
      <c r="C1748" s="109">
        <v>45814.594444444447</v>
      </c>
      <c r="D1748" s="98" t="s">
        <v>57</v>
      </c>
      <c r="E1748" s="103">
        <v>2800</v>
      </c>
      <c r="F1748" s="98" t="s">
        <v>240</v>
      </c>
      <c r="G1748" s="98" t="s">
        <v>374</v>
      </c>
      <c r="H1748" s="98" t="s">
        <v>516</v>
      </c>
      <c r="I1748" s="98" t="s">
        <v>241</v>
      </c>
    </row>
    <row r="1749" spans="2:9" s="98" customFormat="1">
      <c r="B1749" s="99" t="s">
        <v>473</v>
      </c>
      <c r="C1749" s="109">
        <v>45814.572916666664</v>
      </c>
      <c r="D1749" s="98" t="s">
        <v>58</v>
      </c>
      <c r="E1749" s="103">
        <v>15000</v>
      </c>
      <c r="F1749" s="98" t="s">
        <v>240</v>
      </c>
      <c r="G1749" s="98" t="s">
        <v>374</v>
      </c>
      <c r="H1749" s="98" t="s">
        <v>516</v>
      </c>
      <c r="I1749" s="98" t="s">
        <v>263</v>
      </c>
    </row>
    <row r="1750" spans="2:9" s="98" customFormat="1">
      <c r="B1750" s="99" t="s">
        <v>473</v>
      </c>
      <c r="C1750" s="109">
        <v>45814.361805555556</v>
      </c>
      <c r="D1750" s="98" t="s">
        <v>48</v>
      </c>
      <c r="E1750" s="103">
        <v>110000</v>
      </c>
      <c r="F1750" s="98" t="s">
        <v>240</v>
      </c>
      <c r="G1750" s="98" t="s">
        <v>374</v>
      </c>
      <c r="H1750" s="98" t="s">
        <v>513</v>
      </c>
      <c r="I1750" s="98" t="s">
        <v>273</v>
      </c>
    </row>
    <row r="1751" spans="2:9" s="98" customFormat="1">
      <c r="B1751" s="99" t="s">
        <v>473</v>
      </c>
      <c r="C1751" s="109">
        <v>45814.36041666667</v>
      </c>
      <c r="D1751" s="98" t="s">
        <v>59</v>
      </c>
      <c r="E1751" s="103">
        <v>-118601</v>
      </c>
      <c r="F1751" s="98" t="s">
        <v>239</v>
      </c>
      <c r="I1751" s="98" t="s">
        <v>398</v>
      </c>
    </row>
    <row r="1752" spans="2:9" s="98" customFormat="1">
      <c r="B1752" s="99" t="s">
        <v>473</v>
      </c>
      <c r="C1752" s="109">
        <v>45814.351388888892</v>
      </c>
      <c r="D1752" s="98" t="s">
        <v>59</v>
      </c>
      <c r="E1752" s="103">
        <v>-200000</v>
      </c>
      <c r="F1752" s="98" t="s">
        <v>239</v>
      </c>
      <c r="I1752" s="98" t="s">
        <v>398</v>
      </c>
    </row>
    <row r="1753" spans="2:9" s="98" customFormat="1">
      <c r="B1753" s="99" t="s">
        <v>473</v>
      </c>
      <c r="C1753" s="109">
        <v>45813.991666666669</v>
      </c>
      <c r="D1753" s="98" t="s">
        <v>60</v>
      </c>
      <c r="E1753" s="103">
        <v>17470</v>
      </c>
      <c r="F1753" s="98" t="s">
        <v>240</v>
      </c>
      <c r="G1753" s="98" t="s">
        <v>374</v>
      </c>
      <c r="H1753" s="98" t="s">
        <v>516</v>
      </c>
      <c r="I1753" s="98" t="s">
        <v>242</v>
      </c>
    </row>
    <row r="1754" spans="2:9" s="98" customFormat="1">
      <c r="B1754" s="99" t="s">
        <v>473</v>
      </c>
      <c r="C1754" s="109">
        <v>45813.80972222222</v>
      </c>
      <c r="D1754" s="98" t="s">
        <v>61</v>
      </c>
      <c r="E1754" s="103">
        <v>2500</v>
      </c>
      <c r="F1754" s="98" t="s">
        <v>240</v>
      </c>
      <c r="G1754" s="98" t="s">
        <v>374</v>
      </c>
      <c r="H1754" s="98" t="s">
        <v>516</v>
      </c>
      <c r="I1754" s="98" t="s">
        <v>242</v>
      </c>
    </row>
    <row r="1755" spans="2:9" s="98" customFormat="1">
      <c r="B1755" s="99" t="s">
        <v>473</v>
      </c>
      <c r="C1755" s="109">
        <v>45813.65347222222</v>
      </c>
      <c r="D1755" s="98" t="s">
        <v>46</v>
      </c>
      <c r="E1755" s="103">
        <v>2300</v>
      </c>
      <c r="F1755" s="98" t="s">
        <v>240</v>
      </c>
      <c r="G1755" s="98" t="s">
        <v>374</v>
      </c>
      <c r="H1755" s="98" t="s">
        <v>516</v>
      </c>
      <c r="I1755" s="98" t="s">
        <v>247</v>
      </c>
    </row>
    <row r="1756" spans="2:9" s="98" customFormat="1">
      <c r="B1756" s="99" t="s">
        <v>473</v>
      </c>
      <c r="C1756" s="109">
        <v>45813.556944444441</v>
      </c>
      <c r="D1756" s="98" t="s">
        <v>46</v>
      </c>
      <c r="E1756" s="103">
        <v>1000</v>
      </c>
      <c r="F1756" s="98" t="s">
        <v>240</v>
      </c>
      <c r="G1756" s="98" t="s">
        <v>374</v>
      </c>
      <c r="H1756" s="98" t="s">
        <v>516</v>
      </c>
      <c r="I1756" s="98" t="s">
        <v>247</v>
      </c>
    </row>
    <row r="1757" spans="2:9" s="98" customFormat="1">
      <c r="B1757" s="99" t="s">
        <v>473</v>
      </c>
      <c r="C1757" s="109">
        <v>45813.507638888892</v>
      </c>
      <c r="D1757" s="98" t="s">
        <v>62</v>
      </c>
      <c r="E1757" s="103">
        <v>1800</v>
      </c>
      <c r="F1757" s="98" t="s">
        <v>240</v>
      </c>
      <c r="G1757" s="98" t="s">
        <v>374</v>
      </c>
      <c r="H1757" s="98" t="s">
        <v>516</v>
      </c>
      <c r="I1757" s="98" t="s">
        <v>247</v>
      </c>
    </row>
    <row r="1758" spans="2:9" s="98" customFormat="1">
      <c r="B1758" s="99" t="s">
        <v>473</v>
      </c>
      <c r="C1758" s="109">
        <v>45813.501388888886</v>
      </c>
      <c r="D1758" s="98" t="s">
        <v>63</v>
      </c>
      <c r="E1758" s="103">
        <v>3500</v>
      </c>
      <c r="F1758" s="98" t="s">
        <v>240</v>
      </c>
      <c r="G1758" s="98" t="s">
        <v>374</v>
      </c>
      <c r="H1758" s="98" t="s">
        <v>516</v>
      </c>
      <c r="I1758" s="98" t="s">
        <v>241</v>
      </c>
    </row>
    <row r="1759" spans="2:9" s="98" customFormat="1">
      <c r="B1759" s="99" t="s">
        <v>473</v>
      </c>
      <c r="C1759" s="109">
        <v>45813.495833333334</v>
      </c>
      <c r="D1759" s="98" t="s">
        <v>64</v>
      </c>
      <c r="E1759" s="103">
        <v>10000</v>
      </c>
      <c r="F1759" s="98" t="s">
        <v>240</v>
      </c>
      <c r="G1759" s="98" t="s">
        <v>374</v>
      </c>
      <c r="H1759" s="98" t="s">
        <v>516</v>
      </c>
      <c r="I1759" s="98" t="s">
        <v>263</v>
      </c>
    </row>
    <row r="1760" spans="2:9" s="98" customFormat="1">
      <c r="B1760" s="99" t="s">
        <v>473</v>
      </c>
      <c r="C1760" s="109">
        <v>45813.495138888888</v>
      </c>
      <c r="D1760" s="98" t="s">
        <v>64</v>
      </c>
      <c r="E1760" s="103">
        <v>10000</v>
      </c>
      <c r="F1760" s="98" t="s">
        <v>240</v>
      </c>
      <c r="G1760" s="98" t="s">
        <v>374</v>
      </c>
      <c r="H1760" s="98" t="s">
        <v>516</v>
      </c>
      <c r="I1760" s="98" t="s">
        <v>263</v>
      </c>
    </row>
    <row r="1761" spans="2:9" s="98" customFormat="1">
      <c r="B1761" s="99" t="s">
        <v>473</v>
      </c>
      <c r="C1761" s="109">
        <v>45813.493750000001</v>
      </c>
      <c r="D1761" s="98" t="s">
        <v>28</v>
      </c>
      <c r="E1761" s="103">
        <v>18029</v>
      </c>
      <c r="F1761" s="98" t="s">
        <v>240</v>
      </c>
      <c r="G1761" s="98" t="s">
        <v>374</v>
      </c>
      <c r="H1761" s="98" t="s">
        <v>516</v>
      </c>
      <c r="I1761" s="98" t="s">
        <v>245</v>
      </c>
    </row>
    <row r="1762" spans="2:9" s="98" customFormat="1">
      <c r="B1762" s="99" t="s">
        <v>473</v>
      </c>
      <c r="C1762" s="109">
        <v>45813.339583333334</v>
      </c>
      <c r="D1762" s="98" t="s">
        <v>30</v>
      </c>
      <c r="E1762" s="103">
        <v>1800</v>
      </c>
      <c r="F1762" s="98" t="s">
        <v>240</v>
      </c>
      <c r="G1762" s="98" t="s">
        <v>374</v>
      </c>
      <c r="H1762" s="98" t="s">
        <v>516</v>
      </c>
      <c r="I1762" s="98" t="s">
        <v>247</v>
      </c>
    </row>
    <row r="1763" spans="2:9" s="98" customFormat="1">
      <c r="B1763" s="99" t="s">
        <v>473</v>
      </c>
      <c r="C1763" s="109">
        <v>45813</v>
      </c>
      <c r="D1763" s="98" t="s">
        <v>402</v>
      </c>
      <c r="E1763" s="103">
        <v>703000</v>
      </c>
      <c r="F1763" s="98" t="s">
        <v>240</v>
      </c>
      <c r="G1763" s="98" t="s">
        <v>374</v>
      </c>
      <c r="H1763" s="98" t="s">
        <v>513</v>
      </c>
      <c r="I1763" s="98" t="s">
        <v>252</v>
      </c>
    </row>
    <row r="1764" spans="2:9" s="98" customFormat="1">
      <c r="B1764" s="99" t="s">
        <v>473</v>
      </c>
      <c r="C1764" s="109">
        <v>45813</v>
      </c>
      <c r="D1764" s="98" t="s">
        <v>400</v>
      </c>
      <c r="E1764" s="103">
        <v>229970</v>
      </c>
      <c r="F1764" s="98" t="s">
        <v>240</v>
      </c>
      <c r="G1764" s="98" t="s">
        <v>374</v>
      </c>
      <c r="H1764" s="98" t="s">
        <v>513</v>
      </c>
      <c r="I1764" s="98" t="s">
        <v>251</v>
      </c>
    </row>
    <row r="1765" spans="2:9" s="98" customFormat="1">
      <c r="B1765" s="99" t="s">
        <v>473</v>
      </c>
      <c r="C1765" s="109">
        <v>45813</v>
      </c>
      <c r="D1765" s="98" t="s">
        <v>401</v>
      </c>
      <c r="E1765" s="103">
        <v>11500</v>
      </c>
      <c r="F1765" s="98" t="s">
        <v>240</v>
      </c>
      <c r="G1765" s="98" t="s">
        <v>374</v>
      </c>
      <c r="H1765" s="98" t="s">
        <v>516</v>
      </c>
      <c r="I1765" s="98" t="s">
        <v>248</v>
      </c>
    </row>
    <row r="1766" spans="2:9" s="98" customFormat="1">
      <c r="B1766" s="99" t="s">
        <v>473</v>
      </c>
      <c r="C1766" s="109">
        <v>45813</v>
      </c>
      <c r="D1766" s="98" t="s">
        <v>401</v>
      </c>
      <c r="E1766" s="103">
        <v>22500</v>
      </c>
      <c r="F1766" s="98" t="s">
        <v>240</v>
      </c>
      <c r="G1766" s="98" t="s">
        <v>374</v>
      </c>
      <c r="H1766" s="98" t="s">
        <v>516</v>
      </c>
      <c r="I1766" s="98" t="s">
        <v>248</v>
      </c>
    </row>
    <row r="1767" spans="2:9" s="98" customFormat="1">
      <c r="B1767" s="99" t="s">
        <v>473</v>
      </c>
      <c r="C1767" s="109">
        <v>45812.527083333334</v>
      </c>
      <c r="D1767" s="98" t="s">
        <v>30</v>
      </c>
      <c r="E1767" s="103">
        <v>3270</v>
      </c>
      <c r="F1767" s="98" t="s">
        <v>240</v>
      </c>
      <c r="G1767" s="98" t="s">
        <v>374</v>
      </c>
      <c r="H1767" s="98" t="s">
        <v>516</v>
      </c>
      <c r="I1767" s="98" t="s">
        <v>247</v>
      </c>
    </row>
    <row r="1768" spans="2:9" s="98" customFormat="1">
      <c r="B1768" s="99" t="s">
        <v>473</v>
      </c>
      <c r="C1768" s="109">
        <v>45812.493750000001</v>
      </c>
      <c r="D1768" s="98" t="s">
        <v>65</v>
      </c>
      <c r="E1768" s="103">
        <v>2240</v>
      </c>
      <c r="F1768" s="98" t="s">
        <v>240</v>
      </c>
      <c r="G1768" s="98" t="s">
        <v>374</v>
      </c>
      <c r="H1768" s="98" t="s">
        <v>516</v>
      </c>
      <c r="I1768" s="98" t="s">
        <v>247</v>
      </c>
    </row>
    <row r="1769" spans="2:9" s="98" customFormat="1">
      <c r="B1769" s="99" t="s">
        <v>473</v>
      </c>
      <c r="C1769" s="109">
        <v>45811.818055555559</v>
      </c>
      <c r="D1769" s="98" t="s">
        <v>56</v>
      </c>
      <c r="E1769" s="103">
        <v>1180</v>
      </c>
      <c r="F1769" s="98" t="s">
        <v>240</v>
      </c>
      <c r="G1769" s="98" t="s">
        <v>374</v>
      </c>
      <c r="H1769" s="98" t="s">
        <v>516</v>
      </c>
      <c r="I1769" s="98" t="s">
        <v>247</v>
      </c>
    </row>
    <row r="1770" spans="2:9" s="98" customFormat="1">
      <c r="B1770" s="99" t="s">
        <v>473</v>
      </c>
      <c r="C1770" s="109">
        <v>45811.813888888886</v>
      </c>
      <c r="D1770" s="98" t="s">
        <v>56</v>
      </c>
      <c r="E1770" s="103">
        <v>2300</v>
      </c>
      <c r="F1770" s="98" t="s">
        <v>240</v>
      </c>
      <c r="G1770" s="98" t="s">
        <v>374</v>
      </c>
      <c r="H1770" s="98" t="s">
        <v>516</v>
      </c>
      <c r="I1770" s="98" t="s">
        <v>247</v>
      </c>
    </row>
    <row r="1771" spans="2:9" s="98" customFormat="1">
      <c r="B1771" s="99" t="s">
        <v>473</v>
      </c>
      <c r="C1771" s="109">
        <v>45811.741666666669</v>
      </c>
      <c r="D1771" s="98" t="s">
        <v>66</v>
      </c>
      <c r="E1771" s="103">
        <v>28904</v>
      </c>
      <c r="F1771" s="98" t="s">
        <v>240</v>
      </c>
      <c r="G1771" s="98" t="s">
        <v>374</v>
      </c>
      <c r="H1771" s="98" t="s">
        <v>516</v>
      </c>
      <c r="I1771" s="98" t="s">
        <v>244</v>
      </c>
    </row>
    <row r="1772" spans="2:9" s="98" customFormat="1">
      <c r="B1772" s="99" t="s">
        <v>473</v>
      </c>
      <c r="C1772" s="109">
        <v>45811.65</v>
      </c>
      <c r="D1772" s="98" t="s">
        <v>46</v>
      </c>
      <c r="E1772" s="103">
        <v>2000</v>
      </c>
      <c r="F1772" s="98" t="s">
        <v>240</v>
      </c>
      <c r="G1772" s="98" t="s">
        <v>374</v>
      </c>
      <c r="H1772" s="98" t="s">
        <v>516</v>
      </c>
      <c r="I1772" s="98" t="s">
        <v>247</v>
      </c>
    </row>
    <row r="1773" spans="2:9" s="98" customFormat="1">
      <c r="B1773" s="99" t="s">
        <v>473</v>
      </c>
      <c r="C1773" s="109">
        <v>45811.524305555555</v>
      </c>
      <c r="D1773" s="98" t="s">
        <v>46</v>
      </c>
      <c r="E1773" s="103">
        <v>1000</v>
      </c>
      <c r="F1773" s="98" t="s">
        <v>240</v>
      </c>
      <c r="G1773" s="98" t="s">
        <v>374</v>
      </c>
      <c r="H1773" s="98" t="s">
        <v>516</v>
      </c>
      <c r="I1773" s="98" t="s">
        <v>247</v>
      </c>
    </row>
    <row r="1774" spans="2:9" s="98" customFormat="1">
      <c r="B1774" s="99" t="s">
        <v>473</v>
      </c>
      <c r="C1774" s="109">
        <v>45811.496527777781</v>
      </c>
      <c r="D1774" s="98" t="s">
        <v>28</v>
      </c>
      <c r="E1774" s="103">
        <v>18283</v>
      </c>
      <c r="F1774" s="98" t="s">
        <v>240</v>
      </c>
      <c r="G1774" s="98" t="s">
        <v>374</v>
      </c>
      <c r="H1774" s="98" t="s">
        <v>516</v>
      </c>
      <c r="I1774" s="98" t="s">
        <v>245</v>
      </c>
    </row>
    <row r="1775" spans="2:9" s="98" customFormat="1">
      <c r="B1775" s="99" t="s">
        <v>473</v>
      </c>
      <c r="C1775" s="109">
        <v>45811.420138888891</v>
      </c>
      <c r="D1775" s="98" t="s">
        <v>27</v>
      </c>
      <c r="E1775" s="103">
        <v>15000</v>
      </c>
      <c r="F1775" s="98" t="s">
        <v>240</v>
      </c>
      <c r="G1775" s="98" t="s">
        <v>374</v>
      </c>
      <c r="H1775" s="98" t="s">
        <v>516</v>
      </c>
      <c r="I1775" s="98" t="s">
        <v>270</v>
      </c>
    </row>
    <row r="1776" spans="2:9" s="98" customFormat="1">
      <c r="B1776" s="99" t="s">
        <v>473</v>
      </c>
      <c r="C1776" s="109">
        <v>45811.345833333333</v>
      </c>
      <c r="D1776" s="98" t="s">
        <v>30</v>
      </c>
      <c r="E1776" s="103">
        <v>3000</v>
      </c>
      <c r="F1776" s="98" t="s">
        <v>240</v>
      </c>
      <c r="G1776" s="98" t="s">
        <v>374</v>
      </c>
      <c r="H1776" s="98" t="s">
        <v>516</v>
      </c>
      <c r="I1776" s="98" t="s">
        <v>247</v>
      </c>
    </row>
    <row r="1777" spans="2:9" s="98" customFormat="1">
      <c r="B1777" s="99" t="s">
        <v>473</v>
      </c>
      <c r="C1777" s="109">
        <v>45811</v>
      </c>
      <c r="D1777" s="98" t="s">
        <v>403</v>
      </c>
      <c r="E1777" s="103">
        <v>1449</v>
      </c>
      <c r="F1777" s="98" t="s">
        <v>240</v>
      </c>
      <c r="G1777" s="98" t="s">
        <v>374</v>
      </c>
      <c r="H1777" s="98" t="s">
        <v>516</v>
      </c>
      <c r="I1777" s="98" t="s">
        <v>248</v>
      </c>
    </row>
    <row r="1778" spans="2:9" s="98" customFormat="1">
      <c r="B1778" s="99" t="s">
        <v>473</v>
      </c>
      <c r="C1778" s="109">
        <v>45811</v>
      </c>
      <c r="D1778" s="98" t="s">
        <v>404</v>
      </c>
      <c r="E1778" s="103">
        <v>12980</v>
      </c>
      <c r="F1778" s="98" t="s">
        <v>240</v>
      </c>
      <c r="G1778" s="98" t="s">
        <v>374</v>
      </c>
      <c r="H1778" s="98" t="s">
        <v>516</v>
      </c>
      <c r="I1778" s="98" t="s">
        <v>248</v>
      </c>
    </row>
    <row r="1779" spans="2:9" s="98" customFormat="1">
      <c r="B1779" s="99" t="s">
        <v>473</v>
      </c>
      <c r="C1779" s="109">
        <v>45810.788194444445</v>
      </c>
      <c r="D1779" s="98" t="s">
        <v>67</v>
      </c>
      <c r="E1779" s="103">
        <v>1590</v>
      </c>
      <c r="F1779" s="98" t="s">
        <v>240</v>
      </c>
      <c r="G1779" s="98" t="s">
        <v>374</v>
      </c>
      <c r="H1779" s="98" t="s">
        <v>516</v>
      </c>
      <c r="I1779" s="98" t="s">
        <v>247</v>
      </c>
    </row>
    <row r="1780" spans="2:9" s="98" customFormat="1">
      <c r="B1780" s="99" t="s">
        <v>473</v>
      </c>
      <c r="C1780" s="109">
        <v>45810.786111111112</v>
      </c>
      <c r="D1780" s="98" t="s">
        <v>68</v>
      </c>
      <c r="E1780" s="103">
        <v>2980</v>
      </c>
      <c r="F1780" s="98" t="s">
        <v>240</v>
      </c>
      <c r="G1780" s="98" t="s">
        <v>374</v>
      </c>
      <c r="H1780" s="98" t="s">
        <v>516</v>
      </c>
      <c r="I1780" s="98" t="s">
        <v>251</v>
      </c>
    </row>
    <row r="1781" spans="2:9" s="98" customFormat="1">
      <c r="B1781" s="99" t="s">
        <v>473</v>
      </c>
      <c r="C1781" s="109">
        <v>45810.652083333334</v>
      </c>
      <c r="D1781" s="98" t="s">
        <v>46</v>
      </c>
      <c r="E1781" s="103">
        <v>3300</v>
      </c>
      <c r="F1781" s="98" t="s">
        <v>240</v>
      </c>
      <c r="G1781" s="98" t="s">
        <v>374</v>
      </c>
      <c r="H1781" s="98" t="s">
        <v>516</v>
      </c>
      <c r="I1781" s="98" t="s">
        <v>247</v>
      </c>
    </row>
    <row r="1782" spans="2:9" s="98" customFormat="1">
      <c r="B1782" s="99" t="s">
        <v>473</v>
      </c>
      <c r="C1782" s="109">
        <v>45810.636111111111</v>
      </c>
      <c r="D1782" s="98" t="s">
        <v>275</v>
      </c>
      <c r="E1782" s="103">
        <v>19120</v>
      </c>
      <c r="F1782" s="98" t="s">
        <v>240</v>
      </c>
      <c r="G1782" s="98" t="s">
        <v>374</v>
      </c>
      <c r="H1782" s="98" t="s">
        <v>513</v>
      </c>
      <c r="I1782" s="98" t="s">
        <v>271</v>
      </c>
    </row>
    <row r="1783" spans="2:9" s="98" customFormat="1">
      <c r="B1783" s="99" t="s">
        <v>473</v>
      </c>
      <c r="C1783" s="109">
        <v>45810.636111111111</v>
      </c>
      <c r="D1783" s="98" t="s">
        <v>277</v>
      </c>
      <c r="E1783" s="103">
        <v>71281</v>
      </c>
      <c r="F1783" s="98" t="s">
        <v>240</v>
      </c>
      <c r="G1783" s="98" t="s">
        <v>374</v>
      </c>
      <c r="H1783" s="98" t="s">
        <v>513</v>
      </c>
      <c r="I1783" s="98" t="s">
        <v>271</v>
      </c>
    </row>
    <row r="1784" spans="2:9" s="98" customFormat="1">
      <c r="B1784" s="99" t="s">
        <v>473</v>
      </c>
      <c r="C1784" s="109">
        <v>45810.627083333333</v>
      </c>
      <c r="D1784" s="98" t="s">
        <v>59</v>
      </c>
      <c r="E1784" s="103">
        <v>-257399</v>
      </c>
      <c r="F1784" s="98" t="s">
        <v>239</v>
      </c>
      <c r="I1784" s="98" t="s">
        <v>398</v>
      </c>
    </row>
    <row r="1785" spans="2:9" s="98" customFormat="1">
      <c r="B1785" s="99" t="s">
        <v>473</v>
      </c>
      <c r="C1785" s="109">
        <v>45810.602777777778</v>
      </c>
      <c r="D1785" s="98" t="s">
        <v>12</v>
      </c>
      <c r="E1785" s="103">
        <v>54454</v>
      </c>
      <c r="F1785" s="98" t="s">
        <v>240</v>
      </c>
      <c r="G1785" s="98" t="s">
        <v>374</v>
      </c>
      <c r="H1785" s="98" t="s">
        <v>516</v>
      </c>
      <c r="I1785" s="98" t="s">
        <v>245</v>
      </c>
    </row>
    <row r="1786" spans="2:9" s="98" customFormat="1">
      <c r="B1786" s="99" t="s">
        <v>473</v>
      </c>
      <c r="C1786" s="109">
        <v>45810.57916666667</v>
      </c>
      <c r="D1786" s="98" t="s">
        <v>70</v>
      </c>
      <c r="E1786" s="103">
        <v>4490</v>
      </c>
      <c r="F1786" s="98" t="s">
        <v>240</v>
      </c>
      <c r="G1786" s="98" t="s">
        <v>374</v>
      </c>
      <c r="H1786" s="98" t="s">
        <v>516</v>
      </c>
      <c r="I1786" s="98" t="s">
        <v>247</v>
      </c>
    </row>
    <row r="1787" spans="2:9" s="98" customFormat="1">
      <c r="B1787" s="99" t="s">
        <v>473</v>
      </c>
      <c r="C1787" s="109">
        <v>45810.553472222222</v>
      </c>
      <c r="D1787" s="98" t="s">
        <v>71</v>
      </c>
      <c r="E1787" s="103">
        <v>10000</v>
      </c>
      <c r="F1787" s="98" t="s">
        <v>240</v>
      </c>
      <c r="G1787" s="98" t="s">
        <v>374</v>
      </c>
      <c r="H1787" s="98" t="s">
        <v>516</v>
      </c>
      <c r="I1787" s="98" t="s">
        <v>251</v>
      </c>
    </row>
    <row r="1788" spans="2:9" s="98" customFormat="1">
      <c r="B1788" s="99" t="s">
        <v>473</v>
      </c>
      <c r="C1788" s="109">
        <v>45810.020138888889</v>
      </c>
      <c r="D1788" s="98" t="s">
        <v>72</v>
      </c>
      <c r="E1788" s="103">
        <v>30000</v>
      </c>
      <c r="F1788" s="98" t="s">
        <v>240</v>
      </c>
      <c r="G1788" s="98" t="s">
        <v>374</v>
      </c>
      <c r="H1788" s="98" t="s">
        <v>516</v>
      </c>
      <c r="I1788" s="98" t="s">
        <v>251</v>
      </c>
    </row>
    <row r="1789" spans="2:9" s="98" customFormat="1">
      <c r="B1789" s="99" t="s">
        <v>473</v>
      </c>
      <c r="C1789" s="109">
        <v>45810.01458333333</v>
      </c>
      <c r="D1789" s="98" t="s">
        <v>73</v>
      </c>
      <c r="E1789" s="103">
        <v>30000</v>
      </c>
      <c r="F1789" s="98" t="s">
        <v>240</v>
      </c>
      <c r="G1789" s="98" t="s">
        <v>374</v>
      </c>
      <c r="H1789" s="98" t="s">
        <v>516</v>
      </c>
      <c r="I1789" s="98" t="s">
        <v>251</v>
      </c>
    </row>
    <row r="1790" spans="2:9" s="98" customFormat="1">
      <c r="B1790" s="99" t="s">
        <v>473</v>
      </c>
      <c r="C1790" s="109">
        <v>45810.011805555558</v>
      </c>
      <c r="D1790" s="98" t="s">
        <v>74</v>
      </c>
      <c r="E1790" s="103">
        <v>40000</v>
      </c>
      <c r="F1790" s="98" t="s">
        <v>240</v>
      </c>
      <c r="G1790" s="98" t="s">
        <v>374</v>
      </c>
      <c r="H1790" s="98" t="s">
        <v>516</v>
      </c>
      <c r="I1790" s="98" t="s">
        <v>251</v>
      </c>
    </row>
    <row r="1791" spans="2:9" s="98" customFormat="1">
      <c r="B1791" s="99" t="s">
        <v>473</v>
      </c>
      <c r="C1791" s="109">
        <v>45810</v>
      </c>
      <c r="D1791" s="98" t="s">
        <v>406</v>
      </c>
      <c r="E1791" s="103">
        <v>60984</v>
      </c>
      <c r="F1791" s="98" t="s">
        <v>240</v>
      </c>
      <c r="G1791" s="98" t="s">
        <v>374</v>
      </c>
      <c r="H1791" s="98" t="s">
        <v>513</v>
      </c>
      <c r="I1791" s="98" t="s">
        <v>271</v>
      </c>
    </row>
    <row r="1792" spans="2:9" s="98" customFormat="1">
      <c r="B1792" s="99" t="s">
        <v>473</v>
      </c>
      <c r="C1792" s="109">
        <v>45810</v>
      </c>
      <c r="D1792" s="98" t="s">
        <v>405</v>
      </c>
      <c r="E1792" s="103">
        <v>22050</v>
      </c>
      <c r="F1792" s="98" t="s">
        <v>240</v>
      </c>
      <c r="G1792" s="98" t="s">
        <v>374</v>
      </c>
      <c r="H1792" s="98" t="s">
        <v>516</v>
      </c>
      <c r="I1792" s="98" t="s">
        <v>248</v>
      </c>
    </row>
    <row r="1793" spans="2:9" s="98" customFormat="1">
      <c r="B1793" s="99" t="s">
        <v>473</v>
      </c>
      <c r="C1793" s="109">
        <v>45809</v>
      </c>
      <c r="D1793" s="98" t="s">
        <v>407</v>
      </c>
      <c r="E1793" s="103">
        <v>2000</v>
      </c>
      <c r="F1793" s="98" t="s">
        <v>240</v>
      </c>
      <c r="G1793" s="98" t="s">
        <v>374</v>
      </c>
      <c r="H1793" s="98" t="s">
        <v>516</v>
      </c>
      <c r="I1793" s="98" t="s">
        <v>241</v>
      </c>
    </row>
    <row r="1794" spans="2:9" s="98" customFormat="1">
      <c r="B1794" s="99" t="s">
        <v>473</v>
      </c>
      <c r="C1794" s="109">
        <v>45809</v>
      </c>
      <c r="D1794" s="98" t="s">
        <v>409</v>
      </c>
      <c r="E1794" s="103">
        <v>26250</v>
      </c>
      <c r="F1794" s="98" t="s">
        <v>240</v>
      </c>
      <c r="G1794" s="98" t="s">
        <v>374</v>
      </c>
      <c r="H1794" s="98" t="s">
        <v>516</v>
      </c>
      <c r="I1794" s="98" t="s">
        <v>264</v>
      </c>
    </row>
    <row r="1795" spans="2:9" s="98" customFormat="1">
      <c r="B1795" s="99" t="s">
        <v>473</v>
      </c>
      <c r="C1795" s="109">
        <v>45809</v>
      </c>
      <c r="D1795" s="98" t="s">
        <v>408</v>
      </c>
      <c r="E1795" s="103">
        <v>31317</v>
      </c>
      <c r="F1795" s="98" t="s">
        <v>240</v>
      </c>
      <c r="G1795" s="98" t="s">
        <v>374</v>
      </c>
      <c r="H1795" s="98" t="s">
        <v>516</v>
      </c>
      <c r="I1795" s="98" t="s">
        <v>248</v>
      </c>
    </row>
    <row r="1796" spans="2:9" s="98" customFormat="1">
      <c r="B1796" s="99" t="s">
        <v>474</v>
      </c>
      <c r="C1796" s="109">
        <v>45808.850694444445</v>
      </c>
      <c r="D1796" s="98" t="s">
        <v>20</v>
      </c>
      <c r="E1796" s="103">
        <v>5580</v>
      </c>
      <c r="F1796" s="98" t="s">
        <v>240</v>
      </c>
      <c r="G1796" s="98" t="s">
        <v>374</v>
      </c>
      <c r="H1796" s="98" t="s">
        <v>516</v>
      </c>
      <c r="I1796" s="98" t="s">
        <v>242</v>
      </c>
    </row>
    <row r="1797" spans="2:9" s="98" customFormat="1">
      <c r="B1797" s="99" t="s">
        <v>474</v>
      </c>
      <c r="C1797" s="109">
        <v>45808.849305555559</v>
      </c>
      <c r="D1797" s="98" t="s">
        <v>75</v>
      </c>
      <c r="E1797" s="103">
        <v>1730</v>
      </c>
      <c r="F1797" s="98" t="s">
        <v>240</v>
      </c>
      <c r="G1797" s="98" t="s">
        <v>374</v>
      </c>
      <c r="H1797" s="98" t="s">
        <v>516</v>
      </c>
      <c r="I1797" s="98" t="s">
        <v>242</v>
      </c>
    </row>
    <row r="1798" spans="2:9" s="98" customFormat="1">
      <c r="B1798" s="99" t="s">
        <v>474</v>
      </c>
      <c r="C1798" s="109">
        <v>45808.847222222219</v>
      </c>
      <c r="D1798" s="98" t="s">
        <v>6</v>
      </c>
      <c r="E1798" s="103">
        <v>62468</v>
      </c>
      <c r="F1798" s="98" t="s">
        <v>240</v>
      </c>
      <c r="G1798" s="98" t="s">
        <v>374</v>
      </c>
      <c r="H1798" s="98" t="s">
        <v>516</v>
      </c>
      <c r="I1798" s="98" t="s">
        <v>245</v>
      </c>
    </row>
    <row r="1799" spans="2:9" s="98" customFormat="1">
      <c r="B1799" s="99" t="s">
        <v>474</v>
      </c>
      <c r="C1799" s="109">
        <v>45808.804861111108</v>
      </c>
      <c r="D1799" s="98" t="s">
        <v>76</v>
      </c>
      <c r="E1799" s="103">
        <v>3919</v>
      </c>
      <c r="F1799" s="98" t="s">
        <v>240</v>
      </c>
      <c r="G1799" s="98" t="s">
        <v>374</v>
      </c>
      <c r="H1799" s="98" t="s">
        <v>516</v>
      </c>
      <c r="I1799" s="98" t="s">
        <v>244</v>
      </c>
    </row>
    <row r="1800" spans="2:9" s="98" customFormat="1">
      <c r="B1800" s="99" t="s">
        <v>474</v>
      </c>
      <c r="C1800" s="109">
        <v>45808.582638888889</v>
      </c>
      <c r="D1800" s="98" t="s">
        <v>55</v>
      </c>
      <c r="E1800" s="103">
        <v>7000</v>
      </c>
      <c r="F1800" s="98" t="s">
        <v>240</v>
      </c>
      <c r="G1800" s="98" t="s">
        <v>374</v>
      </c>
      <c r="H1800" s="98" t="s">
        <v>516</v>
      </c>
      <c r="I1800" s="98" t="s">
        <v>251</v>
      </c>
    </row>
    <row r="1801" spans="2:9" s="98" customFormat="1">
      <c r="B1801" s="99" t="s">
        <v>474</v>
      </c>
      <c r="C1801" s="109">
        <v>45808.484027777777</v>
      </c>
      <c r="D1801" s="98" t="s">
        <v>77</v>
      </c>
      <c r="E1801" s="103">
        <v>50000</v>
      </c>
      <c r="F1801" s="98" t="s">
        <v>240</v>
      </c>
      <c r="G1801" s="98" t="s">
        <v>374</v>
      </c>
      <c r="H1801" s="98" t="s">
        <v>516</v>
      </c>
      <c r="I1801" s="98" t="s">
        <v>263</v>
      </c>
    </row>
    <row r="1802" spans="2:9" s="98" customFormat="1">
      <c r="B1802" s="99" t="s">
        <v>474</v>
      </c>
      <c r="C1802" s="109">
        <v>45808.051388888889</v>
      </c>
      <c r="D1802" s="98" t="s">
        <v>78</v>
      </c>
      <c r="E1802" s="103">
        <v>59730</v>
      </c>
      <c r="F1802" s="98" t="s">
        <v>240</v>
      </c>
      <c r="G1802" s="98" t="s">
        <v>374</v>
      </c>
      <c r="H1802" s="98" t="s">
        <v>516</v>
      </c>
      <c r="I1802" s="98" t="s">
        <v>248</v>
      </c>
    </row>
    <row r="1803" spans="2:9" s="98" customFormat="1">
      <c r="B1803" s="99" t="s">
        <v>474</v>
      </c>
      <c r="C1803" s="109">
        <v>45807.913888888892</v>
      </c>
      <c r="D1803" s="98" t="s">
        <v>59</v>
      </c>
      <c r="E1803" s="103">
        <v>-357830</v>
      </c>
      <c r="F1803" s="98" t="s">
        <v>239</v>
      </c>
      <c r="I1803" s="98" t="s">
        <v>398</v>
      </c>
    </row>
    <row r="1804" spans="2:9" s="98" customFormat="1">
      <c r="B1804" s="99" t="s">
        <v>474</v>
      </c>
      <c r="C1804" s="109">
        <v>45807.626388888886</v>
      </c>
      <c r="D1804" s="98" t="s">
        <v>9</v>
      </c>
      <c r="E1804" s="103">
        <v>15000</v>
      </c>
      <c r="F1804" s="98" t="s">
        <v>240</v>
      </c>
      <c r="G1804" s="98" t="s">
        <v>374</v>
      </c>
      <c r="H1804" s="98" t="s">
        <v>516</v>
      </c>
      <c r="I1804" s="98" t="s">
        <v>270</v>
      </c>
    </row>
    <row r="1805" spans="2:9" s="98" customFormat="1">
      <c r="B1805" s="99" t="s">
        <v>474</v>
      </c>
      <c r="C1805" s="109">
        <v>45807.552083333336</v>
      </c>
      <c r="D1805" s="98" t="s">
        <v>62</v>
      </c>
      <c r="E1805" s="103">
        <v>1600</v>
      </c>
      <c r="F1805" s="98" t="s">
        <v>240</v>
      </c>
      <c r="G1805" s="98" t="s">
        <v>374</v>
      </c>
      <c r="H1805" s="98" t="s">
        <v>516</v>
      </c>
      <c r="I1805" s="98" t="s">
        <v>247</v>
      </c>
    </row>
    <row r="1806" spans="2:9" s="98" customFormat="1">
      <c r="B1806" s="99" t="s">
        <v>474</v>
      </c>
      <c r="C1806" s="109">
        <v>45807.490972222222</v>
      </c>
      <c r="D1806" s="98" t="s">
        <v>63</v>
      </c>
      <c r="E1806" s="103">
        <v>1000</v>
      </c>
      <c r="F1806" s="98" t="s">
        <v>240</v>
      </c>
      <c r="G1806" s="98" t="s">
        <v>374</v>
      </c>
      <c r="H1806" s="98" t="s">
        <v>516</v>
      </c>
      <c r="I1806" s="98" t="s">
        <v>241</v>
      </c>
    </row>
    <row r="1807" spans="2:9" s="98" customFormat="1">
      <c r="B1807" s="99" t="s">
        <v>474</v>
      </c>
      <c r="C1807" s="109">
        <v>45807</v>
      </c>
      <c r="D1807" s="98" t="s">
        <v>427</v>
      </c>
      <c r="E1807" s="103">
        <v>126</v>
      </c>
      <c r="F1807" s="98" t="s">
        <v>240</v>
      </c>
      <c r="G1807" s="98" t="s">
        <v>373</v>
      </c>
      <c r="H1807" s="98" t="s">
        <v>516</v>
      </c>
      <c r="I1807" s="98" t="s">
        <v>241</v>
      </c>
    </row>
    <row r="1808" spans="2:9" s="98" customFormat="1">
      <c r="B1808" s="99" t="s">
        <v>474</v>
      </c>
      <c r="C1808" s="109">
        <v>45807</v>
      </c>
      <c r="D1808" s="98" t="s">
        <v>427</v>
      </c>
      <c r="E1808" s="103">
        <v>1750</v>
      </c>
      <c r="F1808" s="98" t="s">
        <v>240</v>
      </c>
      <c r="G1808" s="98" t="s">
        <v>373</v>
      </c>
      <c r="H1808" s="98" t="s">
        <v>516</v>
      </c>
      <c r="I1808" s="98" t="s">
        <v>241</v>
      </c>
    </row>
    <row r="1809" spans="2:9" s="98" customFormat="1">
      <c r="B1809" s="99" t="s">
        <v>474</v>
      </c>
      <c r="C1809" s="109">
        <v>45807</v>
      </c>
      <c r="D1809" s="98" t="s">
        <v>410</v>
      </c>
      <c r="E1809" s="103">
        <v>24870</v>
      </c>
      <c r="F1809" s="98" t="s">
        <v>240</v>
      </c>
      <c r="G1809" s="98" t="s">
        <v>374</v>
      </c>
      <c r="H1809" s="98" t="s">
        <v>516</v>
      </c>
      <c r="I1809" s="98" t="s">
        <v>269</v>
      </c>
    </row>
    <row r="1810" spans="2:9" s="98" customFormat="1">
      <c r="B1810" s="99" t="s">
        <v>474</v>
      </c>
      <c r="C1810" s="109">
        <v>45807</v>
      </c>
      <c r="D1810" s="98" t="s">
        <v>412</v>
      </c>
      <c r="E1810" s="103">
        <v>19030</v>
      </c>
      <c r="F1810" s="98" t="s">
        <v>240</v>
      </c>
      <c r="G1810" s="98" t="s">
        <v>374</v>
      </c>
      <c r="H1810" s="98" t="s">
        <v>516</v>
      </c>
      <c r="I1810" s="98" t="s">
        <v>248</v>
      </c>
    </row>
    <row r="1811" spans="2:9" s="98" customFormat="1">
      <c r="B1811" s="99" t="s">
        <v>474</v>
      </c>
      <c r="C1811" s="109">
        <v>45807</v>
      </c>
      <c r="D1811" s="98" t="s">
        <v>413</v>
      </c>
      <c r="E1811" s="103">
        <v>5990</v>
      </c>
      <c r="F1811" s="98" t="s">
        <v>240</v>
      </c>
      <c r="G1811" s="98" t="s">
        <v>374</v>
      </c>
      <c r="H1811" s="98" t="s">
        <v>516</v>
      </c>
      <c r="I1811" s="98" t="s">
        <v>248</v>
      </c>
    </row>
    <row r="1812" spans="2:9" s="98" customFormat="1">
      <c r="B1812" s="99" t="s">
        <v>474</v>
      </c>
      <c r="C1812" s="109">
        <v>45807</v>
      </c>
      <c r="D1812" s="98" t="s">
        <v>414</v>
      </c>
      <c r="E1812" s="103">
        <v>7470</v>
      </c>
      <c r="F1812" s="98" t="s">
        <v>240</v>
      </c>
      <c r="G1812" s="98" t="s">
        <v>374</v>
      </c>
      <c r="H1812" s="98" t="s">
        <v>516</v>
      </c>
      <c r="I1812" s="98" t="s">
        <v>248</v>
      </c>
    </row>
    <row r="1813" spans="2:9" s="98" customFormat="1">
      <c r="B1813" s="99" t="s">
        <v>474</v>
      </c>
      <c r="C1813" s="109">
        <v>45807</v>
      </c>
      <c r="D1813" s="98" t="s">
        <v>411</v>
      </c>
      <c r="E1813" s="103">
        <v>7590</v>
      </c>
      <c r="F1813" s="98" t="s">
        <v>240</v>
      </c>
      <c r="G1813" s="98" t="s">
        <v>374</v>
      </c>
      <c r="H1813" s="98" t="s">
        <v>516</v>
      </c>
      <c r="I1813" s="98" t="s">
        <v>245</v>
      </c>
    </row>
    <row r="1814" spans="2:9" s="98" customFormat="1">
      <c r="B1814" s="99" t="s">
        <v>474</v>
      </c>
      <c r="C1814" s="109">
        <v>45807</v>
      </c>
      <c r="D1814" s="98" t="s">
        <v>411</v>
      </c>
      <c r="E1814" s="103">
        <v>20140</v>
      </c>
      <c r="F1814" s="98" t="s">
        <v>240</v>
      </c>
      <c r="G1814" s="98" t="s">
        <v>374</v>
      </c>
      <c r="H1814" s="98" t="s">
        <v>516</v>
      </c>
      <c r="I1814" s="98" t="s">
        <v>245</v>
      </c>
    </row>
    <row r="1815" spans="2:9" s="98" customFormat="1">
      <c r="B1815" s="99" t="s">
        <v>474</v>
      </c>
      <c r="C1815" s="109">
        <v>45806.921527777777</v>
      </c>
      <c r="D1815" s="98" t="s">
        <v>79</v>
      </c>
      <c r="E1815" s="103">
        <v>50</v>
      </c>
      <c r="F1815" s="98" t="s">
        <v>240</v>
      </c>
      <c r="G1815" s="98" t="s">
        <v>374</v>
      </c>
      <c r="H1815" s="98" t="s">
        <v>516</v>
      </c>
      <c r="I1815" s="98" t="s">
        <v>247</v>
      </c>
    </row>
    <row r="1816" spans="2:9" s="98" customFormat="1">
      <c r="B1816" s="99" t="s">
        <v>474</v>
      </c>
      <c r="C1816" s="109">
        <v>45806.801388888889</v>
      </c>
      <c r="D1816" s="98" t="s">
        <v>56</v>
      </c>
      <c r="E1816" s="103">
        <v>6330</v>
      </c>
      <c r="F1816" s="98" t="s">
        <v>240</v>
      </c>
      <c r="G1816" s="98" t="s">
        <v>374</v>
      </c>
      <c r="H1816" s="98" t="s">
        <v>516</v>
      </c>
      <c r="I1816" s="98" t="s">
        <v>247</v>
      </c>
    </row>
    <row r="1817" spans="2:9" s="98" customFormat="1">
      <c r="B1817" s="99" t="s">
        <v>474</v>
      </c>
      <c r="C1817" s="109">
        <v>45806.650694444441</v>
      </c>
      <c r="D1817" s="98" t="s">
        <v>46</v>
      </c>
      <c r="E1817" s="103">
        <v>4600</v>
      </c>
      <c r="F1817" s="98" t="s">
        <v>240</v>
      </c>
      <c r="G1817" s="98" t="s">
        <v>374</v>
      </c>
      <c r="H1817" s="98" t="s">
        <v>516</v>
      </c>
      <c r="I1817" s="98" t="s">
        <v>247</v>
      </c>
    </row>
    <row r="1818" spans="2:9" s="98" customFormat="1">
      <c r="B1818" s="99" t="s">
        <v>474</v>
      </c>
      <c r="C1818" s="109">
        <v>45806.507638888892</v>
      </c>
      <c r="D1818" s="98" t="s">
        <v>62</v>
      </c>
      <c r="E1818" s="103">
        <v>1600</v>
      </c>
      <c r="F1818" s="98" t="s">
        <v>240</v>
      </c>
      <c r="G1818" s="98" t="s">
        <v>374</v>
      </c>
      <c r="H1818" s="98" t="s">
        <v>516</v>
      </c>
      <c r="I1818" s="98" t="s">
        <v>247</v>
      </c>
    </row>
    <row r="1819" spans="2:9" s="98" customFormat="1">
      <c r="B1819" s="99" t="s">
        <v>474</v>
      </c>
      <c r="C1819" s="109">
        <v>45806</v>
      </c>
      <c r="D1819" s="98" t="s">
        <v>415</v>
      </c>
      <c r="E1819" s="103">
        <v>7080</v>
      </c>
      <c r="F1819" s="98" t="s">
        <v>240</v>
      </c>
      <c r="G1819" s="98" t="s">
        <v>374</v>
      </c>
      <c r="H1819" s="98" t="s">
        <v>516</v>
      </c>
      <c r="I1819" s="98" t="s">
        <v>248</v>
      </c>
    </row>
    <row r="1820" spans="2:9" s="98" customFormat="1">
      <c r="B1820" s="99" t="s">
        <v>474</v>
      </c>
      <c r="C1820" s="109">
        <v>45805.850694444445</v>
      </c>
      <c r="D1820" s="98" t="s">
        <v>28</v>
      </c>
      <c r="E1820" s="103">
        <v>37420</v>
      </c>
      <c r="F1820" s="98" t="s">
        <v>240</v>
      </c>
      <c r="G1820" s="98" t="s">
        <v>374</v>
      </c>
      <c r="H1820" s="98" t="s">
        <v>516</v>
      </c>
      <c r="I1820" s="98" t="s">
        <v>245</v>
      </c>
    </row>
    <row r="1821" spans="2:9" s="98" customFormat="1">
      <c r="B1821" s="99" t="s">
        <v>474</v>
      </c>
      <c r="C1821" s="109">
        <v>45805.411111111112</v>
      </c>
      <c r="D1821" s="98" t="s">
        <v>27</v>
      </c>
      <c r="E1821" s="103">
        <v>10000</v>
      </c>
      <c r="F1821" s="98" t="s">
        <v>240</v>
      </c>
      <c r="G1821" s="98" t="s">
        <v>374</v>
      </c>
      <c r="H1821" s="98" t="s">
        <v>516</v>
      </c>
      <c r="I1821" s="98" t="s">
        <v>270</v>
      </c>
    </row>
    <row r="1822" spans="2:9" s="98" customFormat="1">
      <c r="B1822" s="99" t="s">
        <v>474</v>
      </c>
      <c r="C1822" s="109">
        <v>45805.400694444441</v>
      </c>
      <c r="D1822" s="98" t="s">
        <v>59</v>
      </c>
      <c r="E1822" s="103">
        <v>-68398</v>
      </c>
      <c r="F1822" s="98" t="s">
        <v>239</v>
      </c>
      <c r="I1822" s="98" t="s">
        <v>398</v>
      </c>
    </row>
    <row r="1823" spans="2:9" s="98" customFormat="1">
      <c r="B1823" s="99" t="s">
        <v>474</v>
      </c>
      <c r="C1823" s="109">
        <v>45804.797222222223</v>
      </c>
      <c r="D1823" s="98" t="s">
        <v>56</v>
      </c>
      <c r="E1823" s="103">
        <v>6700</v>
      </c>
      <c r="F1823" s="98" t="s">
        <v>240</v>
      </c>
      <c r="G1823" s="98" t="s">
        <v>374</v>
      </c>
      <c r="H1823" s="98" t="s">
        <v>516</v>
      </c>
      <c r="I1823" s="98" t="s">
        <v>247</v>
      </c>
    </row>
    <row r="1824" spans="2:9" s="98" customFormat="1">
      <c r="B1824" s="99" t="s">
        <v>474</v>
      </c>
      <c r="C1824" s="109">
        <v>45804.736111111109</v>
      </c>
      <c r="D1824" s="98" t="s">
        <v>80</v>
      </c>
      <c r="E1824" s="103">
        <v>19949</v>
      </c>
      <c r="F1824" s="98" t="s">
        <v>240</v>
      </c>
      <c r="G1824" s="98" t="s">
        <v>374</v>
      </c>
      <c r="H1824" s="98" t="s">
        <v>516</v>
      </c>
      <c r="I1824" s="98" t="s">
        <v>244</v>
      </c>
    </row>
    <row r="1825" spans="2:9" s="98" customFormat="1">
      <c r="B1825" s="99" t="s">
        <v>474</v>
      </c>
      <c r="C1825" s="109">
        <v>45804.688194444447</v>
      </c>
      <c r="D1825" s="98" t="s">
        <v>46</v>
      </c>
      <c r="E1825" s="103">
        <v>2300</v>
      </c>
      <c r="F1825" s="98" t="s">
        <v>240</v>
      </c>
      <c r="G1825" s="98" t="s">
        <v>374</v>
      </c>
      <c r="H1825" s="98" t="s">
        <v>516</v>
      </c>
      <c r="I1825" s="98" t="s">
        <v>247</v>
      </c>
    </row>
    <row r="1826" spans="2:9" s="98" customFormat="1">
      <c r="B1826" s="99" t="s">
        <v>474</v>
      </c>
      <c r="C1826" s="109">
        <v>45804.484027777777</v>
      </c>
      <c r="D1826" s="98" t="s">
        <v>81</v>
      </c>
      <c r="E1826" s="103">
        <v>7365</v>
      </c>
      <c r="F1826" s="98" t="s">
        <v>240</v>
      </c>
      <c r="G1826" s="98" t="s">
        <v>374</v>
      </c>
      <c r="H1826" s="98" t="s">
        <v>516</v>
      </c>
      <c r="I1826" s="98" t="s">
        <v>247</v>
      </c>
    </row>
    <row r="1827" spans="2:9" s="98" customFormat="1">
      <c r="B1827" s="99" t="s">
        <v>474</v>
      </c>
      <c r="C1827" s="109">
        <v>45804.427777777775</v>
      </c>
      <c r="D1827" s="98" t="s">
        <v>82</v>
      </c>
      <c r="E1827" s="103">
        <v>25000</v>
      </c>
      <c r="F1827" s="98" t="s">
        <v>240</v>
      </c>
      <c r="G1827" s="98" t="s">
        <v>374</v>
      </c>
      <c r="H1827" s="98" t="s">
        <v>516</v>
      </c>
      <c r="I1827" s="98" t="s">
        <v>244</v>
      </c>
    </row>
    <row r="1828" spans="2:9" s="98" customFormat="1">
      <c r="B1828" s="99" t="s">
        <v>474</v>
      </c>
      <c r="C1828" s="109">
        <v>45804</v>
      </c>
      <c r="D1828" s="98" t="s">
        <v>416</v>
      </c>
      <c r="E1828" s="103">
        <v>33580</v>
      </c>
      <c r="F1828" s="98" t="s">
        <v>240</v>
      </c>
      <c r="G1828" s="98" t="s">
        <v>374</v>
      </c>
      <c r="H1828" s="98" t="s">
        <v>516</v>
      </c>
      <c r="I1828" s="98" t="s">
        <v>244</v>
      </c>
    </row>
    <row r="1829" spans="2:9" s="98" customFormat="1">
      <c r="B1829" s="99" t="s">
        <v>474</v>
      </c>
      <c r="C1829" s="109">
        <v>45803.81527777778</v>
      </c>
      <c r="D1829" s="98" t="s">
        <v>28</v>
      </c>
      <c r="E1829" s="103">
        <v>34800</v>
      </c>
      <c r="F1829" s="98" t="s">
        <v>240</v>
      </c>
      <c r="G1829" s="98" t="s">
        <v>374</v>
      </c>
      <c r="H1829" s="98" t="s">
        <v>516</v>
      </c>
      <c r="I1829" s="98" t="s">
        <v>245</v>
      </c>
    </row>
    <row r="1830" spans="2:9" s="98" customFormat="1">
      <c r="B1830" s="99" t="s">
        <v>474</v>
      </c>
      <c r="C1830" s="109">
        <v>45803.793749999997</v>
      </c>
      <c r="D1830" s="98" t="s">
        <v>59</v>
      </c>
      <c r="E1830" s="103">
        <v>-100000</v>
      </c>
      <c r="F1830" s="98" t="s">
        <v>239</v>
      </c>
      <c r="I1830" s="98" t="s">
        <v>398</v>
      </c>
    </row>
    <row r="1831" spans="2:9" s="98" customFormat="1">
      <c r="B1831" s="99" t="s">
        <v>474</v>
      </c>
      <c r="C1831" s="109">
        <v>45803.580555555556</v>
      </c>
      <c r="D1831" s="98" t="s">
        <v>83</v>
      </c>
      <c r="E1831" s="103">
        <v>5500</v>
      </c>
      <c r="F1831" s="98" t="s">
        <v>240</v>
      </c>
      <c r="G1831" s="98" t="s">
        <v>374</v>
      </c>
      <c r="H1831" s="98" t="s">
        <v>516</v>
      </c>
      <c r="I1831" s="98" t="s">
        <v>268</v>
      </c>
    </row>
    <row r="1832" spans="2:9" s="98" customFormat="1">
      <c r="B1832" s="99" t="s">
        <v>474</v>
      </c>
      <c r="C1832" s="109">
        <v>45803</v>
      </c>
      <c r="D1832" s="98" t="s">
        <v>427</v>
      </c>
      <c r="E1832" s="103">
        <v>126</v>
      </c>
      <c r="F1832" s="98" t="s">
        <v>240</v>
      </c>
      <c r="G1832" s="98" t="s">
        <v>373</v>
      </c>
      <c r="H1832" s="98" t="s">
        <v>516</v>
      </c>
      <c r="I1832" s="98" t="s">
        <v>241</v>
      </c>
    </row>
    <row r="1833" spans="2:9" s="98" customFormat="1">
      <c r="B1833" s="99" t="s">
        <v>474</v>
      </c>
      <c r="C1833" s="109">
        <v>45802.820138888892</v>
      </c>
      <c r="D1833" s="98" t="s">
        <v>12</v>
      </c>
      <c r="E1833" s="103">
        <v>38350</v>
      </c>
      <c r="F1833" s="98" t="s">
        <v>240</v>
      </c>
      <c r="G1833" s="98" t="s">
        <v>374</v>
      </c>
      <c r="H1833" s="98" t="s">
        <v>516</v>
      </c>
      <c r="I1833" s="98" t="s">
        <v>245</v>
      </c>
    </row>
    <row r="1834" spans="2:9" s="98" customFormat="1">
      <c r="B1834" s="99" t="s">
        <v>474</v>
      </c>
      <c r="C1834" s="109">
        <v>45802.545138888891</v>
      </c>
      <c r="D1834" s="98" t="s">
        <v>84</v>
      </c>
      <c r="E1834" s="103">
        <v>27300</v>
      </c>
      <c r="F1834" s="98" t="s">
        <v>240</v>
      </c>
      <c r="G1834" s="98" t="s">
        <v>374</v>
      </c>
      <c r="H1834" s="98" t="s">
        <v>516</v>
      </c>
      <c r="I1834" s="98" t="s">
        <v>272</v>
      </c>
    </row>
    <row r="1835" spans="2:9" s="98" customFormat="1">
      <c r="B1835" s="99" t="s">
        <v>474</v>
      </c>
      <c r="C1835" s="109">
        <v>45802</v>
      </c>
      <c r="D1835" s="98" t="s">
        <v>428</v>
      </c>
      <c r="E1835" s="103">
        <v>1550</v>
      </c>
      <c r="F1835" s="98" t="s">
        <v>240</v>
      </c>
      <c r="G1835" s="98" t="s">
        <v>373</v>
      </c>
      <c r="H1835" s="98" t="s">
        <v>516</v>
      </c>
      <c r="I1835" s="98" t="s">
        <v>247</v>
      </c>
    </row>
    <row r="1836" spans="2:9" s="98" customFormat="1">
      <c r="B1836" s="99" t="s">
        <v>474</v>
      </c>
      <c r="C1836" s="109">
        <v>45802</v>
      </c>
      <c r="D1836" s="98" t="s">
        <v>417</v>
      </c>
      <c r="E1836" s="103">
        <v>75000</v>
      </c>
      <c r="F1836" s="98" t="s">
        <v>240</v>
      </c>
      <c r="G1836" s="98" t="s">
        <v>374</v>
      </c>
      <c r="H1836" s="98" t="s">
        <v>516</v>
      </c>
      <c r="I1836" s="98" t="s">
        <v>269</v>
      </c>
    </row>
    <row r="1837" spans="2:9" s="98" customFormat="1">
      <c r="B1837" s="99" t="s">
        <v>474</v>
      </c>
      <c r="C1837" s="109">
        <v>45801.793749999997</v>
      </c>
      <c r="D1837" s="98" t="s">
        <v>85</v>
      </c>
      <c r="E1837" s="103">
        <v>9991</v>
      </c>
      <c r="F1837" s="98" t="s">
        <v>240</v>
      </c>
      <c r="G1837" s="98" t="s">
        <v>374</v>
      </c>
      <c r="H1837" s="98" t="s">
        <v>516</v>
      </c>
      <c r="I1837" s="98" t="s">
        <v>243</v>
      </c>
    </row>
    <row r="1838" spans="2:9" s="98" customFormat="1">
      <c r="B1838" s="99" t="s">
        <v>474</v>
      </c>
      <c r="C1838" s="109">
        <v>45801.618055555555</v>
      </c>
      <c r="D1838" s="98" t="s">
        <v>21</v>
      </c>
      <c r="E1838" s="103">
        <v>5850</v>
      </c>
      <c r="F1838" s="98" t="s">
        <v>240</v>
      </c>
      <c r="G1838" s="98" t="s">
        <v>374</v>
      </c>
      <c r="H1838" s="98" t="s">
        <v>513</v>
      </c>
      <c r="I1838" s="98" t="s">
        <v>544</v>
      </c>
    </row>
    <row r="1839" spans="2:9" s="98" customFormat="1">
      <c r="B1839" s="99" t="s">
        <v>474</v>
      </c>
      <c r="C1839" s="109">
        <v>45801.518055555556</v>
      </c>
      <c r="D1839" s="98" t="s">
        <v>86</v>
      </c>
      <c r="E1839" s="103">
        <v>30000</v>
      </c>
      <c r="F1839" s="98" t="s">
        <v>240</v>
      </c>
      <c r="G1839" s="98" t="s">
        <v>374</v>
      </c>
      <c r="H1839" s="98" t="s">
        <v>516</v>
      </c>
      <c r="I1839" s="98" t="s">
        <v>263</v>
      </c>
    </row>
    <row r="1840" spans="2:9" s="98" customFormat="1">
      <c r="B1840" s="99" t="s">
        <v>474</v>
      </c>
      <c r="C1840" s="109">
        <v>45801.459722222222</v>
      </c>
      <c r="D1840" s="98" t="s">
        <v>51</v>
      </c>
      <c r="E1840" s="103">
        <v>15000</v>
      </c>
      <c r="F1840" s="98" t="s">
        <v>240</v>
      </c>
      <c r="G1840" s="98" t="s">
        <v>374</v>
      </c>
      <c r="H1840" s="98" t="s">
        <v>516</v>
      </c>
      <c r="I1840" s="98" t="s">
        <v>270</v>
      </c>
    </row>
    <row r="1841" spans="2:9" s="98" customFormat="1">
      <c r="B1841" s="99" t="s">
        <v>474</v>
      </c>
      <c r="C1841" s="109">
        <v>45801</v>
      </c>
      <c r="D1841" s="98" t="s">
        <v>429</v>
      </c>
      <c r="E1841" s="103">
        <v>1900</v>
      </c>
      <c r="F1841" s="98" t="s">
        <v>240</v>
      </c>
      <c r="G1841" s="98" t="s">
        <v>373</v>
      </c>
      <c r="H1841" s="98" t="s">
        <v>516</v>
      </c>
      <c r="I1841" s="98" t="s">
        <v>268</v>
      </c>
    </row>
    <row r="1842" spans="2:9" s="98" customFormat="1">
      <c r="B1842" s="99" t="s">
        <v>474</v>
      </c>
      <c r="C1842" s="109">
        <v>45801</v>
      </c>
      <c r="D1842" s="98" t="s">
        <v>418</v>
      </c>
      <c r="E1842" s="103">
        <v>29970</v>
      </c>
      <c r="F1842" s="98" t="s">
        <v>240</v>
      </c>
      <c r="G1842" s="98" t="s">
        <v>374</v>
      </c>
      <c r="H1842" s="98" t="s">
        <v>516</v>
      </c>
      <c r="I1842" s="98" t="s">
        <v>243</v>
      </c>
    </row>
    <row r="1843" spans="2:9" s="98" customFormat="1">
      <c r="B1843" s="99" t="s">
        <v>474</v>
      </c>
      <c r="C1843" s="109">
        <v>45801</v>
      </c>
      <c r="D1843" s="98" t="s">
        <v>419</v>
      </c>
      <c r="E1843" s="103">
        <v>27980</v>
      </c>
      <c r="F1843" s="98" t="s">
        <v>240</v>
      </c>
      <c r="G1843" s="98" t="s">
        <v>374</v>
      </c>
      <c r="H1843" s="98" t="s">
        <v>516</v>
      </c>
      <c r="I1843" s="98" t="s">
        <v>243</v>
      </c>
    </row>
    <row r="1844" spans="2:9" s="98" customFormat="1">
      <c r="B1844" s="99" t="s">
        <v>474</v>
      </c>
      <c r="C1844" s="109">
        <v>45800.875694444447</v>
      </c>
      <c r="D1844" s="98" t="s">
        <v>16</v>
      </c>
      <c r="E1844" s="103">
        <v>17400</v>
      </c>
      <c r="F1844" s="98" t="s">
        <v>240</v>
      </c>
      <c r="G1844" s="98" t="s">
        <v>374</v>
      </c>
      <c r="H1844" s="98" t="s">
        <v>516</v>
      </c>
      <c r="I1844" s="98" t="s">
        <v>248</v>
      </c>
    </row>
    <row r="1845" spans="2:9" s="98" customFormat="1">
      <c r="B1845" s="99" t="s">
        <v>474</v>
      </c>
      <c r="C1845" s="109">
        <v>45800.592361111114</v>
      </c>
      <c r="D1845" s="98" t="s">
        <v>87</v>
      </c>
      <c r="E1845" s="103">
        <v>13178</v>
      </c>
      <c r="F1845" s="98" t="s">
        <v>240</v>
      </c>
      <c r="G1845" s="98" t="s">
        <v>374</v>
      </c>
      <c r="H1845" s="98" t="s">
        <v>516</v>
      </c>
      <c r="I1845" s="98" t="s">
        <v>248</v>
      </c>
    </row>
    <row r="1846" spans="2:9" s="98" customFormat="1">
      <c r="B1846" s="99" t="s">
        <v>474</v>
      </c>
      <c r="C1846" s="109">
        <v>45800.559027777781</v>
      </c>
      <c r="D1846" s="98" t="s">
        <v>75</v>
      </c>
      <c r="E1846" s="103">
        <v>4060</v>
      </c>
      <c r="F1846" s="98" t="s">
        <v>240</v>
      </c>
      <c r="G1846" s="98" t="s">
        <v>374</v>
      </c>
      <c r="H1846" s="98" t="s">
        <v>516</v>
      </c>
      <c r="I1846" s="98" t="s">
        <v>242</v>
      </c>
    </row>
    <row r="1847" spans="2:9" s="98" customFormat="1">
      <c r="B1847" s="99" t="s">
        <v>474</v>
      </c>
      <c r="C1847" s="109">
        <v>45800.539583333331</v>
      </c>
      <c r="D1847" s="98" t="s">
        <v>88</v>
      </c>
      <c r="E1847" s="103">
        <v>5400</v>
      </c>
      <c r="F1847" s="98" t="s">
        <v>240</v>
      </c>
      <c r="G1847" s="98" t="s">
        <v>374</v>
      </c>
      <c r="H1847" s="98" t="s">
        <v>516</v>
      </c>
      <c r="I1847" s="98" t="s">
        <v>248</v>
      </c>
    </row>
    <row r="1848" spans="2:9" s="98" customFormat="1">
      <c r="B1848" s="99" t="s">
        <v>474</v>
      </c>
      <c r="C1848" s="109">
        <v>45800.449305555558</v>
      </c>
      <c r="D1848" s="98" t="s">
        <v>7</v>
      </c>
      <c r="E1848" s="103">
        <v>13900</v>
      </c>
      <c r="F1848" s="98" t="s">
        <v>240</v>
      </c>
      <c r="G1848" s="98" t="s">
        <v>374</v>
      </c>
      <c r="H1848" s="98" t="s">
        <v>516</v>
      </c>
      <c r="I1848" s="98" t="s">
        <v>244</v>
      </c>
    </row>
    <row r="1849" spans="2:9" s="98" customFormat="1">
      <c r="B1849" s="99" t="s">
        <v>474</v>
      </c>
      <c r="C1849" s="109">
        <v>45800</v>
      </c>
      <c r="D1849" s="98" t="s">
        <v>431</v>
      </c>
      <c r="E1849" s="103">
        <v>2150</v>
      </c>
      <c r="F1849" s="98" t="s">
        <v>240</v>
      </c>
      <c r="G1849" s="98" t="s">
        <v>373</v>
      </c>
      <c r="H1849" s="98" t="s">
        <v>516</v>
      </c>
      <c r="I1849" s="98" t="s">
        <v>241</v>
      </c>
    </row>
    <row r="1850" spans="2:9" s="98" customFormat="1">
      <c r="B1850" s="99" t="s">
        <v>474</v>
      </c>
      <c r="C1850" s="109">
        <v>45800</v>
      </c>
      <c r="D1850" s="98" t="s">
        <v>427</v>
      </c>
      <c r="E1850" s="103">
        <v>600</v>
      </c>
      <c r="F1850" s="98" t="s">
        <v>240</v>
      </c>
      <c r="G1850" s="98" t="s">
        <v>373</v>
      </c>
      <c r="H1850" s="98" t="s">
        <v>516</v>
      </c>
      <c r="I1850" s="98" t="s">
        <v>241</v>
      </c>
    </row>
    <row r="1851" spans="2:9" s="98" customFormat="1">
      <c r="B1851" s="99" t="s">
        <v>474</v>
      </c>
      <c r="C1851" s="109">
        <v>45800</v>
      </c>
      <c r="D1851" s="98" t="s">
        <v>430</v>
      </c>
      <c r="E1851" s="103">
        <v>7750</v>
      </c>
      <c r="F1851" s="98" t="s">
        <v>240</v>
      </c>
      <c r="G1851" s="98" t="s">
        <v>373</v>
      </c>
      <c r="H1851" s="98" t="s">
        <v>516</v>
      </c>
      <c r="I1851" s="98" t="s">
        <v>244</v>
      </c>
    </row>
    <row r="1852" spans="2:9" s="98" customFormat="1">
      <c r="B1852" s="99" t="s">
        <v>474</v>
      </c>
      <c r="C1852" s="109">
        <v>45800</v>
      </c>
      <c r="D1852" s="98" t="s">
        <v>420</v>
      </c>
      <c r="E1852" s="103">
        <v>30137</v>
      </c>
      <c r="F1852" s="98" t="s">
        <v>240</v>
      </c>
      <c r="G1852" s="98" t="s">
        <v>374</v>
      </c>
      <c r="H1852" s="98" t="s">
        <v>516</v>
      </c>
      <c r="I1852" s="98" t="s">
        <v>245</v>
      </c>
    </row>
    <row r="1853" spans="2:9" s="98" customFormat="1">
      <c r="B1853" s="99" t="s">
        <v>474</v>
      </c>
      <c r="C1853" s="109">
        <v>45800</v>
      </c>
      <c r="D1853" s="98" t="s">
        <v>432</v>
      </c>
      <c r="E1853" s="103">
        <v>5660</v>
      </c>
      <c r="F1853" s="98" t="s">
        <v>240</v>
      </c>
      <c r="G1853" s="98" t="s">
        <v>373</v>
      </c>
      <c r="H1853" s="98" t="s">
        <v>516</v>
      </c>
      <c r="I1853" s="98" t="s">
        <v>245</v>
      </c>
    </row>
    <row r="1854" spans="2:9" s="98" customFormat="1">
      <c r="B1854" s="99" t="s">
        <v>474</v>
      </c>
      <c r="C1854" s="109">
        <v>45799.802083333336</v>
      </c>
      <c r="D1854" s="98" t="s">
        <v>56</v>
      </c>
      <c r="E1854" s="103">
        <v>5670</v>
      </c>
      <c r="F1854" s="98" t="s">
        <v>240</v>
      </c>
      <c r="G1854" s="98" t="s">
        <v>374</v>
      </c>
      <c r="H1854" s="98" t="s">
        <v>516</v>
      </c>
      <c r="I1854" s="98" t="s">
        <v>247</v>
      </c>
    </row>
    <row r="1855" spans="2:9" s="98" customFormat="1">
      <c r="B1855" s="99" t="s">
        <v>474</v>
      </c>
      <c r="C1855" s="109">
        <v>45799.590277777781</v>
      </c>
      <c r="D1855" s="98" t="s">
        <v>89</v>
      </c>
      <c r="E1855" s="103">
        <v>23990</v>
      </c>
      <c r="F1855" s="98" t="s">
        <v>240</v>
      </c>
      <c r="G1855" s="98" t="s">
        <v>374</v>
      </c>
      <c r="H1855" s="98" t="s">
        <v>516</v>
      </c>
      <c r="I1855" s="98" t="s">
        <v>243</v>
      </c>
    </row>
    <row r="1856" spans="2:9" s="98" customFormat="1">
      <c r="B1856" s="99" t="s">
        <v>474</v>
      </c>
      <c r="C1856" s="109">
        <v>45799.580555555556</v>
      </c>
      <c r="D1856" s="98" t="s">
        <v>90</v>
      </c>
      <c r="E1856" s="103">
        <v>8792</v>
      </c>
      <c r="F1856" s="98" t="s">
        <v>240</v>
      </c>
      <c r="G1856" s="98" t="s">
        <v>374</v>
      </c>
      <c r="H1856" s="98" t="s">
        <v>516</v>
      </c>
      <c r="I1856" s="98" t="s">
        <v>244</v>
      </c>
    </row>
    <row r="1857" spans="2:9" s="98" customFormat="1">
      <c r="B1857" s="99" t="s">
        <v>474</v>
      </c>
      <c r="C1857" s="109">
        <v>45799</v>
      </c>
      <c r="D1857" s="98" t="s">
        <v>433</v>
      </c>
      <c r="E1857" s="103">
        <v>27990</v>
      </c>
      <c r="F1857" s="98" t="s">
        <v>240</v>
      </c>
      <c r="G1857" s="98" t="s">
        <v>373</v>
      </c>
      <c r="H1857" s="98" t="s">
        <v>516</v>
      </c>
      <c r="I1857" s="98" t="s">
        <v>243</v>
      </c>
    </row>
    <row r="1858" spans="2:9" s="98" customFormat="1">
      <c r="B1858" s="99" t="s">
        <v>474</v>
      </c>
      <c r="C1858" s="109">
        <v>45798.793055555558</v>
      </c>
      <c r="D1858" s="98" t="s">
        <v>91</v>
      </c>
      <c r="E1858" s="103">
        <v>1200</v>
      </c>
      <c r="F1858" s="98" t="s">
        <v>240</v>
      </c>
      <c r="G1858" s="98" t="s">
        <v>374</v>
      </c>
      <c r="H1858" s="98" t="s">
        <v>516</v>
      </c>
      <c r="I1858" s="98" t="s">
        <v>247</v>
      </c>
    </row>
    <row r="1859" spans="2:9" s="98" customFormat="1">
      <c r="B1859" s="99" t="s">
        <v>474</v>
      </c>
      <c r="C1859" s="109">
        <v>45798.731944444444</v>
      </c>
      <c r="D1859" s="98" t="s">
        <v>92</v>
      </c>
      <c r="E1859" s="103">
        <v>5500</v>
      </c>
      <c r="F1859" s="98" t="s">
        <v>240</v>
      </c>
      <c r="G1859" s="98" t="s">
        <v>374</v>
      </c>
      <c r="H1859" s="98" t="s">
        <v>516</v>
      </c>
      <c r="I1859" s="98" t="s">
        <v>247</v>
      </c>
    </row>
    <row r="1860" spans="2:9" s="98" customFormat="1">
      <c r="B1860" s="99" t="s">
        <v>474</v>
      </c>
      <c r="C1860" s="109">
        <v>45798.634027777778</v>
      </c>
      <c r="D1860" s="98" t="s">
        <v>51</v>
      </c>
      <c r="E1860" s="103">
        <v>15000</v>
      </c>
      <c r="F1860" s="98" t="s">
        <v>240</v>
      </c>
      <c r="G1860" s="98" t="s">
        <v>374</v>
      </c>
      <c r="H1860" s="98" t="s">
        <v>516</v>
      </c>
      <c r="I1860" s="98" t="s">
        <v>270</v>
      </c>
    </row>
    <row r="1861" spans="2:9" s="98" customFormat="1">
      <c r="B1861" s="99" t="s">
        <v>474</v>
      </c>
      <c r="C1861" s="109">
        <v>45798.527777777781</v>
      </c>
      <c r="D1861" s="98" t="s">
        <v>93</v>
      </c>
      <c r="E1861" s="103">
        <v>50000</v>
      </c>
      <c r="F1861" s="98" t="s">
        <v>240</v>
      </c>
      <c r="G1861" s="98" t="s">
        <v>374</v>
      </c>
      <c r="H1861" s="98" t="s">
        <v>516</v>
      </c>
      <c r="I1861" s="98" t="s">
        <v>263</v>
      </c>
    </row>
    <row r="1862" spans="2:9" s="98" customFormat="1">
      <c r="B1862" s="99" t="s">
        <v>474</v>
      </c>
      <c r="C1862" s="109">
        <v>45798.482638888891</v>
      </c>
      <c r="D1862" s="98" t="s">
        <v>62</v>
      </c>
      <c r="E1862" s="103">
        <v>1600</v>
      </c>
      <c r="F1862" s="98" t="s">
        <v>240</v>
      </c>
      <c r="G1862" s="98" t="s">
        <v>374</v>
      </c>
      <c r="H1862" s="98" t="s">
        <v>516</v>
      </c>
      <c r="I1862" s="98" t="s">
        <v>247</v>
      </c>
    </row>
    <row r="1863" spans="2:9" s="98" customFormat="1">
      <c r="B1863" s="99" t="s">
        <v>474</v>
      </c>
      <c r="C1863" s="109">
        <v>45798</v>
      </c>
      <c r="D1863" s="98" t="s">
        <v>441</v>
      </c>
      <c r="E1863" s="103">
        <v>19870</v>
      </c>
      <c r="F1863" s="98" t="s">
        <v>240</v>
      </c>
      <c r="G1863" s="98" t="s">
        <v>373</v>
      </c>
      <c r="H1863" s="98" t="s">
        <v>516</v>
      </c>
      <c r="I1863" s="98" t="s">
        <v>244</v>
      </c>
    </row>
    <row r="1864" spans="2:9" s="98" customFormat="1">
      <c r="B1864" s="99" t="s">
        <v>474</v>
      </c>
      <c r="C1864" s="109">
        <v>45798</v>
      </c>
      <c r="D1864" s="98" t="s">
        <v>434</v>
      </c>
      <c r="E1864" s="103">
        <v>1300</v>
      </c>
      <c r="F1864" s="98" t="s">
        <v>240</v>
      </c>
      <c r="G1864" s="98" t="s">
        <v>373</v>
      </c>
      <c r="H1864" s="98" t="s">
        <v>516</v>
      </c>
      <c r="I1864" s="98" t="s">
        <v>247</v>
      </c>
    </row>
    <row r="1865" spans="2:9" s="98" customFormat="1">
      <c r="B1865" s="99" t="s">
        <v>474</v>
      </c>
      <c r="C1865" s="109">
        <v>45798</v>
      </c>
      <c r="D1865" s="98" t="s">
        <v>437</v>
      </c>
      <c r="E1865" s="103">
        <v>4690</v>
      </c>
      <c r="F1865" s="98" t="s">
        <v>240</v>
      </c>
      <c r="G1865" s="98" t="s">
        <v>373</v>
      </c>
      <c r="H1865" s="98" t="s">
        <v>516</v>
      </c>
      <c r="I1865" s="98" t="s">
        <v>248</v>
      </c>
    </row>
    <row r="1866" spans="2:9" s="98" customFormat="1">
      <c r="B1866" s="99" t="s">
        <v>474</v>
      </c>
      <c r="C1866" s="109">
        <v>45798</v>
      </c>
      <c r="D1866" s="98" t="s">
        <v>438</v>
      </c>
      <c r="E1866" s="103">
        <v>5100</v>
      </c>
      <c r="F1866" s="98" t="s">
        <v>240</v>
      </c>
      <c r="G1866" s="98" t="s">
        <v>373</v>
      </c>
      <c r="H1866" s="98" t="s">
        <v>516</v>
      </c>
      <c r="I1866" s="98" t="s">
        <v>248</v>
      </c>
    </row>
    <row r="1867" spans="2:9" s="98" customFormat="1">
      <c r="B1867" s="99" t="s">
        <v>474</v>
      </c>
      <c r="C1867" s="109">
        <v>45798</v>
      </c>
      <c r="D1867" s="98" t="s">
        <v>439</v>
      </c>
      <c r="E1867" s="103">
        <v>6070</v>
      </c>
      <c r="F1867" s="98" t="s">
        <v>240</v>
      </c>
      <c r="G1867" s="98" t="s">
        <v>373</v>
      </c>
      <c r="H1867" s="98" t="s">
        <v>516</v>
      </c>
      <c r="I1867" s="98" t="s">
        <v>248</v>
      </c>
    </row>
    <row r="1868" spans="2:9" s="98" customFormat="1">
      <c r="B1868" s="99" t="s">
        <v>474</v>
      </c>
      <c r="C1868" s="109">
        <v>45798</v>
      </c>
      <c r="D1868" s="98" t="s">
        <v>440</v>
      </c>
      <c r="E1868" s="103">
        <v>6000</v>
      </c>
      <c r="F1868" s="98" t="s">
        <v>240</v>
      </c>
      <c r="G1868" s="98" t="s">
        <v>373</v>
      </c>
      <c r="H1868" s="98" t="s">
        <v>516</v>
      </c>
      <c r="I1868" s="98" t="s">
        <v>248</v>
      </c>
    </row>
    <row r="1869" spans="2:9" s="98" customFormat="1">
      <c r="B1869" s="99" t="s">
        <v>474</v>
      </c>
      <c r="C1869" s="109">
        <v>45798</v>
      </c>
      <c r="D1869" s="98" t="s">
        <v>436</v>
      </c>
      <c r="E1869" s="103">
        <v>3300</v>
      </c>
      <c r="F1869" s="98" t="s">
        <v>240</v>
      </c>
      <c r="G1869" s="98" t="s">
        <v>373</v>
      </c>
      <c r="H1869" s="98" t="s">
        <v>516</v>
      </c>
      <c r="I1869" s="98" t="s">
        <v>243</v>
      </c>
    </row>
    <row r="1870" spans="2:9" s="98" customFormat="1">
      <c r="B1870" s="99" t="s">
        <v>474</v>
      </c>
      <c r="C1870" s="109">
        <v>45798</v>
      </c>
      <c r="D1870" s="98" t="s">
        <v>436</v>
      </c>
      <c r="E1870" s="103">
        <v>6600</v>
      </c>
      <c r="F1870" s="98" t="s">
        <v>240</v>
      </c>
      <c r="G1870" s="98" t="s">
        <v>373</v>
      </c>
      <c r="H1870" s="98" t="s">
        <v>516</v>
      </c>
      <c r="I1870" s="98" t="s">
        <v>243</v>
      </c>
    </row>
    <row r="1871" spans="2:9" s="98" customFormat="1">
      <c r="B1871" s="99" t="s">
        <v>474</v>
      </c>
      <c r="C1871" s="109">
        <v>45798</v>
      </c>
      <c r="D1871" s="98" t="s">
        <v>435</v>
      </c>
      <c r="E1871" s="103">
        <v>15744</v>
      </c>
      <c r="F1871" s="98" t="s">
        <v>240</v>
      </c>
      <c r="G1871" s="98" t="s">
        <v>373</v>
      </c>
      <c r="H1871" s="98" t="s">
        <v>516</v>
      </c>
      <c r="I1871" s="98" t="s">
        <v>245</v>
      </c>
    </row>
    <row r="1872" spans="2:9" s="98" customFormat="1">
      <c r="B1872" s="99" t="s">
        <v>474</v>
      </c>
      <c r="C1872" s="109">
        <v>45797.879861111112</v>
      </c>
      <c r="D1872" s="98" t="s">
        <v>9</v>
      </c>
      <c r="E1872" s="103">
        <v>10540</v>
      </c>
      <c r="F1872" s="98" t="s">
        <v>240</v>
      </c>
      <c r="G1872" s="98" t="s">
        <v>374</v>
      </c>
      <c r="H1872" s="98" t="s">
        <v>516</v>
      </c>
      <c r="I1872" s="98" t="s">
        <v>270</v>
      </c>
    </row>
    <row r="1873" spans="2:9" s="98" customFormat="1">
      <c r="B1873" s="99" t="s">
        <v>474</v>
      </c>
      <c r="C1873" s="109">
        <v>45797.569444444445</v>
      </c>
      <c r="D1873" s="98" t="s">
        <v>65</v>
      </c>
      <c r="E1873" s="103">
        <v>6460</v>
      </c>
      <c r="F1873" s="98" t="s">
        <v>240</v>
      </c>
      <c r="G1873" s="98" t="s">
        <v>374</v>
      </c>
      <c r="H1873" s="98" t="s">
        <v>516</v>
      </c>
      <c r="I1873" s="98" t="s">
        <v>247</v>
      </c>
    </row>
    <row r="1874" spans="2:9" s="98" customFormat="1">
      <c r="B1874" s="99" t="s">
        <v>474</v>
      </c>
      <c r="C1874" s="109">
        <v>45797.44027777778</v>
      </c>
      <c r="D1874" s="98" t="s">
        <v>94</v>
      </c>
      <c r="E1874" s="103">
        <v>25570</v>
      </c>
      <c r="F1874" s="98" t="s">
        <v>240</v>
      </c>
      <c r="G1874" s="98" t="s">
        <v>374</v>
      </c>
      <c r="H1874" s="98" t="s">
        <v>516</v>
      </c>
      <c r="I1874" s="98" t="s">
        <v>244</v>
      </c>
    </row>
    <row r="1875" spans="2:9" s="98" customFormat="1">
      <c r="B1875" s="99" t="s">
        <v>474</v>
      </c>
      <c r="C1875" s="109">
        <v>45797</v>
      </c>
      <c r="D1875" s="98" t="s">
        <v>288</v>
      </c>
      <c r="E1875" s="103">
        <v>2350</v>
      </c>
      <c r="F1875" s="98" t="s">
        <v>240</v>
      </c>
      <c r="G1875" s="98" t="s">
        <v>373</v>
      </c>
      <c r="H1875" s="98" t="s">
        <v>513</v>
      </c>
      <c r="I1875" s="98" t="s">
        <v>370</v>
      </c>
    </row>
    <row r="1876" spans="2:9" s="98" customFormat="1">
      <c r="B1876" s="99" t="s">
        <v>474</v>
      </c>
      <c r="C1876" s="109">
        <v>45796.556944444441</v>
      </c>
      <c r="D1876" s="98" t="s">
        <v>30</v>
      </c>
      <c r="E1876" s="103">
        <v>3950</v>
      </c>
      <c r="F1876" s="98" t="s">
        <v>240</v>
      </c>
      <c r="G1876" s="98" t="s">
        <v>374</v>
      </c>
      <c r="H1876" s="98" t="s">
        <v>516</v>
      </c>
      <c r="I1876" s="98" t="s">
        <v>247</v>
      </c>
    </row>
    <row r="1877" spans="2:9" s="98" customFormat="1">
      <c r="B1877" s="99" t="s">
        <v>474</v>
      </c>
      <c r="C1877" s="109">
        <v>45795.818055555559</v>
      </c>
      <c r="D1877" s="98" t="s">
        <v>12</v>
      </c>
      <c r="E1877" s="103">
        <v>44963</v>
      </c>
      <c r="F1877" s="98" t="s">
        <v>240</v>
      </c>
      <c r="G1877" s="98" t="s">
        <v>374</v>
      </c>
      <c r="H1877" s="98" t="s">
        <v>516</v>
      </c>
      <c r="I1877" s="98" t="s">
        <v>245</v>
      </c>
    </row>
    <row r="1878" spans="2:9" s="98" customFormat="1">
      <c r="B1878" s="99" t="s">
        <v>474</v>
      </c>
      <c r="C1878" s="109">
        <v>45795.64166666667</v>
      </c>
      <c r="D1878" s="98" t="s">
        <v>95</v>
      </c>
      <c r="E1878" s="103">
        <v>11350</v>
      </c>
      <c r="F1878" s="98" t="s">
        <v>240</v>
      </c>
      <c r="G1878" s="98" t="s">
        <v>374</v>
      </c>
      <c r="H1878" s="98" t="s">
        <v>516</v>
      </c>
      <c r="I1878" s="98" t="s">
        <v>245</v>
      </c>
    </row>
    <row r="1879" spans="2:9" s="98" customFormat="1">
      <c r="B1879" s="99" t="s">
        <v>474</v>
      </c>
      <c r="C1879" s="109">
        <v>45795.629861111112</v>
      </c>
      <c r="D1879" s="98" t="s">
        <v>96</v>
      </c>
      <c r="E1879" s="103">
        <v>2750</v>
      </c>
      <c r="F1879" s="98" t="s">
        <v>240</v>
      </c>
      <c r="G1879" s="98" t="s">
        <v>374</v>
      </c>
      <c r="H1879" s="98" t="s">
        <v>516</v>
      </c>
      <c r="I1879" s="98" t="s">
        <v>242</v>
      </c>
    </row>
    <row r="1880" spans="2:9" s="98" customFormat="1">
      <c r="B1880" s="99" t="s">
        <v>474</v>
      </c>
      <c r="C1880" s="109">
        <v>45795.623611111114</v>
      </c>
      <c r="D1880" s="98" t="s">
        <v>97</v>
      </c>
      <c r="E1880" s="103">
        <v>41971</v>
      </c>
      <c r="F1880" s="98" t="s">
        <v>240</v>
      </c>
      <c r="G1880" s="98" t="s">
        <v>374</v>
      </c>
      <c r="H1880" s="98" t="s">
        <v>516</v>
      </c>
      <c r="I1880" s="98" t="s">
        <v>243</v>
      </c>
    </row>
    <row r="1881" spans="2:9" s="98" customFormat="1">
      <c r="B1881" s="99" t="s">
        <v>474</v>
      </c>
      <c r="C1881" s="109">
        <v>45795.546527777777</v>
      </c>
      <c r="D1881" s="98" t="s">
        <v>98</v>
      </c>
      <c r="E1881" s="103">
        <v>10009</v>
      </c>
      <c r="F1881" s="98" t="s">
        <v>240</v>
      </c>
      <c r="G1881" s="98" t="s">
        <v>374</v>
      </c>
      <c r="H1881" s="98" t="s">
        <v>516</v>
      </c>
      <c r="I1881" s="98" t="s">
        <v>244</v>
      </c>
    </row>
    <row r="1882" spans="2:9" s="98" customFormat="1">
      <c r="B1882" s="99" t="s">
        <v>474</v>
      </c>
      <c r="C1882" s="109">
        <v>45794.667361111111</v>
      </c>
      <c r="D1882" s="98" t="s">
        <v>99</v>
      </c>
      <c r="E1882" s="103">
        <v>11800</v>
      </c>
      <c r="F1882" s="98" t="s">
        <v>240</v>
      </c>
      <c r="G1882" s="98" t="s">
        <v>374</v>
      </c>
      <c r="H1882" s="98" t="s">
        <v>516</v>
      </c>
      <c r="I1882" s="98" t="s">
        <v>248</v>
      </c>
    </row>
    <row r="1883" spans="2:9" s="98" customFormat="1">
      <c r="B1883" s="99" t="s">
        <v>474</v>
      </c>
      <c r="C1883" s="109">
        <v>45794.557638888888</v>
      </c>
      <c r="D1883" s="98" t="s">
        <v>65</v>
      </c>
      <c r="E1883" s="103">
        <v>5180</v>
      </c>
      <c r="F1883" s="98" t="s">
        <v>240</v>
      </c>
      <c r="G1883" s="98" t="s">
        <v>374</v>
      </c>
      <c r="H1883" s="98" t="s">
        <v>516</v>
      </c>
      <c r="I1883" s="98" t="s">
        <v>247</v>
      </c>
    </row>
    <row r="1884" spans="2:9" s="98" customFormat="1">
      <c r="B1884" s="99" t="s">
        <v>474</v>
      </c>
      <c r="C1884" s="109">
        <v>45794.538888888892</v>
      </c>
      <c r="D1884" s="98" t="s">
        <v>7</v>
      </c>
      <c r="E1884" s="103">
        <v>4990</v>
      </c>
      <c r="F1884" s="98" t="s">
        <v>240</v>
      </c>
      <c r="G1884" s="98" t="s">
        <v>374</v>
      </c>
      <c r="H1884" s="98" t="s">
        <v>516</v>
      </c>
      <c r="I1884" s="98" t="s">
        <v>244</v>
      </c>
    </row>
    <row r="1885" spans="2:9" s="98" customFormat="1">
      <c r="B1885" s="99" t="s">
        <v>474</v>
      </c>
      <c r="C1885" s="109">
        <v>45794.481944444444</v>
      </c>
      <c r="D1885" s="98" t="s">
        <v>40</v>
      </c>
      <c r="E1885" s="103">
        <v>50000</v>
      </c>
      <c r="F1885" s="98" t="s">
        <v>240</v>
      </c>
      <c r="G1885" s="98" t="s">
        <v>374</v>
      </c>
      <c r="H1885" s="98" t="s">
        <v>516</v>
      </c>
      <c r="I1885" s="98" t="s">
        <v>263</v>
      </c>
    </row>
    <row r="1886" spans="2:9" s="98" customFormat="1">
      <c r="B1886" s="99" t="s">
        <v>474</v>
      </c>
      <c r="C1886" s="109">
        <v>45793.933333333334</v>
      </c>
      <c r="D1886" s="98" t="s">
        <v>100</v>
      </c>
      <c r="E1886" s="103">
        <v>51370</v>
      </c>
      <c r="F1886" s="98" t="s">
        <v>240</v>
      </c>
      <c r="G1886" s="98" t="s">
        <v>374</v>
      </c>
      <c r="H1886" s="98" t="s">
        <v>516</v>
      </c>
      <c r="I1886" s="98" t="s">
        <v>248</v>
      </c>
    </row>
    <row r="1887" spans="2:9" s="98" customFormat="1">
      <c r="B1887" s="99" t="s">
        <v>474</v>
      </c>
      <c r="C1887" s="109">
        <v>45793.870833333334</v>
      </c>
      <c r="D1887" s="98" t="s">
        <v>101</v>
      </c>
      <c r="E1887" s="103">
        <v>2000</v>
      </c>
      <c r="F1887" s="98" t="s">
        <v>240</v>
      </c>
      <c r="G1887" s="98" t="s">
        <v>374</v>
      </c>
      <c r="H1887" s="98" t="s">
        <v>516</v>
      </c>
      <c r="I1887" s="98" t="s">
        <v>242</v>
      </c>
    </row>
    <row r="1888" spans="2:9" s="98" customFormat="1">
      <c r="B1888" s="99" t="s">
        <v>474</v>
      </c>
      <c r="C1888" s="109">
        <v>45793.820138888892</v>
      </c>
      <c r="D1888" s="98" t="s">
        <v>102</v>
      </c>
      <c r="E1888" s="103">
        <v>5500</v>
      </c>
      <c r="F1888" s="98" t="s">
        <v>240</v>
      </c>
      <c r="G1888" s="98" t="s">
        <v>374</v>
      </c>
      <c r="H1888" s="98" t="s">
        <v>516</v>
      </c>
      <c r="I1888" s="98" t="s">
        <v>242</v>
      </c>
    </row>
    <row r="1889" spans="2:9" s="98" customFormat="1">
      <c r="B1889" s="99" t="s">
        <v>474</v>
      </c>
      <c r="C1889" s="109">
        <v>45793.806944444441</v>
      </c>
      <c r="D1889" s="98" t="s">
        <v>103</v>
      </c>
      <c r="E1889" s="103">
        <v>16194</v>
      </c>
      <c r="F1889" s="98" t="s">
        <v>240</v>
      </c>
      <c r="G1889" s="98" t="s">
        <v>374</v>
      </c>
      <c r="H1889" s="98" t="s">
        <v>516</v>
      </c>
      <c r="I1889" s="98" t="s">
        <v>243</v>
      </c>
    </row>
    <row r="1890" spans="2:9" s="98" customFormat="1">
      <c r="B1890" s="99" t="s">
        <v>474</v>
      </c>
      <c r="C1890" s="109">
        <v>45793.560416666667</v>
      </c>
      <c r="D1890" s="98" t="s">
        <v>104</v>
      </c>
      <c r="E1890" s="103">
        <v>950</v>
      </c>
      <c r="F1890" s="98" t="s">
        <v>240</v>
      </c>
      <c r="G1890" s="98" t="s">
        <v>374</v>
      </c>
      <c r="H1890" s="98" t="s">
        <v>516</v>
      </c>
      <c r="I1890" s="98" t="s">
        <v>247</v>
      </c>
    </row>
    <row r="1891" spans="2:9" s="98" customFormat="1">
      <c r="B1891" s="99" t="s">
        <v>474</v>
      </c>
      <c r="C1891" s="109">
        <v>45793.495138888888</v>
      </c>
      <c r="D1891" s="98" t="s">
        <v>26</v>
      </c>
      <c r="E1891" s="103">
        <v>5500</v>
      </c>
      <c r="F1891" s="98" t="s">
        <v>240</v>
      </c>
      <c r="G1891" s="98" t="s">
        <v>374</v>
      </c>
      <c r="H1891" s="98" t="s">
        <v>516</v>
      </c>
      <c r="I1891" s="98" t="s">
        <v>248</v>
      </c>
    </row>
    <row r="1892" spans="2:9" s="98" customFormat="1">
      <c r="B1892" s="99" t="s">
        <v>474</v>
      </c>
      <c r="C1892" s="109">
        <v>45793.390972222223</v>
      </c>
      <c r="D1892" s="98" t="s">
        <v>94</v>
      </c>
      <c r="E1892" s="103">
        <v>14970</v>
      </c>
      <c r="F1892" s="98" t="s">
        <v>240</v>
      </c>
      <c r="G1892" s="98" t="s">
        <v>374</v>
      </c>
      <c r="H1892" s="98" t="s">
        <v>516</v>
      </c>
      <c r="I1892" s="98" t="s">
        <v>244</v>
      </c>
    </row>
    <row r="1893" spans="2:9" s="98" customFormat="1">
      <c r="B1893" s="99" t="s">
        <v>474</v>
      </c>
      <c r="C1893" s="109">
        <v>45793.386805555558</v>
      </c>
      <c r="D1893" s="98" t="s">
        <v>105</v>
      </c>
      <c r="E1893" s="103">
        <v>15000</v>
      </c>
      <c r="F1893" s="98" t="s">
        <v>240</v>
      </c>
      <c r="G1893" s="98" t="s">
        <v>374</v>
      </c>
      <c r="H1893" s="98" t="s">
        <v>516</v>
      </c>
      <c r="I1893" s="98" t="s">
        <v>270</v>
      </c>
    </row>
    <row r="1894" spans="2:9" s="98" customFormat="1">
      <c r="B1894" s="99" t="s">
        <v>474</v>
      </c>
      <c r="C1894" s="109">
        <v>45793.344444444447</v>
      </c>
      <c r="D1894" s="98" t="s">
        <v>106</v>
      </c>
      <c r="E1894" s="103">
        <v>4000</v>
      </c>
      <c r="F1894" s="98" t="s">
        <v>240</v>
      </c>
      <c r="G1894" s="98" t="s">
        <v>374</v>
      </c>
      <c r="H1894" s="98" t="s">
        <v>516</v>
      </c>
      <c r="I1894" s="98" t="s">
        <v>251</v>
      </c>
    </row>
    <row r="1895" spans="2:9" s="98" customFormat="1">
      <c r="B1895" s="99" t="s">
        <v>474</v>
      </c>
      <c r="C1895" s="109">
        <v>45793</v>
      </c>
      <c r="D1895" s="98" t="s">
        <v>421</v>
      </c>
      <c r="E1895" s="103">
        <v>146568</v>
      </c>
      <c r="F1895" s="98" t="s">
        <v>240</v>
      </c>
      <c r="G1895" s="98" t="s">
        <v>374</v>
      </c>
      <c r="H1895" s="98" t="s">
        <v>516</v>
      </c>
      <c r="I1895" s="98" t="s">
        <v>243</v>
      </c>
    </row>
    <row r="1896" spans="2:9" s="98" customFormat="1">
      <c r="B1896" s="99" t="s">
        <v>474</v>
      </c>
      <c r="C1896" s="109">
        <v>45792.800000000003</v>
      </c>
      <c r="D1896" s="98" t="s">
        <v>56</v>
      </c>
      <c r="E1896" s="103">
        <v>8120</v>
      </c>
      <c r="F1896" s="98" t="s">
        <v>240</v>
      </c>
      <c r="G1896" s="98" t="s">
        <v>374</v>
      </c>
      <c r="H1896" s="98" t="s">
        <v>516</v>
      </c>
      <c r="I1896" s="98" t="s">
        <v>247</v>
      </c>
    </row>
    <row r="1897" spans="2:9" s="98" customFormat="1">
      <c r="B1897" s="99" t="s">
        <v>474</v>
      </c>
      <c r="C1897" s="109">
        <v>45792.628472222219</v>
      </c>
      <c r="D1897" s="98" t="s">
        <v>107</v>
      </c>
      <c r="E1897" s="103">
        <v>2900</v>
      </c>
      <c r="F1897" s="98" t="s">
        <v>240</v>
      </c>
      <c r="G1897" s="98" t="s">
        <v>374</v>
      </c>
      <c r="H1897" s="98" t="s">
        <v>516</v>
      </c>
      <c r="I1897" s="98" t="s">
        <v>247</v>
      </c>
    </row>
    <row r="1898" spans="2:9" s="98" customFormat="1">
      <c r="B1898" s="99" t="s">
        <v>474</v>
      </c>
      <c r="C1898" s="109">
        <v>45792.468055555553</v>
      </c>
      <c r="D1898" s="98" t="s">
        <v>65</v>
      </c>
      <c r="E1898" s="103">
        <v>2140</v>
      </c>
      <c r="F1898" s="98" t="s">
        <v>240</v>
      </c>
      <c r="G1898" s="98" t="s">
        <v>374</v>
      </c>
      <c r="H1898" s="98" t="s">
        <v>516</v>
      </c>
      <c r="I1898" s="98" t="s">
        <v>247</v>
      </c>
    </row>
    <row r="1899" spans="2:9" s="98" customFormat="1">
      <c r="B1899" s="99" t="s">
        <v>474</v>
      </c>
      <c r="C1899" s="109">
        <v>45792.388888888891</v>
      </c>
      <c r="D1899" s="98" t="s">
        <v>75</v>
      </c>
      <c r="E1899" s="103">
        <v>3852</v>
      </c>
      <c r="F1899" s="98" t="s">
        <v>240</v>
      </c>
      <c r="G1899" s="98" t="s">
        <v>374</v>
      </c>
      <c r="H1899" s="98" t="s">
        <v>516</v>
      </c>
      <c r="I1899" s="98" t="s">
        <v>242</v>
      </c>
    </row>
    <row r="1900" spans="2:9" s="98" customFormat="1">
      <c r="B1900" s="99" t="s">
        <v>474</v>
      </c>
      <c r="C1900" s="109">
        <v>45792</v>
      </c>
      <c r="D1900" s="98" t="s">
        <v>399</v>
      </c>
      <c r="E1900" s="103">
        <v>3259</v>
      </c>
      <c r="F1900" s="98" t="s">
        <v>240</v>
      </c>
      <c r="G1900" s="98" t="s">
        <v>374</v>
      </c>
      <c r="H1900" s="98" t="s">
        <v>513</v>
      </c>
      <c r="I1900" s="98" t="s">
        <v>370</v>
      </c>
    </row>
    <row r="1901" spans="2:9" s="98" customFormat="1">
      <c r="B1901" s="99" t="s">
        <v>474</v>
      </c>
      <c r="C1901" s="109">
        <v>45792</v>
      </c>
      <c r="D1901" s="98" t="s">
        <v>422</v>
      </c>
      <c r="E1901" s="103">
        <v>112200</v>
      </c>
      <c r="F1901" s="98" t="s">
        <v>240</v>
      </c>
      <c r="G1901" s="98" t="s">
        <v>374</v>
      </c>
      <c r="H1901" s="98" t="s">
        <v>513</v>
      </c>
      <c r="I1901" s="98" t="s">
        <v>271</v>
      </c>
    </row>
    <row r="1902" spans="2:9" s="98" customFormat="1">
      <c r="B1902" s="99" t="s">
        <v>474</v>
      </c>
      <c r="C1902" s="109">
        <v>45791.775694444441</v>
      </c>
      <c r="D1902" s="98" t="s">
        <v>12</v>
      </c>
      <c r="E1902" s="103">
        <v>18889</v>
      </c>
      <c r="F1902" s="98" t="s">
        <v>240</v>
      </c>
      <c r="G1902" s="98" t="s">
        <v>374</v>
      </c>
      <c r="H1902" s="98" t="s">
        <v>516</v>
      </c>
      <c r="I1902" s="98" t="s">
        <v>245</v>
      </c>
    </row>
    <row r="1903" spans="2:9" s="98" customFormat="1">
      <c r="B1903" s="99" t="s">
        <v>474</v>
      </c>
      <c r="C1903" s="109">
        <v>45791.758333333331</v>
      </c>
      <c r="D1903" s="98" t="s">
        <v>93</v>
      </c>
      <c r="E1903" s="103">
        <v>30000</v>
      </c>
      <c r="F1903" s="98" t="s">
        <v>240</v>
      </c>
      <c r="G1903" s="98" t="s">
        <v>374</v>
      </c>
      <c r="H1903" s="98" t="s">
        <v>516</v>
      </c>
      <c r="I1903" s="98" t="s">
        <v>263</v>
      </c>
    </row>
    <row r="1904" spans="2:9" s="98" customFormat="1">
      <c r="B1904" s="99" t="s">
        <v>474</v>
      </c>
      <c r="C1904" s="109">
        <v>45791.542361111111</v>
      </c>
      <c r="D1904" s="98" t="s">
        <v>26</v>
      </c>
      <c r="E1904" s="103">
        <v>27670</v>
      </c>
      <c r="F1904" s="98" t="s">
        <v>240</v>
      </c>
      <c r="G1904" s="98" t="s">
        <v>374</v>
      </c>
      <c r="H1904" s="98" t="s">
        <v>516</v>
      </c>
      <c r="I1904" s="98" t="s">
        <v>248</v>
      </c>
    </row>
    <row r="1905" spans="2:9" s="98" customFormat="1">
      <c r="B1905" s="99" t="s">
        <v>474</v>
      </c>
      <c r="C1905" s="109">
        <v>45791.504166666666</v>
      </c>
      <c r="D1905" s="98" t="s">
        <v>108</v>
      </c>
      <c r="E1905" s="103">
        <v>6150</v>
      </c>
      <c r="F1905" s="98" t="s">
        <v>240</v>
      </c>
      <c r="G1905" s="98" t="s">
        <v>374</v>
      </c>
      <c r="H1905" s="98" t="s">
        <v>516</v>
      </c>
      <c r="I1905" s="98" t="s">
        <v>247</v>
      </c>
    </row>
    <row r="1906" spans="2:9" s="98" customFormat="1">
      <c r="B1906" s="99" t="s">
        <v>474</v>
      </c>
      <c r="C1906" s="109">
        <v>45791.49722222222</v>
      </c>
      <c r="D1906" s="98" t="s">
        <v>20</v>
      </c>
      <c r="E1906" s="103">
        <v>6090</v>
      </c>
      <c r="F1906" s="98" t="s">
        <v>240</v>
      </c>
      <c r="G1906" s="98" t="s">
        <v>374</v>
      </c>
      <c r="H1906" s="98" t="s">
        <v>516</v>
      </c>
      <c r="I1906" s="98" t="s">
        <v>242</v>
      </c>
    </row>
    <row r="1907" spans="2:9" s="98" customFormat="1">
      <c r="B1907" s="99" t="s">
        <v>474</v>
      </c>
      <c r="C1907" s="109">
        <v>45791.491666666669</v>
      </c>
      <c r="D1907" s="98" t="s">
        <v>109</v>
      </c>
      <c r="E1907" s="103">
        <v>44148</v>
      </c>
      <c r="F1907" s="98" t="s">
        <v>240</v>
      </c>
      <c r="G1907" s="98" t="s">
        <v>374</v>
      </c>
      <c r="H1907" s="98" t="s">
        <v>516</v>
      </c>
      <c r="I1907" s="98" t="s">
        <v>243</v>
      </c>
    </row>
    <row r="1908" spans="2:9" s="98" customFormat="1">
      <c r="B1908" s="99" t="s">
        <v>474</v>
      </c>
      <c r="C1908" s="109">
        <v>45791.479861111111</v>
      </c>
      <c r="D1908" s="98" t="s">
        <v>110</v>
      </c>
      <c r="E1908" s="103">
        <v>69990</v>
      </c>
      <c r="F1908" s="98" t="s">
        <v>240</v>
      </c>
      <c r="G1908" s="98" t="s">
        <v>374</v>
      </c>
      <c r="H1908" s="98" t="s">
        <v>516</v>
      </c>
      <c r="I1908" s="98" t="s">
        <v>243</v>
      </c>
    </row>
    <row r="1909" spans="2:9" s="98" customFormat="1">
      <c r="B1909" s="99" t="s">
        <v>474</v>
      </c>
      <c r="C1909" s="109">
        <v>45791.469444444447</v>
      </c>
      <c r="D1909" s="98" t="s">
        <v>111</v>
      </c>
      <c r="E1909" s="103">
        <v>2000</v>
      </c>
      <c r="F1909" s="98" t="s">
        <v>240</v>
      </c>
      <c r="G1909" s="98" t="s">
        <v>374</v>
      </c>
      <c r="H1909" s="98" t="s">
        <v>516</v>
      </c>
      <c r="I1909" s="98" t="s">
        <v>247</v>
      </c>
    </row>
    <row r="1910" spans="2:9" s="98" customFormat="1">
      <c r="B1910" s="99" t="s">
        <v>474</v>
      </c>
      <c r="C1910" s="109">
        <v>45791</v>
      </c>
      <c r="D1910" s="98" t="s">
        <v>423</v>
      </c>
      <c r="E1910" s="103">
        <v>-1873228</v>
      </c>
      <c r="F1910" s="98" t="s">
        <v>239</v>
      </c>
      <c r="I1910" s="98" t="s">
        <v>398</v>
      </c>
    </row>
    <row r="1911" spans="2:9" s="98" customFormat="1">
      <c r="B1911" s="99" t="s">
        <v>474</v>
      </c>
      <c r="C1911" s="109">
        <v>45790.945138888892</v>
      </c>
      <c r="D1911" s="98" t="s">
        <v>104</v>
      </c>
      <c r="E1911" s="103">
        <v>3600</v>
      </c>
      <c r="F1911" s="98" t="s">
        <v>240</v>
      </c>
      <c r="G1911" s="98" t="s">
        <v>374</v>
      </c>
      <c r="H1911" s="98" t="s">
        <v>516</v>
      </c>
      <c r="I1911" s="98" t="s">
        <v>247</v>
      </c>
    </row>
    <row r="1912" spans="2:9" s="98" customFormat="1">
      <c r="B1912" s="99" t="s">
        <v>474</v>
      </c>
      <c r="C1912" s="109">
        <v>45790.884027777778</v>
      </c>
      <c r="D1912" s="98" t="s">
        <v>9</v>
      </c>
      <c r="E1912" s="103">
        <v>1090</v>
      </c>
      <c r="F1912" s="98" t="s">
        <v>240</v>
      </c>
      <c r="G1912" s="98" t="s">
        <v>374</v>
      </c>
      <c r="H1912" s="98" t="s">
        <v>516</v>
      </c>
      <c r="I1912" s="98" t="s">
        <v>242</v>
      </c>
    </row>
    <row r="1913" spans="2:9" s="98" customFormat="1">
      <c r="B1913" s="99" t="s">
        <v>474</v>
      </c>
      <c r="C1913" s="109">
        <v>45790.882638888892</v>
      </c>
      <c r="D1913" s="98" t="s">
        <v>9</v>
      </c>
      <c r="E1913" s="103">
        <v>15000</v>
      </c>
      <c r="F1913" s="98" t="s">
        <v>240</v>
      </c>
      <c r="G1913" s="98" t="s">
        <v>374</v>
      </c>
      <c r="H1913" s="98" t="s">
        <v>516</v>
      </c>
      <c r="I1913" s="98" t="s">
        <v>270</v>
      </c>
    </row>
    <row r="1914" spans="2:9" s="98" customFormat="1">
      <c r="B1914" s="99" t="s">
        <v>474</v>
      </c>
      <c r="C1914" s="109">
        <v>45790.693055555559</v>
      </c>
      <c r="D1914" s="98" t="s">
        <v>112</v>
      </c>
      <c r="E1914" s="103">
        <v>3100</v>
      </c>
      <c r="F1914" s="98" t="s">
        <v>240</v>
      </c>
      <c r="G1914" s="98" t="s">
        <v>374</v>
      </c>
      <c r="H1914" s="98" t="s">
        <v>516</v>
      </c>
      <c r="I1914" s="98" t="s">
        <v>247</v>
      </c>
    </row>
    <row r="1915" spans="2:9" s="98" customFormat="1">
      <c r="B1915" s="99" t="s">
        <v>474</v>
      </c>
      <c r="C1915" s="109">
        <v>45790.688888888886</v>
      </c>
      <c r="D1915" s="98" t="s">
        <v>113</v>
      </c>
      <c r="E1915" s="103">
        <v>1890</v>
      </c>
      <c r="F1915" s="98" t="s">
        <v>240</v>
      </c>
      <c r="G1915" s="98" t="s">
        <v>374</v>
      </c>
      <c r="H1915" s="98" t="s">
        <v>516</v>
      </c>
      <c r="I1915" s="98" t="s">
        <v>247</v>
      </c>
    </row>
    <row r="1916" spans="2:9" s="98" customFormat="1">
      <c r="B1916" s="99" t="s">
        <v>474</v>
      </c>
      <c r="C1916" s="109">
        <v>45790.6875</v>
      </c>
      <c r="D1916" s="98" t="s">
        <v>114</v>
      </c>
      <c r="E1916" s="103">
        <v>50000</v>
      </c>
      <c r="F1916" s="98" t="s">
        <v>240</v>
      </c>
      <c r="G1916" s="98" t="s">
        <v>374</v>
      </c>
      <c r="H1916" s="98" t="s">
        <v>516</v>
      </c>
      <c r="I1916" s="98" t="s">
        <v>263</v>
      </c>
    </row>
    <row r="1917" spans="2:9" s="98" customFormat="1">
      <c r="B1917" s="99" t="s">
        <v>474</v>
      </c>
      <c r="C1917" s="109">
        <v>45790.474999999999</v>
      </c>
      <c r="D1917" s="98" t="s">
        <v>96</v>
      </c>
      <c r="E1917" s="103">
        <v>1950</v>
      </c>
      <c r="F1917" s="98" t="s">
        <v>240</v>
      </c>
      <c r="G1917" s="98" t="s">
        <v>374</v>
      </c>
      <c r="H1917" s="98" t="s">
        <v>516</v>
      </c>
      <c r="I1917" s="98" t="s">
        <v>242</v>
      </c>
    </row>
    <row r="1918" spans="2:9" s="98" customFormat="1">
      <c r="B1918" s="99" t="s">
        <v>474</v>
      </c>
      <c r="C1918" s="109">
        <v>45790.447916666664</v>
      </c>
      <c r="D1918" s="98" t="s">
        <v>62</v>
      </c>
      <c r="E1918" s="103">
        <v>1600</v>
      </c>
      <c r="F1918" s="98" t="s">
        <v>240</v>
      </c>
      <c r="G1918" s="98" t="s">
        <v>374</v>
      </c>
      <c r="H1918" s="98" t="s">
        <v>516</v>
      </c>
      <c r="I1918" s="98" t="s">
        <v>247</v>
      </c>
    </row>
    <row r="1919" spans="2:9" s="98" customFormat="1">
      <c r="B1919" s="99" t="s">
        <v>474</v>
      </c>
      <c r="C1919" s="109">
        <v>45789.870138888888</v>
      </c>
      <c r="D1919" s="98" t="s">
        <v>95</v>
      </c>
      <c r="E1919" s="103">
        <v>6440</v>
      </c>
      <c r="F1919" s="98" t="s">
        <v>240</v>
      </c>
      <c r="G1919" s="98" t="s">
        <v>374</v>
      </c>
      <c r="H1919" s="98" t="s">
        <v>516</v>
      </c>
      <c r="I1919" s="98" t="s">
        <v>245</v>
      </c>
    </row>
    <row r="1920" spans="2:9" s="98" customFormat="1">
      <c r="B1920" s="99" t="s">
        <v>474</v>
      </c>
      <c r="C1920" s="109">
        <v>45789.85</v>
      </c>
      <c r="D1920" s="98" t="s">
        <v>115</v>
      </c>
      <c r="E1920" s="103">
        <v>113580</v>
      </c>
      <c r="F1920" s="98" t="s">
        <v>240</v>
      </c>
      <c r="G1920" s="98" t="s">
        <v>374</v>
      </c>
      <c r="H1920" s="98" t="s">
        <v>516</v>
      </c>
      <c r="I1920" s="98" t="s">
        <v>245</v>
      </c>
    </row>
    <row r="1921" spans="2:9" s="98" customFormat="1">
      <c r="B1921" s="99" t="s">
        <v>474</v>
      </c>
      <c r="C1921" s="109">
        <v>45789.821527777778</v>
      </c>
      <c r="D1921" s="98" t="s">
        <v>116</v>
      </c>
      <c r="E1921" s="103">
        <v>-418</v>
      </c>
      <c r="F1921" s="98" t="s">
        <v>239</v>
      </c>
      <c r="I1921" s="98" t="s">
        <v>253</v>
      </c>
    </row>
    <row r="1922" spans="2:9" s="98" customFormat="1">
      <c r="B1922" s="99" t="s">
        <v>474</v>
      </c>
      <c r="C1922" s="109">
        <v>45789.811111111114</v>
      </c>
      <c r="D1922" s="98" t="s">
        <v>117</v>
      </c>
      <c r="E1922" s="103">
        <v>-1896</v>
      </c>
      <c r="F1922" s="98" t="s">
        <v>239</v>
      </c>
      <c r="I1922" s="98" t="s">
        <v>253</v>
      </c>
    </row>
    <row r="1923" spans="2:9" s="98" customFormat="1">
      <c r="B1923" s="99" t="s">
        <v>474</v>
      </c>
      <c r="C1923" s="109">
        <v>45789.618750000001</v>
      </c>
      <c r="D1923" s="98" t="s">
        <v>118</v>
      </c>
      <c r="E1923" s="103">
        <v>1700</v>
      </c>
      <c r="F1923" s="98" t="s">
        <v>240</v>
      </c>
      <c r="G1923" s="98" t="s">
        <v>374</v>
      </c>
      <c r="H1923" s="98" t="s">
        <v>516</v>
      </c>
      <c r="I1923" s="98" t="s">
        <v>241</v>
      </c>
    </row>
    <row r="1924" spans="2:9" s="98" customFormat="1">
      <c r="B1924" s="99" t="s">
        <v>474</v>
      </c>
      <c r="C1924" s="109">
        <v>45789.577777777777</v>
      </c>
      <c r="D1924" s="98" t="s">
        <v>119</v>
      </c>
      <c r="E1924" s="103">
        <v>7480</v>
      </c>
      <c r="F1924" s="98" t="s">
        <v>240</v>
      </c>
      <c r="G1924" s="98" t="s">
        <v>374</v>
      </c>
      <c r="H1924" s="98" t="s">
        <v>516</v>
      </c>
      <c r="I1924" s="98" t="s">
        <v>264</v>
      </c>
    </row>
    <row r="1925" spans="2:9" s="98" customFormat="1">
      <c r="B1925" s="99" t="s">
        <v>474</v>
      </c>
      <c r="C1925" s="109">
        <v>45789.555555555555</v>
      </c>
      <c r="D1925" s="98" t="s">
        <v>120</v>
      </c>
      <c r="E1925" s="103">
        <v>2860</v>
      </c>
      <c r="F1925" s="98" t="s">
        <v>240</v>
      </c>
      <c r="G1925" s="98" t="s">
        <v>374</v>
      </c>
      <c r="H1925" s="98" t="s">
        <v>516</v>
      </c>
      <c r="I1925" s="98" t="s">
        <v>241</v>
      </c>
    </row>
    <row r="1926" spans="2:9" s="98" customFormat="1">
      <c r="B1926" s="99" t="s">
        <v>474</v>
      </c>
      <c r="C1926" s="109">
        <v>45789.463888888888</v>
      </c>
      <c r="D1926" s="98" t="s">
        <v>115</v>
      </c>
      <c r="E1926" s="103">
        <v>17350</v>
      </c>
      <c r="F1926" s="98" t="s">
        <v>240</v>
      </c>
      <c r="G1926" s="98" t="s">
        <v>374</v>
      </c>
      <c r="H1926" s="98" t="s">
        <v>516</v>
      </c>
      <c r="I1926" s="98" t="s">
        <v>245</v>
      </c>
    </row>
    <row r="1927" spans="2:9" s="98" customFormat="1">
      <c r="B1927" s="99" t="s">
        <v>474</v>
      </c>
      <c r="C1927" s="109">
        <v>45789.344444444447</v>
      </c>
      <c r="D1927" s="98" t="s">
        <v>30</v>
      </c>
      <c r="E1927" s="103">
        <v>3600</v>
      </c>
      <c r="F1927" s="98" t="s">
        <v>240</v>
      </c>
      <c r="G1927" s="98" t="s">
        <v>374</v>
      </c>
      <c r="H1927" s="98" t="s">
        <v>516</v>
      </c>
      <c r="I1927" s="98" t="s">
        <v>247</v>
      </c>
    </row>
    <row r="1928" spans="2:9" s="98" customFormat="1">
      <c r="B1928" s="99" t="s">
        <v>474</v>
      </c>
      <c r="C1928" s="109">
        <v>45788.711111111108</v>
      </c>
      <c r="D1928" s="98" t="s">
        <v>121</v>
      </c>
      <c r="E1928" s="103">
        <v>12000</v>
      </c>
      <c r="F1928" s="98" t="s">
        <v>240</v>
      </c>
      <c r="G1928" s="98" t="s">
        <v>374</v>
      </c>
      <c r="H1928" s="98" t="s">
        <v>516</v>
      </c>
      <c r="I1928" s="98" t="s">
        <v>248</v>
      </c>
    </row>
    <row r="1929" spans="2:9" s="98" customFormat="1">
      <c r="B1929" s="99" t="s">
        <v>474</v>
      </c>
      <c r="C1929" s="109">
        <v>45788.670138888891</v>
      </c>
      <c r="D1929" s="98" t="s">
        <v>122</v>
      </c>
      <c r="E1929" s="103">
        <v>52140</v>
      </c>
      <c r="F1929" s="98" t="s">
        <v>240</v>
      </c>
      <c r="G1929" s="98" t="s">
        <v>374</v>
      </c>
      <c r="H1929" s="98" t="s">
        <v>516</v>
      </c>
      <c r="I1929" s="98" t="s">
        <v>248</v>
      </c>
    </row>
    <row r="1930" spans="2:9" s="98" customFormat="1">
      <c r="B1930" s="99" t="s">
        <v>474</v>
      </c>
      <c r="C1930" s="109">
        <v>45788.560416666667</v>
      </c>
      <c r="D1930" s="98" t="s">
        <v>123</v>
      </c>
      <c r="E1930" s="103">
        <v>3500</v>
      </c>
      <c r="F1930" s="98" t="s">
        <v>240</v>
      </c>
      <c r="G1930" s="98" t="s">
        <v>374</v>
      </c>
      <c r="H1930" s="98" t="s">
        <v>516</v>
      </c>
      <c r="I1930" s="98" t="s">
        <v>248</v>
      </c>
    </row>
    <row r="1931" spans="2:9" s="98" customFormat="1">
      <c r="B1931" s="99" t="s">
        <v>474</v>
      </c>
      <c r="C1931" s="109">
        <v>45788.546527777777</v>
      </c>
      <c r="D1931" s="98" t="s">
        <v>123</v>
      </c>
      <c r="E1931" s="103">
        <v>16300</v>
      </c>
      <c r="F1931" s="98" t="s">
        <v>240</v>
      </c>
      <c r="G1931" s="98" t="s">
        <v>374</v>
      </c>
      <c r="H1931" s="98" t="s">
        <v>516</v>
      </c>
      <c r="I1931" s="98" t="s">
        <v>248</v>
      </c>
    </row>
    <row r="1932" spans="2:9" s="98" customFormat="1">
      <c r="B1932" s="99" t="s">
        <v>474</v>
      </c>
      <c r="C1932" s="109">
        <v>45788.499305555553</v>
      </c>
      <c r="D1932" s="98" t="s">
        <v>9</v>
      </c>
      <c r="E1932" s="103">
        <v>20000</v>
      </c>
      <c r="F1932" s="98" t="s">
        <v>240</v>
      </c>
      <c r="G1932" s="98" t="s">
        <v>374</v>
      </c>
      <c r="H1932" s="98" t="s">
        <v>516</v>
      </c>
      <c r="I1932" s="98" t="s">
        <v>270</v>
      </c>
    </row>
    <row r="1933" spans="2:9" s="98" customFormat="1">
      <c r="B1933" s="99" t="s">
        <v>474</v>
      </c>
      <c r="C1933" s="109">
        <v>45787.745833333334</v>
      </c>
      <c r="D1933" s="98" t="s">
        <v>124</v>
      </c>
      <c r="E1933" s="103">
        <v>6650</v>
      </c>
      <c r="F1933" s="98" t="s">
        <v>240</v>
      </c>
      <c r="G1933" s="98" t="s">
        <v>374</v>
      </c>
      <c r="H1933" s="98" t="s">
        <v>516</v>
      </c>
      <c r="I1933" s="98" t="s">
        <v>248</v>
      </c>
    </row>
    <row r="1934" spans="2:9" s="98" customFormat="1">
      <c r="B1934" s="99" t="s">
        <v>474</v>
      </c>
      <c r="C1934" s="109">
        <v>45787.740277777775</v>
      </c>
      <c r="D1934" s="98" t="s">
        <v>125</v>
      </c>
      <c r="E1934" s="103">
        <v>17200</v>
      </c>
      <c r="F1934" s="98" t="s">
        <v>240</v>
      </c>
      <c r="G1934" s="98" t="s">
        <v>374</v>
      </c>
      <c r="H1934" s="98" t="s">
        <v>516</v>
      </c>
      <c r="I1934" s="98" t="s">
        <v>269</v>
      </c>
    </row>
    <row r="1935" spans="2:9" s="98" customFormat="1">
      <c r="B1935" s="99" t="s">
        <v>474</v>
      </c>
      <c r="C1935" s="109">
        <v>45787.709027777775</v>
      </c>
      <c r="D1935" s="98" t="s">
        <v>126</v>
      </c>
      <c r="E1935" s="103">
        <v>39990</v>
      </c>
      <c r="F1935" s="98" t="s">
        <v>240</v>
      </c>
      <c r="G1935" s="98" t="s">
        <v>374</v>
      </c>
      <c r="H1935" s="98" t="s">
        <v>516</v>
      </c>
      <c r="I1935" s="98" t="s">
        <v>243</v>
      </c>
    </row>
    <row r="1936" spans="2:9" s="98" customFormat="1">
      <c r="B1936" s="99" t="s">
        <v>474</v>
      </c>
      <c r="C1936" s="109">
        <v>45787.697916666664</v>
      </c>
      <c r="D1936" s="98" t="s">
        <v>127</v>
      </c>
      <c r="E1936" s="103">
        <v>23990</v>
      </c>
      <c r="F1936" s="98" t="s">
        <v>240</v>
      </c>
      <c r="G1936" s="98" t="s">
        <v>374</v>
      </c>
      <c r="H1936" s="98" t="s">
        <v>516</v>
      </c>
      <c r="I1936" s="98" t="s">
        <v>243</v>
      </c>
    </row>
    <row r="1937" spans="2:9" s="98" customFormat="1">
      <c r="B1937" s="99" t="s">
        <v>474</v>
      </c>
      <c r="C1937" s="109">
        <v>45787.576388888891</v>
      </c>
      <c r="D1937" s="98" t="s">
        <v>128</v>
      </c>
      <c r="E1937" s="103">
        <v>5970</v>
      </c>
      <c r="F1937" s="98" t="s">
        <v>240</v>
      </c>
      <c r="G1937" s="98" t="s">
        <v>374</v>
      </c>
      <c r="H1937" s="98" t="s">
        <v>516</v>
      </c>
      <c r="I1937" s="98" t="s">
        <v>242</v>
      </c>
    </row>
    <row r="1938" spans="2:9" s="98" customFormat="1">
      <c r="B1938" s="99" t="s">
        <v>474</v>
      </c>
      <c r="C1938" s="109">
        <v>45787.571527777778</v>
      </c>
      <c r="D1938" s="98" t="s">
        <v>129</v>
      </c>
      <c r="E1938" s="103">
        <v>8000</v>
      </c>
      <c r="F1938" s="98" t="s">
        <v>240</v>
      </c>
      <c r="G1938" s="98" t="s">
        <v>374</v>
      </c>
      <c r="H1938" s="98" t="s">
        <v>516</v>
      </c>
      <c r="I1938" s="98" t="s">
        <v>242</v>
      </c>
    </row>
    <row r="1939" spans="2:9" s="98" customFormat="1">
      <c r="B1939" s="99" t="s">
        <v>474</v>
      </c>
      <c r="C1939" s="109">
        <v>45787.44027777778</v>
      </c>
      <c r="D1939" s="98" t="s">
        <v>64</v>
      </c>
      <c r="E1939" s="103">
        <v>50000</v>
      </c>
      <c r="F1939" s="98" t="s">
        <v>240</v>
      </c>
      <c r="G1939" s="98" t="s">
        <v>374</v>
      </c>
      <c r="H1939" s="98" t="s">
        <v>516</v>
      </c>
      <c r="I1939" s="98" t="s">
        <v>263</v>
      </c>
    </row>
    <row r="1940" spans="2:9" s="98" customFormat="1">
      <c r="B1940" s="99" t="s">
        <v>474</v>
      </c>
      <c r="C1940" s="109">
        <v>45786.970833333333</v>
      </c>
      <c r="D1940" s="98" t="s">
        <v>26</v>
      </c>
      <c r="E1940" s="103">
        <v>8393</v>
      </c>
      <c r="F1940" s="98" t="s">
        <v>240</v>
      </c>
      <c r="G1940" s="98" t="s">
        <v>374</v>
      </c>
      <c r="H1940" s="98" t="s">
        <v>516</v>
      </c>
      <c r="I1940" s="98" t="s">
        <v>248</v>
      </c>
    </row>
    <row r="1941" spans="2:9" s="98" customFormat="1">
      <c r="B1941" s="99" t="s">
        <v>474</v>
      </c>
      <c r="C1941" s="109">
        <v>45786.967361111114</v>
      </c>
      <c r="D1941" s="98" t="s">
        <v>26</v>
      </c>
      <c r="E1941" s="103">
        <v>7530</v>
      </c>
      <c r="F1941" s="98" t="s">
        <v>240</v>
      </c>
      <c r="G1941" s="98" t="s">
        <v>374</v>
      </c>
      <c r="H1941" s="98" t="s">
        <v>516</v>
      </c>
      <c r="I1941" s="98" t="s">
        <v>248</v>
      </c>
    </row>
    <row r="1942" spans="2:9" s="98" customFormat="1">
      <c r="B1942" s="99" t="s">
        <v>474</v>
      </c>
      <c r="C1942" s="109">
        <v>45786.63958333333</v>
      </c>
      <c r="D1942" s="98" t="s">
        <v>65</v>
      </c>
      <c r="E1942" s="103">
        <v>5870</v>
      </c>
      <c r="F1942" s="98" t="s">
        <v>240</v>
      </c>
      <c r="G1942" s="98" t="s">
        <v>374</v>
      </c>
      <c r="H1942" s="98" t="s">
        <v>516</v>
      </c>
      <c r="I1942" s="98" t="s">
        <v>247</v>
      </c>
    </row>
    <row r="1943" spans="2:9" s="98" customFormat="1">
      <c r="B1943" s="99" t="s">
        <v>474</v>
      </c>
      <c r="C1943" s="109">
        <v>45786.480555555558</v>
      </c>
      <c r="D1943" s="98" t="s">
        <v>130</v>
      </c>
      <c r="E1943" s="103">
        <v>11400</v>
      </c>
      <c r="F1943" s="98" t="s">
        <v>240</v>
      </c>
      <c r="G1943" s="98" t="s">
        <v>374</v>
      </c>
      <c r="H1943" s="98" t="s">
        <v>516</v>
      </c>
      <c r="I1943" s="98" t="s">
        <v>243</v>
      </c>
    </row>
    <row r="1944" spans="2:9" s="98" customFormat="1">
      <c r="B1944" s="99" t="s">
        <v>474</v>
      </c>
      <c r="C1944" s="109">
        <v>45786.408333333333</v>
      </c>
      <c r="D1944" s="98" t="s">
        <v>51</v>
      </c>
      <c r="E1944" s="103">
        <v>10000</v>
      </c>
      <c r="F1944" s="98" t="s">
        <v>240</v>
      </c>
      <c r="G1944" s="98" t="s">
        <v>374</v>
      </c>
      <c r="H1944" s="98" t="s">
        <v>516</v>
      </c>
      <c r="I1944" s="98" t="s">
        <v>270</v>
      </c>
    </row>
    <row r="1945" spans="2:9" s="98" customFormat="1">
      <c r="B1945" s="99" t="s">
        <v>474</v>
      </c>
      <c r="C1945" s="109">
        <v>45786.25277777778</v>
      </c>
      <c r="D1945" s="98" t="s">
        <v>131</v>
      </c>
      <c r="E1945" s="103">
        <v>-598194</v>
      </c>
      <c r="F1945" s="98" t="s">
        <v>239</v>
      </c>
      <c r="I1945" s="98" t="s">
        <v>246</v>
      </c>
    </row>
    <row r="1946" spans="2:9" s="98" customFormat="1">
      <c r="B1946" s="99" t="s">
        <v>474</v>
      </c>
      <c r="C1946" s="109">
        <v>45785.943055555559</v>
      </c>
      <c r="D1946" s="98" t="s">
        <v>59</v>
      </c>
      <c r="E1946" s="103">
        <v>-60804</v>
      </c>
      <c r="F1946" s="98" t="s">
        <v>239</v>
      </c>
      <c r="I1946" s="98" t="s">
        <v>253</v>
      </c>
    </row>
    <row r="1947" spans="2:9" s="98" customFormat="1">
      <c r="B1947" s="99" t="s">
        <v>474</v>
      </c>
      <c r="C1947" s="109">
        <v>45785.815972222219</v>
      </c>
      <c r="D1947" s="98" t="s">
        <v>96</v>
      </c>
      <c r="E1947" s="103">
        <v>1950</v>
      </c>
      <c r="F1947" s="98" t="s">
        <v>240</v>
      </c>
      <c r="G1947" s="98" t="s">
        <v>374</v>
      </c>
      <c r="H1947" s="98" t="s">
        <v>516</v>
      </c>
      <c r="I1947" s="98" t="s">
        <v>242</v>
      </c>
    </row>
    <row r="1948" spans="2:9" s="98" customFormat="1">
      <c r="B1948" s="99" t="s">
        <v>474</v>
      </c>
      <c r="C1948" s="109">
        <v>45785.811805555553</v>
      </c>
      <c r="D1948" s="98" t="s">
        <v>28</v>
      </c>
      <c r="E1948" s="103">
        <v>10230</v>
      </c>
      <c r="F1948" s="98" t="s">
        <v>240</v>
      </c>
      <c r="G1948" s="98" t="s">
        <v>374</v>
      </c>
      <c r="H1948" s="98" t="s">
        <v>516</v>
      </c>
      <c r="I1948" s="98" t="s">
        <v>245</v>
      </c>
    </row>
    <row r="1949" spans="2:9" s="98" customFormat="1">
      <c r="B1949" s="99" t="s">
        <v>474</v>
      </c>
      <c r="C1949" s="109">
        <v>45785.790972222225</v>
      </c>
      <c r="D1949" s="98" t="s">
        <v>117</v>
      </c>
      <c r="E1949" s="103">
        <v>-2296</v>
      </c>
      <c r="F1949" s="98" t="s">
        <v>239</v>
      </c>
      <c r="I1949" s="98" t="s">
        <v>253</v>
      </c>
    </row>
    <row r="1950" spans="2:9" s="98" customFormat="1">
      <c r="B1950" s="99" t="s">
        <v>474</v>
      </c>
      <c r="C1950" s="109">
        <v>45785.550694444442</v>
      </c>
      <c r="D1950" s="98" t="s">
        <v>132</v>
      </c>
      <c r="E1950" s="103">
        <v>5915</v>
      </c>
      <c r="F1950" s="98" t="s">
        <v>240</v>
      </c>
      <c r="G1950" s="98" t="s">
        <v>374</v>
      </c>
      <c r="H1950" s="98" t="s">
        <v>516</v>
      </c>
      <c r="I1950" s="98" t="s">
        <v>245</v>
      </c>
    </row>
    <row r="1951" spans="2:9" s="98" customFormat="1">
      <c r="B1951" s="99" t="s">
        <v>474</v>
      </c>
      <c r="C1951" s="109">
        <v>45785.482638888891</v>
      </c>
      <c r="D1951" s="98" t="s">
        <v>84</v>
      </c>
      <c r="E1951" s="103">
        <v>27300</v>
      </c>
      <c r="F1951" s="98" t="s">
        <v>240</v>
      </c>
      <c r="G1951" s="98" t="s">
        <v>374</v>
      </c>
      <c r="H1951" s="98" t="s">
        <v>516</v>
      </c>
      <c r="I1951" s="98" t="s">
        <v>272</v>
      </c>
    </row>
    <row r="1952" spans="2:9" s="98" customFormat="1">
      <c r="B1952" s="99" t="s">
        <v>474</v>
      </c>
      <c r="C1952" s="109">
        <v>45785.446527777778</v>
      </c>
      <c r="D1952" s="98" t="s">
        <v>133</v>
      </c>
      <c r="E1952" s="103">
        <v>9490</v>
      </c>
      <c r="F1952" s="98" t="s">
        <v>240</v>
      </c>
      <c r="G1952" s="98" t="s">
        <v>374</v>
      </c>
      <c r="H1952" s="98" t="s">
        <v>516</v>
      </c>
      <c r="I1952" s="98" t="s">
        <v>247</v>
      </c>
    </row>
    <row r="1953" spans="2:9" s="98" customFormat="1">
      <c r="B1953" s="99" t="s">
        <v>474</v>
      </c>
      <c r="C1953" s="109">
        <v>45784.875</v>
      </c>
      <c r="D1953" s="98" t="s">
        <v>134</v>
      </c>
      <c r="E1953" s="103">
        <v>25000</v>
      </c>
      <c r="F1953" s="98" t="s">
        <v>240</v>
      </c>
      <c r="G1953" s="98" t="s">
        <v>374</v>
      </c>
      <c r="H1953" s="98" t="s">
        <v>516</v>
      </c>
      <c r="I1953" s="98" t="s">
        <v>273</v>
      </c>
    </row>
    <row r="1954" spans="2:9" s="98" customFormat="1">
      <c r="B1954" s="99" t="s">
        <v>474</v>
      </c>
      <c r="C1954" s="109">
        <v>45784.79583333333</v>
      </c>
      <c r="D1954" s="98" t="s">
        <v>132</v>
      </c>
      <c r="E1954" s="103">
        <v>4384</v>
      </c>
      <c r="F1954" s="98" t="s">
        <v>240</v>
      </c>
      <c r="G1954" s="98" t="s">
        <v>374</v>
      </c>
      <c r="H1954" s="98" t="s">
        <v>516</v>
      </c>
      <c r="I1954" s="98" t="s">
        <v>245</v>
      </c>
    </row>
    <row r="1955" spans="2:9" s="98" customFormat="1">
      <c r="B1955" s="99" t="s">
        <v>474</v>
      </c>
      <c r="C1955" s="109">
        <v>45784.791666666664</v>
      </c>
      <c r="D1955" s="98" t="s">
        <v>135</v>
      </c>
      <c r="E1955" s="103">
        <v>10500</v>
      </c>
      <c r="F1955" s="98" t="s">
        <v>240</v>
      </c>
      <c r="G1955" s="98" t="s">
        <v>374</v>
      </c>
      <c r="H1955" s="98" t="s">
        <v>516</v>
      </c>
      <c r="I1955" s="98" t="s">
        <v>242</v>
      </c>
    </row>
    <row r="1956" spans="2:9" s="98" customFormat="1">
      <c r="B1956" s="99" t="s">
        <v>474</v>
      </c>
      <c r="C1956" s="109">
        <v>45784.624305555553</v>
      </c>
      <c r="D1956" s="98" t="s">
        <v>136</v>
      </c>
      <c r="E1956" s="103">
        <v>100000</v>
      </c>
      <c r="F1956" s="98" t="s">
        <v>240</v>
      </c>
      <c r="G1956" s="98" t="s">
        <v>374</v>
      </c>
      <c r="H1956" s="98" t="s">
        <v>516</v>
      </c>
      <c r="I1956" s="98" t="s">
        <v>270</v>
      </c>
    </row>
    <row r="1957" spans="2:9" s="98" customFormat="1">
      <c r="B1957" s="99" t="s">
        <v>474</v>
      </c>
      <c r="C1957" s="109">
        <v>45784.488888888889</v>
      </c>
      <c r="D1957" s="98" t="s">
        <v>6</v>
      </c>
      <c r="E1957" s="103">
        <v>11630</v>
      </c>
      <c r="F1957" s="98" t="s">
        <v>240</v>
      </c>
      <c r="G1957" s="98" t="s">
        <v>374</v>
      </c>
      <c r="H1957" s="98" t="s">
        <v>516</v>
      </c>
      <c r="I1957" s="98" t="s">
        <v>245</v>
      </c>
    </row>
    <row r="1958" spans="2:9" s="98" customFormat="1">
      <c r="B1958" s="99" t="s">
        <v>474</v>
      </c>
      <c r="C1958" s="109">
        <v>45784.413194444445</v>
      </c>
      <c r="D1958" s="98" t="s">
        <v>94</v>
      </c>
      <c r="E1958" s="103">
        <v>6990</v>
      </c>
      <c r="F1958" s="98" t="s">
        <v>240</v>
      </c>
      <c r="G1958" s="98" t="s">
        <v>374</v>
      </c>
      <c r="H1958" s="98" t="s">
        <v>516</v>
      </c>
      <c r="I1958" s="98" t="s">
        <v>244</v>
      </c>
    </row>
    <row r="1959" spans="2:9" s="98" customFormat="1">
      <c r="B1959" s="99" t="s">
        <v>474</v>
      </c>
      <c r="C1959" s="109">
        <v>45783.808333333334</v>
      </c>
      <c r="D1959" s="98" t="s">
        <v>95</v>
      </c>
      <c r="E1959" s="103">
        <v>9740</v>
      </c>
      <c r="F1959" s="98" t="s">
        <v>240</v>
      </c>
      <c r="G1959" s="98" t="s">
        <v>374</v>
      </c>
      <c r="H1959" s="98" t="s">
        <v>516</v>
      </c>
      <c r="I1959" s="98" t="s">
        <v>245</v>
      </c>
    </row>
    <row r="1960" spans="2:9" s="98" customFormat="1">
      <c r="B1960" s="99" t="s">
        <v>474</v>
      </c>
      <c r="C1960" s="109">
        <v>45783.772222222222</v>
      </c>
      <c r="D1960" s="98" t="s">
        <v>59</v>
      </c>
      <c r="E1960" s="103">
        <v>-10223</v>
      </c>
      <c r="F1960" s="98" t="s">
        <v>239</v>
      </c>
      <c r="I1960" s="98" t="s">
        <v>253</v>
      </c>
    </row>
    <row r="1961" spans="2:9" s="98" customFormat="1">
      <c r="B1961" s="99" t="s">
        <v>474</v>
      </c>
      <c r="C1961" s="109">
        <v>45783.70416666667</v>
      </c>
      <c r="D1961" s="98" t="s">
        <v>137</v>
      </c>
      <c r="E1961" s="103">
        <v>-500000</v>
      </c>
      <c r="F1961" s="98" t="s">
        <v>239</v>
      </c>
      <c r="I1961" s="98" t="s">
        <v>253</v>
      </c>
    </row>
    <row r="1962" spans="2:9" s="98" customFormat="1">
      <c r="B1962" s="99" t="s">
        <v>474</v>
      </c>
      <c r="C1962" s="109">
        <v>45783.453472222223</v>
      </c>
      <c r="D1962" s="98" t="s">
        <v>138</v>
      </c>
      <c r="E1962" s="103">
        <v>15000</v>
      </c>
      <c r="F1962" s="98" t="s">
        <v>240</v>
      </c>
      <c r="G1962" s="98" t="s">
        <v>374</v>
      </c>
      <c r="H1962" s="98" t="s">
        <v>516</v>
      </c>
      <c r="I1962" s="98" t="s">
        <v>263</v>
      </c>
    </row>
    <row r="1963" spans="2:9" s="98" customFormat="1">
      <c r="B1963" s="99" t="s">
        <v>474</v>
      </c>
      <c r="C1963" s="109">
        <v>45783.387499999997</v>
      </c>
      <c r="D1963" s="98" t="s">
        <v>139</v>
      </c>
      <c r="E1963" s="103">
        <v>1900</v>
      </c>
      <c r="F1963" s="98" t="s">
        <v>240</v>
      </c>
      <c r="G1963" s="98" t="s">
        <v>374</v>
      </c>
      <c r="H1963" s="98" t="s">
        <v>516</v>
      </c>
      <c r="I1963" s="98" t="s">
        <v>242</v>
      </c>
    </row>
    <row r="1964" spans="2:9" s="98" customFormat="1">
      <c r="B1964" s="99" t="s">
        <v>474</v>
      </c>
      <c r="C1964" s="109">
        <v>45783</v>
      </c>
      <c r="D1964" s="98" t="s">
        <v>403</v>
      </c>
      <c r="E1964" s="103">
        <v>1449</v>
      </c>
      <c r="F1964" s="98" t="s">
        <v>240</v>
      </c>
      <c r="G1964" s="98" t="s">
        <v>374</v>
      </c>
      <c r="H1964" s="98" t="s">
        <v>516</v>
      </c>
      <c r="I1964" s="98" t="s">
        <v>248</v>
      </c>
    </row>
    <row r="1965" spans="2:9" s="98" customFormat="1">
      <c r="B1965" s="99" t="s">
        <v>474</v>
      </c>
      <c r="C1965" s="109">
        <v>45782.972916666666</v>
      </c>
      <c r="D1965" s="98" t="s">
        <v>59</v>
      </c>
      <c r="E1965" s="103">
        <v>-60000</v>
      </c>
      <c r="F1965" s="98" t="s">
        <v>239</v>
      </c>
      <c r="I1965" s="98" t="s">
        <v>253</v>
      </c>
    </row>
    <row r="1966" spans="2:9" s="98" customFormat="1">
      <c r="B1966" s="99" t="s">
        <v>474</v>
      </c>
      <c r="C1966" s="109">
        <v>45782.871527777781</v>
      </c>
      <c r="D1966" s="98" t="s">
        <v>51</v>
      </c>
      <c r="E1966" s="103">
        <v>10000</v>
      </c>
      <c r="F1966" s="98" t="s">
        <v>240</v>
      </c>
      <c r="G1966" s="98" t="s">
        <v>374</v>
      </c>
      <c r="H1966" s="98" t="s">
        <v>516</v>
      </c>
      <c r="I1966" s="98" t="s">
        <v>270</v>
      </c>
    </row>
    <row r="1967" spans="2:9" s="98" customFormat="1">
      <c r="B1967" s="99" t="s">
        <v>474</v>
      </c>
      <c r="C1967" s="109">
        <v>45782.833333333336</v>
      </c>
      <c r="D1967" s="98" t="s">
        <v>56</v>
      </c>
      <c r="E1967" s="103">
        <v>6170</v>
      </c>
      <c r="F1967" s="98" t="s">
        <v>240</v>
      </c>
      <c r="G1967" s="98" t="s">
        <v>374</v>
      </c>
      <c r="H1967" s="98" t="s">
        <v>516</v>
      </c>
      <c r="I1967" s="98" t="s">
        <v>247</v>
      </c>
    </row>
    <row r="1968" spans="2:9" s="98" customFormat="1">
      <c r="B1968" s="99" t="s">
        <v>474</v>
      </c>
      <c r="C1968" s="109">
        <v>45782.673611111109</v>
      </c>
      <c r="D1968" s="98" t="s">
        <v>22</v>
      </c>
      <c r="E1968" s="103">
        <v>11000</v>
      </c>
      <c r="F1968" s="98" t="s">
        <v>240</v>
      </c>
      <c r="G1968" s="98" t="s">
        <v>374</v>
      </c>
      <c r="H1968" s="98" t="s">
        <v>516</v>
      </c>
      <c r="I1968" s="98" t="s">
        <v>273</v>
      </c>
    </row>
    <row r="1969" spans="2:9" s="98" customFormat="1">
      <c r="B1969" s="99" t="s">
        <v>474</v>
      </c>
      <c r="C1969" s="109">
        <v>45782.631944444445</v>
      </c>
      <c r="D1969" s="98" t="s">
        <v>67</v>
      </c>
      <c r="E1969" s="103">
        <v>3180</v>
      </c>
      <c r="F1969" s="98" t="s">
        <v>240</v>
      </c>
      <c r="G1969" s="98" t="s">
        <v>374</v>
      </c>
      <c r="H1969" s="98" t="s">
        <v>516</v>
      </c>
      <c r="I1969" s="98" t="s">
        <v>247</v>
      </c>
    </row>
    <row r="1970" spans="2:9" s="98" customFormat="1">
      <c r="B1970" s="99" t="s">
        <v>474</v>
      </c>
      <c r="C1970" s="109">
        <v>45782.470138888886</v>
      </c>
      <c r="D1970" s="98" t="s">
        <v>48</v>
      </c>
      <c r="E1970" s="103">
        <v>8000</v>
      </c>
      <c r="F1970" s="98" t="s">
        <v>240</v>
      </c>
      <c r="G1970" s="98" t="s">
        <v>374</v>
      </c>
      <c r="H1970" s="98" t="s">
        <v>516</v>
      </c>
      <c r="I1970" s="98" t="s">
        <v>273</v>
      </c>
    </row>
    <row r="1971" spans="2:9" s="98" customFormat="1">
      <c r="B1971" s="99" t="s">
        <v>474</v>
      </c>
      <c r="C1971" s="109">
        <v>45782.469444444447</v>
      </c>
      <c r="D1971" s="98" t="s">
        <v>48</v>
      </c>
      <c r="E1971" s="103">
        <v>110000</v>
      </c>
      <c r="F1971" s="98" t="s">
        <v>240</v>
      </c>
      <c r="G1971" s="98" t="s">
        <v>374</v>
      </c>
      <c r="H1971" s="98" t="s">
        <v>513</v>
      </c>
      <c r="I1971" s="98" t="s">
        <v>273</v>
      </c>
    </row>
    <row r="1972" spans="2:9" s="98" customFormat="1">
      <c r="B1972" s="99" t="s">
        <v>474</v>
      </c>
      <c r="C1972" s="109">
        <v>45782.354861111111</v>
      </c>
      <c r="D1972" s="98" t="s">
        <v>22</v>
      </c>
      <c r="E1972" s="103">
        <v>703000</v>
      </c>
      <c r="F1972" s="98" t="s">
        <v>240</v>
      </c>
      <c r="G1972" s="98" t="s">
        <v>374</v>
      </c>
      <c r="H1972" s="98" t="s">
        <v>513</v>
      </c>
      <c r="I1972" s="98" t="s">
        <v>252</v>
      </c>
    </row>
    <row r="1973" spans="2:9" s="98" customFormat="1">
      <c r="B1973" s="99" t="s">
        <v>474</v>
      </c>
      <c r="C1973" s="109">
        <v>45782.038888888892</v>
      </c>
      <c r="D1973" s="98" t="s">
        <v>276</v>
      </c>
      <c r="E1973" s="103">
        <v>60984</v>
      </c>
      <c r="F1973" s="98" t="s">
        <v>240</v>
      </c>
      <c r="G1973" s="98" t="s">
        <v>374</v>
      </c>
      <c r="H1973" s="98" t="s">
        <v>513</v>
      </c>
      <c r="I1973" s="98" t="s">
        <v>271</v>
      </c>
    </row>
    <row r="1974" spans="2:9" s="98" customFormat="1">
      <c r="B1974" s="99" t="s">
        <v>474</v>
      </c>
      <c r="C1974" s="109">
        <v>45782.036805555559</v>
      </c>
      <c r="D1974" s="98" t="s">
        <v>285</v>
      </c>
      <c r="E1974" s="103">
        <v>229970</v>
      </c>
      <c r="F1974" s="98" t="s">
        <v>240</v>
      </c>
      <c r="G1974" s="98" t="s">
        <v>374</v>
      </c>
      <c r="H1974" s="98" t="s">
        <v>513</v>
      </c>
      <c r="I1974" s="98" t="s">
        <v>251</v>
      </c>
    </row>
    <row r="1975" spans="2:9" s="98" customFormat="1">
      <c r="B1975" s="99" t="s">
        <v>474</v>
      </c>
      <c r="C1975" s="109">
        <v>45782.036805555559</v>
      </c>
      <c r="D1975" s="98" t="s">
        <v>22</v>
      </c>
      <c r="E1975" s="103">
        <v>36030</v>
      </c>
      <c r="F1975" s="98" t="s">
        <v>240</v>
      </c>
      <c r="G1975" s="98" t="s">
        <v>374</v>
      </c>
      <c r="H1975" s="98" t="s">
        <v>513</v>
      </c>
      <c r="I1975" s="98" t="s">
        <v>271</v>
      </c>
    </row>
    <row r="1976" spans="2:9" s="98" customFormat="1">
      <c r="B1976" s="99" t="s">
        <v>474</v>
      </c>
      <c r="C1976" s="109">
        <v>45781.80972222222</v>
      </c>
      <c r="D1976" s="98" t="s">
        <v>104</v>
      </c>
      <c r="E1976" s="103">
        <v>2300</v>
      </c>
      <c r="F1976" s="98" t="s">
        <v>240</v>
      </c>
      <c r="G1976" s="98" t="s">
        <v>374</v>
      </c>
      <c r="H1976" s="98" t="s">
        <v>516</v>
      </c>
      <c r="I1976" s="98" t="s">
        <v>247</v>
      </c>
    </row>
    <row r="1977" spans="2:9" s="98" customFormat="1">
      <c r="B1977" s="99" t="s">
        <v>474</v>
      </c>
      <c r="C1977" s="109">
        <v>45781.794444444444</v>
      </c>
      <c r="D1977" s="98" t="s">
        <v>140</v>
      </c>
      <c r="E1977" s="103">
        <v>800</v>
      </c>
      <c r="F1977" s="98" t="s">
        <v>240</v>
      </c>
      <c r="G1977" s="98" t="s">
        <v>374</v>
      </c>
      <c r="H1977" s="98" t="s">
        <v>516</v>
      </c>
      <c r="I1977" s="98" t="s">
        <v>241</v>
      </c>
    </row>
    <row r="1978" spans="2:9" s="98" customFormat="1">
      <c r="B1978" s="99" t="s">
        <v>474</v>
      </c>
      <c r="C1978" s="109">
        <v>45781.793055555558</v>
      </c>
      <c r="D1978" s="98" t="s">
        <v>141</v>
      </c>
      <c r="E1978" s="103">
        <v>3990</v>
      </c>
      <c r="F1978" s="98" t="s">
        <v>240</v>
      </c>
      <c r="G1978" s="98" t="s">
        <v>374</v>
      </c>
      <c r="H1978" s="98" t="s">
        <v>516</v>
      </c>
      <c r="I1978" s="98" t="s">
        <v>247</v>
      </c>
    </row>
    <row r="1979" spans="2:9" s="98" customFormat="1">
      <c r="B1979" s="99" t="s">
        <v>474</v>
      </c>
      <c r="C1979" s="109">
        <v>45781.788888888892</v>
      </c>
      <c r="D1979" s="98" t="s">
        <v>142</v>
      </c>
      <c r="E1979" s="103">
        <v>12990</v>
      </c>
      <c r="F1979" s="98" t="s">
        <v>240</v>
      </c>
      <c r="G1979" s="98" t="s">
        <v>374</v>
      </c>
      <c r="H1979" s="98" t="s">
        <v>516</v>
      </c>
      <c r="I1979" s="98" t="s">
        <v>269</v>
      </c>
    </row>
    <row r="1980" spans="2:9" s="98" customFormat="1">
      <c r="B1980" s="99" t="s">
        <v>474</v>
      </c>
      <c r="C1980" s="109">
        <v>45781.751388888886</v>
      </c>
      <c r="D1980" s="98" t="s">
        <v>96</v>
      </c>
      <c r="E1980" s="103">
        <v>550</v>
      </c>
      <c r="F1980" s="98" t="s">
        <v>240</v>
      </c>
      <c r="G1980" s="98" t="s">
        <v>374</v>
      </c>
      <c r="H1980" s="98" t="s">
        <v>516</v>
      </c>
      <c r="I1980" s="98" t="s">
        <v>242</v>
      </c>
    </row>
    <row r="1981" spans="2:9" s="98" customFormat="1">
      <c r="B1981" s="99" t="s">
        <v>474</v>
      </c>
      <c r="C1981" s="109">
        <v>45781.7</v>
      </c>
      <c r="D1981" s="98" t="s">
        <v>143</v>
      </c>
      <c r="E1981" s="103">
        <v>4860</v>
      </c>
      <c r="F1981" s="98" t="s">
        <v>240</v>
      </c>
      <c r="G1981" s="98" t="s">
        <v>374</v>
      </c>
      <c r="H1981" s="98" t="s">
        <v>516</v>
      </c>
      <c r="I1981" s="98" t="s">
        <v>245</v>
      </c>
    </row>
    <row r="1982" spans="2:9" s="98" customFormat="1">
      <c r="B1982" s="99" t="s">
        <v>474</v>
      </c>
      <c r="C1982" s="109">
        <v>45781.429861111108</v>
      </c>
      <c r="D1982" s="98" t="s">
        <v>144</v>
      </c>
      <c r="E1982" s="103">
        <v>10000</v>
      </c>
      <c r="F1982" s="98" t="s">
        <v>240</v>
      </c>
      <c r="G1982" s="98" t="s">
        <v>374</v>
      </c>
      <c r="H1982" s="98" t="s">
        <v>516</v>
      </c>
      <c r="I1982" s="98" t="s">
        <v>270</v>
      </c>
    </row>
    <row r="1983" spans="2:9" s="98" customFormat="1">
      <c r="B1983" s="99" t="s">
        <v>474</v>
      </c>
      <c r="C1983" s="109">
        <v>45780.620138888888</v>
      </c>
      <c r="D1983" s="98" t="s">
        <v>141</v>
      </c>
      <c r="E1983" s="103">
        <v>11895</v>
      </c>
      <c r="F1983" s="98" t="s">
        <v>240</v>
      </c>
      <c r="G1983" s="98" t="s">
        <v>374</v>
      </c>
      <c r="H1983" s="98" t="s">
        <v>516</v>
      </c>
      <c r="I1983" s="98" t="s">
        <v>248</v>
      </c>
    </row>
    <row r="1984" spans="2:9" s="98" customFormat="1">
      <c r="B1984" s="99" t="s">
        <v>474</v>
      </c>
      <c r="C1984" s="109">
        <v>45780.604166666664</v>
      </c>
      <c r="D1984" s="98" t="s">
        <v>145</v>
      </c>
      <c r="E1984" s="103">
        <v>10000</v>
      </c>
      <c r="F1984" s="98" t="s">
        <v>240</v>
      </c>
      <c r="G1984" s="98" t="s">
        <v>374</v>
      </c>
      <c r="H1984" s="98" t="s">
        <v>516</v>
      </c>
      <c r="I1984" s="98" t="s">
        <v>270</v>
      </c>
    </row>
    <row r="1985" spans="2:9" s="98" customFormat="1">
      <c r="B1985" s="99" t="s">
        <v>474</v>
      </c>
      <c r="C1985" s="109">
        <v>45780.583333333336</v>
      </c>
      <c r="D1985" s="98" t="s">
        <v>146</v>
      </c>
      <c r="E1985" s="103">
        <v>9750</v>
      </c>
      <c r="F1985" s="98" t="s">
        <v>240</v>
      </c>
      <c r="G1985" s="98" t="s">
        <v>374</v>
      </c>
      <c r="H1985" s="98" t="s">
        <v>516</v>
      </c>
      <c r="I1985" s="98" t="s">
        <v>248</v>
      </c>
    </row>
    <row r="1986" spans="2:9" s="98" customFormat="1">
      <c r="B1986" s="99" t="s">
        <v>474</v>
      </c>
      <c r="C1986" s="109">
        <v>45779.872916666667</v>
      </c>
      <c r="D1986" s="98" t="s">
        <v>132</v>
      </c>
      <c r="E1986" s="103">
        <v>8370</v>
      </c>
      <c r="F1986" s="98" t="s">
        <v>240</v>
      </c>
      <c r="G1986" s="98" t="s">
        <v>374</v>
      </c>
      <c r="H1986" s="98" t="s">
        <v>516</v>
      </c>
      <c r="I1986" s="98" t="s">
        <v>245</v>
      </c>
    </row>
    <row r="1987" spans="2:9" s="98" customFormat="1">
      <c r="B1987" s="99" t="s">
        <v>474</v>
      </c>
      <c r="C1987" s="109">
        <v>45779.862500000003</v>
      </c>
      <c r="D1987" s="98" t="s">
        <v>80</v>
      </c>
      <c r="E1987" s="103">
        <v>4124</v>
      </c>
      <c r="F1987" s="98" t="s">
        <v>240</v>
      </c>
      <c r="G1987" s="98" t="s">
        <v>374</v>
      </c>
      <c r="H1987" s="98" t="s">
        <v>516</v>
      </c>
      <c r="I1987" s="98" t="s">
        <v>244</v>
      </c>
    </row>
    <row r="1988" spans="2:9" s="98" customFormat="1">
      <c r="B1988" s="99" t="s">
        <v>474</v>
      </c>
      <c r="C1988" s="109">
        <v>45779.785416666666</v>
      </c>
      <c r="D1988" s="98" t="s">
        <v>24</v>
      </c>
      <c r="E1988" s="103">
        <v>3663</v>
      </c>
      <c r="F1988" s="98" t="s">
        <v>240</v>
      </c>
      <c r="G1988" s="98" t="s">
        <v>374</v>
      </c>
      <c r="H1988" s="98" t="s">
        <v>516</v>
      </c>
      <c r="I1988" s="98" t="s">
        <v>245</v>
      </c>
    </row>
    <row r="1989" spans="2:9" s="98" customFormat="1">
      <c r="B1989" s="99" t="s">
        <v>474</v>
      </c>
      <c r="C1989" s="109">
        <v>45779.779166666667</v>
      </c>
      <c r="D1989" s="98" t="s">
        <v>147</v>
      </c>
      <c r="E1989" s="103">
        <v>150000</v>
      </c>
      <c r="F1989" s="98" t="s">
        <v>240</v>
      </c>
      <c r="G1989" s="98" t="s">
        <v>374</v>
      </c>
      <c r="H1989" s="98" t="s">
        <v>516</v>
      </c>
      <c r="I1989" s="98" t="s">
        <v>263</v>
      </c>
    </row>
    <row r="1990" spans="2:9" s="98" customFormat="1">
      <c r="B1990" s="99" t="s">
        <v>474</v>
      </c>
      <c r="C1990" s="109">
        <v>45779.76666666667</v>
      </c>
      <c r="D1990" s="98" t="s">
        <v>134</v>
      </c>
      <c r="E1990" s="103">
        <v>10000</v>
      </c>
      <c r="F1990" s="98" t="s">
        <v>240</v>
      </c>
      <c r="G1990" s="98" t="s">
        <v>374</v>
      </c>
      <c r="H1990" s="98" t="s">
        <v>516</v>
      </c>
      <c r="I1990" s="98" t="s">
        <v>273</v>
      </c>
    </row>
    <row r="1991" spans="2:9" s="98" customFormat="1">
      <c r="B1991" s="99" t="s">
        <v>474</v>
      </c>
      <c r="C1991" s="109">
        <v>45779.736111111109</v>
      </c>
      <c r="D1991" s="98" t="s">
        <v>148</v>
      </c>
      <c r="E1991" s="103">
        <v>94500</v>
      </c>
      <c r="F1991" s="98" t="s">
        <v>240</v>
      </c>
      <c r="G1991" s="98" t="s">
        <v>374</v>
      </c>
      <c r="H1991" s="98" t="s">
        <v>516</v>
      </c>
      <c r="I1991" s="98" t="s">
        <v>244</v>
      </c>
    </row>
    <row r="1992" spans="2:9" s="98" customFormat="1">
      <c r="B1992" s="99" t="s">
        <v>474</v>
      </c>
      <c r="C1992" s="109">
        <v>45779.697916666664</v>
      </c>
      <c r="D1992" s="98" t="s">
        <v>20</v>
      </c>
      <c r="E1992" s="103">
        <v>2590</v>
      </c>
      <c r="F1992" s="98" t="s">
        <v>240</v>
      </c>
      <c r="G1992" s="98" t="s">
        <v>374</v>
      </c>
      <c r="H1992" s="98" t="s">
        <v>516</v>
      </c>
      <c r="I1992" s="98" t="s">
        <v>242</v>
      </c>
    </row>
    <row r="1993" spans="2:9" s="98" customFormat="1">
      <c r="B1993" s="99" t="s">
        <v>474</v>
      </c>
      <c r="C1993" s="109">
        <v>45778.795138888891</v>
      </c>
      <c r="D1993" s="98" t="s">
        <v>47</v>
      </c>
      <c r="E1993" s="103">
        <v>5500</v>
      </c>
      <c r="F1993" s="98" t="s">
        <v>240</v>
      </c>
      <c r="G1993" s="98" t="s">
        <v>374</v>
      </c>
      <c r="H1993" s="98" t="s">
        <v>516</v>
      </c>
      <c r="I1993" s="98" t="s">
        <v>268</v>
      </c>
    </row>
    <row r="1994" spans="2:9" s="98" customFormat="1">
      <c r="B1994" s="99" t="s">
        <v>474</v>
      </c>
      <c r="C1994" s="109">
        <v>45778.779166666667</v>
      </c>
      <c r="D1994" s="98" t="s">
        <v>149</v>
      </c>
      <c r="E1994" s="103">
        <v>6000</v>
      </c>
      <c r="F1994" s="98" t="s">
        <v>240</v>
      </c>
      <c r="G1994" s="98" t="s">
        <v>374</v>
      </c>
      <c r="H1994" s="98" t="s">
        <v>516</v>
      </c>
      <c r="I1994" s="98" t="s">
        <v>268</v>
      </c>
    </row>
    <row r="1995" spans="2:9" s="98" customFormat="1">
      <c r="B1995" s="99" t="s">
        <v>474</v>
      </c>
      <c r="C1995" s="109">
        <v>45778.768055555556</v>
      </c>
      <c r="D1995" s="98" t="s">
        <v>56</v>
      </c>
      <c r="E1995" s="103">
        <v>11050</v>
      </c>
      <c r="F1995" s="98" t="s">
        <v>240</v>
      </c>
      <c r="G1995" s="98" t="s">
        <v>374</v>
      </c>
      <c r="H1995" s="98" t="s">
        <v>516</v>
      </c>
      <c r="I1995" s="98" t="s">
        <v>247</v>
      </c>
    </row>
    <row r="1996" spans="2:9" s="98" customFormat="1">
      <c r="B1996" s="99" t="s">
        <v>474</v>
      </c>
      <c r="C1996" s="109">
        <v>45778.661805555559</v>
      </c>
      <c r="D1996" s="98" t="s">
        <v>150</v>
      </c>
      <c r="E1996" s="103">
        <v>11000</v>
      </c>
      <c r="F1996" s="98" t="s">
        <v>240</v>
      </c>
      <c r="G1996" s="98" t="s">
        <v>374</v>
      </c>
      <c r="H1996" s="98" t="s">
        <v>516</v>
      </c>
      <c r="I1996" s="98" t="s">
        <v>268</v>
      </c>
    </row>
    <row r="1997" spans="2:9" s="98" customFormat="1">
      <c r="B1997" s="99" t="s">
        <v>474</v>
      </c>
      <c r="C1997" s="109">
        <v>45778.151388888888</v>
      </c>
      <c r="D1997" s="98" t="s">
        <v>151</v>
      </c>
      <c r="E1997" s="103">
        <v>2625</v>
      </c>
      <c r="F1997" s="98" t="s">
        <v>240</v>
      </c>
      <c r="G1997" s="98" t="s">
        <v>374</v>
      </c>
      <c r="H1997" s="98" t="s">
        <v>516</v>
      </c>
      <c r="I1997" s="98" t="s">
        <v>247</v>
      </c>
    </row>
    <row r="1998" spans="2:9" s="98" customFormat="1">
      <c r="B1998" s="99" t="s">
        <v>474</v>
      </c>
      <c r="C1998" s="109">
        <v>45777.853472222225</v>
      </c>
      <c r="D1998" s="98" t="s">
        <v>16</v>
      </c>
      <c r="E1998" s="103">
        <v>5900</v>
      </c>
      <c r="F1998" s="98" t="s">
        <v>240</v>
      </c>
      <c r="G1998" s="98" t="s">
        <v>374</v>
      </c>
      <c r="H1998" s="98" t="s">
        <v>516</v>
      </c>
      <c r="I1998" s="98" t="s">
        <v>248</v>
      </c>
    </row>
    <row r="1999" spans="2:9" s="98" customFormat="1">
      <c r="B1999" s="99" t="s">
        <v>474</v>
      </c>
      <c r="C1999" s="109">
        <v>45777.824305555558</v>
      </c>
      <c r="D1999" s="98" t="s">
        <v>96</v>
      </c>
      <c r="E1999" s="103">
        <v>350</v>
      </c>
      <c r="F1999" s="98" t="s">
        <v>240</v>
      </c>
      <c r="G1999" s="98" t="s">
        <v>374</v>
      </c>
      <c r="H1999" s="98" t="s">
        <v>516</v>
      </c>
      <c r="I1999" s="98" t="s">
        <v>242</v>
      </c>
    </row>
    <row r="2000" spans="2:9" s="98" customFormat="1">
      <c r="B2000" s="99" t="s">
        <v>474</v>
      </c>
      <c r="C2000" s="109">
        <v>45777.72152777778</v>
      </c>
      <c r="D2000" s="98" t="s">
        <v>134</v>
      </c>
      <c r="E2000" s="103">
        <v>50000</v>
      </c>
      <c r="F2000" s="98" t="s">
        <v>240</v>
      </c>
      <c r="G2000" s="98" t="s">
        <v>374</v>
      </c>
      <c r="H2000" s="98" t="s">
        <v>516</v>
      </c>
      <c r="I2000" s="98" t="s">
        <v>273</v>
      </c>
    </row>
    <row r="2001" spans="2:9" s="98" customFormat="1">
      <c r="B2001" s="99" t="s">
        <v>474</v>
      </c>
      <c r="C2001" s="109">
        <v>45777.709027777775</v>
      </c>
      <c r="D2001" s="98" t="s">
        <v>152</v>
      </c>
      <c r="E2001" s="103">
        <v>1780</v>
      </c>
      <c r="F2001" s="98" t="s">
        <v>240</v>
      </c>
      <c r="G2001" s="98" t="s">
        <v>374</v>
      </c>
      <c r="H2001" s="98" t="s">
        <v>516</v>
      </c>
      <c r="I2001" s="98" t="s">
        <v>242</v>
      </c>
    </row>
    <row r="2002" spans="2:9" s="98" customFormat="1">
      <c r="B2002" s="99" t="s">
        <v>474</v>
      </c>
      <c r="C2002" s="109">
        <v>45777.693055555559</v>
      </c>
      <c r="D2002" s="98" t="s">
        <v>151</v>
      </c>
      <c r="E2002" s="103">
        <v>1896</v>
      </c>
      <c r="F2002" s="98" t="s">
        <v>240</v>
      </c>
      <c r="G2002" s="98" t="s">
        <v>374</v>
      </c>
      <c r="H2002" s="98" t="s">
        <v>516</v>
      </c>
      <c r="I2002" s="98" t="s">
        <v>247</v>
      </c>
    </row>
    <row r="2003" spans="2:9" s="98" customFormat="1">
      <c r="B2003" s="99" t="s">
        <v>474</v>
      </c>
      <c r="C2003" s="109">
        <v>45777.59097222222</v>
      </c>
      <c r="D2003" s="98" t="s">
        <v>153</v>
      </c>
      <c r="E2003" s="103">
        <v>6000</v>
      </c>
      <c r="F2003" s="98" t="s">
        <v>240</v>
      </c>
      <c r="G2003" s="98" t="s">
        <v>374</v>
      </c>
      <c r="H2003" s="98" t="s">
        <v>516</v>
      </c>
      <c r="I2003" s="98" t="s">
        <v>242</v>
      </c>
    </row>
    <row r="2004" spans="2:9" s="98" customFormat="1">
      <c r="B2004" s="99" t="s">
        <v>474</v>
      </c>
      <c r="C2004" s="109">
        <v>45777.476388888892</v>
      </c>
      <c r="D2004" s="98" t="s">
        <v>154</v>
      </c>
      <c r="E2004" s="103">
        <v>27191</v>
      </c>
      <c r="F2004" s="98" t="s">
        <v>240</v>
      </c>
      <c r="G2004" s="98" t="s">
        <v>374</v>
      </c>
      <c r="H2004" s="98" t="s">
        <v>516</v>
      </c>
      <c r="I2004" s="98" t="s">
        <v>245</v>
      </c>
    </row>
    <row r="2005" spans="2:9" s="98" customFormat="1">
      <c r="B2005" s="99" t="s">
        <v>474</v>
      </c>
      <c r="C2005" s="109">
        <v>45777.383333333331</v>
      </c>
      <c r="D2005" s="98" t="s">
        <v>155</v>
      </c>
      <c r="E2005" s="103">
        <v>4090</v>
      </c>
      <c r="F2005" s="98" t="s">
        <v>240</v>
      </c>
      <c r="G2005" s="98" t="s">
        <v>374</v>
      </c>
      <c r="H2005" s="98" t="s">
        <v>516</v>
      </c>
      <c r="I2005" s="98" t="s">
        <v>242</v>
      </c>
    </row>
    <row r="2006" spans="2:9" s="98" customFormat="1">
      <c r="B2006" s="99" t="s">
        <v>474</v>
      </c>
      <c r="C2006" s="109">
        <v>45777.381944444445</v>
      </c>
      <c r="D2006" s="98" t="s">
        <v>40</v>
      </c>
      <c r="E2006" s="103">
        <v>5000</v>
      </c>
      <c r="F2006" s="98" t="s">
        <v>240</v>
      </c>
      <c r="G2006" s="98" t="s">
        <v>374</v>
      </c>
      <c r="H2006" s="98" t="s">
        <v>516</v>
      </c>
      <c r="I2006" s="98" t="s">
        <v>263</v>
      </c>
    </row>
    <row r="2007" spans="2:9" s="98" customFormat="1">
      <c r="B2007" s="99" t="s">
        <v>474</v>
      </c>
      <c r="C2007" s="109">
        <v>45777.381249999999</v>
      </c>
      <c r="D2007" s="98" t="s">
        <v>51</v>
      </c>
      <c r="E2007" s="103">
        <v>30000</v>
      </c>
      <c r="F2007" s="98" t="s">
        <v>240</v>
      </c>
      <c r="G2007" s="98" t="s">
        <v>374</v>
      </c>
      <c r="H2007" s="98" t="s">
        <v>516</v>
      </c>
      <c r="I2007" s="98" t="s">
        <v>270</v>
      </c>
    </row>
    <row r="2008" spans="2:9" s="98" customFormat="1">
      <c r="B2008" s="99" t="s">
        <v>474</v>
      </c>
      <c r="C2008" s="109">
        <v>45777.366666666669</v>
      </c>
      <c r="D2008" s="98" t="s">
        <v>154</v>
      </c>
      <c r="E2008" s="103">
        <v>42641</v>
      </c>
      <c r="F2008" s="98" t="s">
        <v>240</v>
      </c>
      <c r="G2008" s="98" t="s">
        <v>374</v>
      </c>
      <c r="H2008" s="98" t="s">
        <v>516</v>
      </c>
      <c r="I2008" s="98" t="s">
        <v>245</v>
      </c>
    </row>
    <row r="2009" spans="2:9" s="98" customFormat="1">
      <c r="B2009" s="99" t="s">
        <v>474</v>
      </c>
      <c r="C2009" s="109">
        <v>45777.311111111114</v>
      </c>
      <c r="D2009" s="98" t="s">
        <v>156</v>
      </c>
      <c r="E2009" s="103">
        <v>350</v>
      </c>
      <c r="F2009" s="98" t="s">
        <v>240</v>
      </c>
      <c r="G2009" s="98" t="s">
        <v>374</v>
      </c>
      <c r="H2009" s="98" t="s">
        <v>516</v>
      </c>
      <c r="I2009" s="98" t="s">
        <v>241</v>
      </c>
    </row>
    <row r="2010" spans="2:9" s="98" customFormat="1">
      <c r="B2010" s="99" t="s">
        <v>474</v>
      </c>
      <c r="C2010" s="109">
        <v>45777.162499999999</v>
      </c>
      <c r="D2010" s="98" t="s">
        <v>151</v>
      </c>
      <c r="E2010" s="103">
        <v>2541</v>
      </c>
      <c r="F2010" s="98" t="s">
        <v>240</v>
      </c>
      <c r="G2010" s="98" t="s">
        <v>374</v>
      </c>
      <c r="H2010" s="98" t="s">
        <v>516</v>
      </c>
      <c r="I2010" s="98" t="s">
        <v>247</v>
      </c>
    </row>
    <row r="2011" spans="2:9" s="98" customFormat="1">
      <c r="B2011" s="99" t="s">
        <v>474</v>
      </c>
      <c r="C2011" s="109">
        <v>45777.056250000001</v>
      </c>
      <c r="D2011" s="98" t="s">
        <v>157</v>
      </c>
      <c r="E2011" s="103">
        <v>-2093819</v>
      </c>
      <c r="F2011" s="98" t="s">
        <v>239</v>
      </c>
      <c r="I2011" s="98" t="s">
        <v>246</v>
      </c>
    </row>
    <row r="2012" spans="2:9" s="98" customFormat="1">
      <c r="B2012" s="99" t="s">
        <v>475</v>
      </c>
      <c r="C2012" s="109">
        <v>45776.925000000003</v>
      </c>
      <c r="D2012" s="98" t="s">
        <v>158</v>
      </c>
      <c r="E2012" s="103">
        <v>2600</v>
      </c>
      <c r="F2012" s="98" t="s">
        <v>240</v>
      </c>
      <c r="G2012" s="98" t="s">
        <v>374</v>
      </c>
      <c r="H2012" s="98" t="s">
        <v>516</v>
      </c>
      <c r="I2012" s="98" t="s">
        <v>251</v>
      </c>
    </row>
    <row r="2013" spans="2:9" s="98" customFormat="1">
      <c r="B2013" s="99" t="s">
        <v>475</v>
      </c>
      <c r="C2013" s="109">
        <v>45776.849305555559</v>
      </c>
      <c r="D2013" s="98" t="s">
        <v>159</v>
      </c>
      <c r="E2013" s="103">
        <v>1900</v>
      </c>
      <c r="F2013" s="98" t="s">
        <v>240</v>
      </c>
      <c r="G2013" s="98" t="s">
        <v>374</v>
      </c>
      <c r="H2013" s="98" t="s">
        <v>516</v>
      </c>
      <c r="I2013" s="98" t="s">
        <v>247</v>
      </c>
    </row>
    <row r="2014" spans="2:9" s="98" customFormat="1">
      <c r="B2014" s="99" t="s">
        <v>475</v>
      </c>
      <c r="C2014" s="109">
        <v>45776.845138888886</v>
      </c>
      <c r="D2014" s="98" t="s">
        <v>56</v>
      </c>
      <c r="E2014" s="103">
        <v>3950</v>
      </c>
      <c r="F2014" s="98" t="s">
        <v>240</v>
      </c>
      <c r="G2014" s="98" t="s">
        <v>374</v>
      </c>
      <c r="H2014" s="98" t="s">
        <v>516</v>
      </c>
      <c r="I2014" s="98" t="s">
        <v>247</v>
      </c>
    </row>
    <row r="2015" spans="2:9" s="98" customFormat="1">
      <c r="B2015" s="99" t="s">
        <v>475</v>
      </c>
      <c r="C2015" s="109">
        <v>45776.776388888888</v>
      </c>
      <c r="D2015" s="98" t="s">
        <v>160</v>
      </c>
      <c r="E2015" s="103">
        <v>1000</v>
      </c>
      <c r="F2015" s="98" t="s">
        <v>240</v>
      </c>
      <c r="G2015" s="98" t="s">
        <v>374</v>
      </c>
      <c r="H2015" s="98" t="s">
        <v>516</v>
      </c>
      <c r="I2015" s="98" t="s">
        <v>242</v>
      </c>
    </row>
    <row r="2016" spans="2:9" s="98" customFormat="1">
      <c r="B2016" s="99" t="s">
        <v>475</v>
      </c>
      <c r="C2016" s="109">
        <v>45776.709027777775</v>
      </c>
      <c r="D2016" s="98" t="s">
        <v>134</v>
      </c>
      <c r="E2016" s="103">
        <v>10000</v>
      </c>
      <c r="F2016" s="98" t="s">
        <v>240</v>
      </c>
      <c r="G2016" s="98" t="s">
        <v>374</v>
      </c>
      <c r="H2016" s="98" t="s">
        <v>516</v>
      </c>
      <c r="I2016" s="98" t="s">
        <v>273</v>
      </c>
    </row>
    <row r="2017" spans="2:9" s="98" customFormat="1">
      <c r="B2017" s="99" t="s">
        <v>475</v>
      </c>
      <c r="C2017" s="109">
        <v>45776.70416666667</v>
      </c>
      <c r="D2017" s="98" t="s">
        <v>151</v>
      </c>
      <c r="E2017" s="103">
        <v>2296</v>
      </c>
      <c r="F2017" s="98" t="s">
        <v>240</v>
      </c>
      <c r="G2017" s="98" t="s">
        <v>374</v>
      </c>
      <c r="H2017" s="98" t="s">
        <v>516</v>
      </c>
      <c r="I2017" s="98" t="s">
        <v>247</v>
      </c>
    </row>
    <row r="2018" spans="2:9" s="98" customFormat="1">
      <c r="B2018" s="99" t="s">
        <v>475</v>
      </c>
      <c r="C2018" s="109">
        <v>45776.669444444444</v>
      </c>
      <c r="D2018" s="98" t="s">
        <v>161</v>
      </c>
      <c r="E2018" s="103">
        <v>3284</v>
      </c>
      <c r="F2018" s="98" t="s">
        <v>240</v>
      </c>
      <c r="G2018" s="98" t="s">
        <v>374</v>
      </c>
      <c r="H2018" s="98" t="s">
        <v>516</v>
      </c>
      <c r="I2018" s="98" t="s">
        <v>247</v>
      </c>
    </row>
    <row r="2019" spans="2:9" s="98" customFormat="1">
      <c r="B2019" s="99" t="s">
        <v>475</v>
      </c>
      <c r="C2019" s="109">
        <v>45776.540277777778</v>
      </c>
      <c r="D2019" s="98" t="s">
        <v>162</v>
      </c>
      <c r="E2019" s="103">
        <v>890</v>
      </c>
      <c r="F2019" s="98" t="s">
        <v>240</v>
      </c>
      <c r="G2019" s="98" t="s">
        <v>374</v>
      </c>
      <c r="H2019" s="98" t="s">
        <v>516</v>
      </c>
      <c r="I2019" s="98" t="s">
        <v>242</v>
      </c>
    </row>
    <row r="2020" spans="2:9" s="98" customFormat="1">
      <c r="B2020" s="99" t="s">
        <v>475</v>
      </c>
      <c r="C2020" s="109">
        <v>45776.39166666667</v>
      </c>
      <c r="D2020" s="98" t="s">
        <v>139</v>
      </c>
      <c r="E2020" s="103">
        <v>1900</v>
      </c>
      <c r="F2020" s="98" t="s">
        <v>240</v>
      </c>
      <c r="G2020" s="98" t="s">
        <v>374</v>
      </c>
      <c r="H2020" s="98" t="s">
        <v>516</v>
      </c>
      <c r="I2020" s="98" t="s">
        <v>242</v>
      </c>
    </row>
    <row r="2021" spans="2:9" s="98" customFormat="1">
      <c r="B2021" s="99" t="s">
        <v>475</v>
      </c>
      <c r="C2021" s="109">
        <v>45776.308333333334</v>
      </c>
      <c r="D2021" s="98" t="s">
        <v>156</v>
      </c>
      <c r="E2021" s="103">
        <v>300</v>
      </c>
      <c r="F2021" s="98" t="s">
        <v>240</v>
      </c>
      <c r="G2021" s="98" t="s">
        <v>374</v>
      </c>
      <c r="H2021" s="98" t="s">
        <v>516</v>
      </c>
      <c r="I2021" s="98" t="s">
        <v>241</v>
      </c>
    </row>
    <row r="2022" spans="2:9" s="98" customFormat="1">
      <c r="B2022" s="99" t="s">
        <v>475</v>
      </c>
      <c r="C2022" s="109">
        <v>45775.888194444444</v>
      </c>
      <c r="D2022" s="98" t="s">
        <v>163</v>
      </c>
      <c r="E2022" s="103">
        <v>3990</v>
      </c>
      <c r="F2022" s="98" t="s">
        <v>240</v>
      </c>
      <c r="G2022" s="98" t="s">
        <v>374</v>
      </c>
      <c r="H2022" s="98" t="s">
        <v>516</v>
      </c>
      <c r="I2022" s="98" t="s">
        <v>242</v>
      </c>
    </row>
    <row r="2023" spans="2:9" s="98" customFormat="1">
      <c r="B2023" s="99" t="s">
        <v>475</v>
      </c>
      <c r="C2023" s="109">
        <v>45775.887499999997</v>
      </c>
      <c r="D2023" s="98" t="s">
        <v>163</v>
      </c>
      <c r="E2023" s="103">
        <v>5990</v>
      </c>
      <c r="F2023" s="98" t="s">
        <v>240</v>
      </c>
      <c r="G2023" s="98" t="s">
        <v>374</v>
      </c>
      <c r="H2023" s="98" t="s">
        <v>516</v>
      </c>
      <c r="I2023" s="98" t="s">
        <v>242</v>
      </c>
    </row>
    <row r="2024" spans="2:9" s="98" customFormat="1">
      <c r="B2024" s="99" t="s">
        <v>475</v>
      </c>
      <c r="C2024" s="109">
        <v>45775.86041666667</v>
      </c>
      <c r="D2024" s="98" t="s">
        <v>156</v>
      </c>
      <c r="E2024" s="103">
        <v>250</v>
      </c>
      <c r="F2024" s="98" t="s">
        <v>240</v>
      </c>
      <c r="G2024" s="98" t="s">
        <v>374</v>
      </c>
      <c r="H2024" s="98" t="s">
        <v>516</v>
      </c>
      <c r="I2024" s="98" t="s">
        <v>241</v>
      </c>
    </row>
    <row r="2025" spans="2:9" s="98" customFormat="1">
      <c r="B2025" s="99" t="s">
        <v>475</v>
      </c>
      <c r="C2025" s="109">
        <v>45775.573611111111</v>
      </c>
      <c r="D2025" s="98" t="s">
        <v>164</v>
      </c>
      <c r="E2025" s="103">
        <v>50000</v>
      </c>
      <c r="F2025" s="98" t="s">
        <v>240</v>
      </c>
      <c r="G2025" s="98" t="s">
        <v>374</v>
      </c>
      <c r="H2025" s="98" t="s">
        <v>516</v>
      </c>
      <c r="I2025" s="98" t="s">
        <v>274</v>
      </c>
    </row>
    <row r="2026" spans="2:9" s="98" customFormat="1">
      <c r="B2026" s="99" t="s">
        <v>475</v>
      </c>
      <c r="C2026" s="109">
        <v>45775.557638888888</v>
      </c>
      <c r="D2026" s="98" t="s">
        <v>30</v>
      </c>
      <c r="E2026" s="103">
        <v>4000</v>
      </c>
      <c r="F2026" s="98" t="s">
        <v>240</v>
      </c>
      <c r="G2026" s="98" t="s">
        <v>374</v>
      </c>
      <c r="H2026" s="98" t="s">
        <v>516</v>
      </c>
      <c r="I2026" s="98" t="s">
        <v>247</v>
      </c>
    </row>
    <row r="2027" spans="2:9" s="98" customFormat="1">
      <c r="B2027" s="99" t="s">
        <v>475</v>
      </c>
      <c r="C2027" s="109">
        <v>45775.479861111111</v>
      </c>
      <c r="D2027" s="98" t="s">
        <v>94</v>
      </c>
      <c r="E2027" s="103">
        <v>6990</v>
      </c>
      <c r="F2027" s="98" t="s">
        <v>240</v>
      </c>
      <c r="G2027" s="98" t="s">
        <v>374</v>
      </c>
      <c r="H2027" s="98" t="s">
        <v>516</v>
      </c>
      <c r="I2027" s="98" t="s">
        <v>244</v>
      </c>
    </row>
    <row r="2028" spans="2:9" s="98" customFormat="1">
      <c r="B2028" s="99" t="s">
        <v>475</v>
      </c>
      <c r="C2028" s="109">
        <v>45774.795138888891</v>
      </c>
      <c r="D2028" s="98" t="s">
        <v>56</v>
      </c>
      <c r="E2028" s="103">
        <v>3580</v>
      </c>
      <c r="F2028" s="98" t="s">
        <v>240</v>
      </c>
      <c r="G2028" s="98" t="s">
        <v>374</v>
      </c>
      <c r="H2028" s="98" t="s">
        <v>516</v>
      </c>
      <c r="I2028" s="98" t="s">
        <v>247</v>
      </c>
    </row>
    <row r="2029" spans="2:9" s="98" customFormat="1">
      <c r="B2029" s="99" t="s">
        <v>475</v>
      </c>
      <c r="C2029" s="109">
        <v>45774.603472222225</v>
      </c>
      <c r="D2029" s="98" t="s">
        <v>12</v>
      </c>
      <c r="E2029" s="103">
        <v>4491</v>
      </c>
      <c r="F2029" s="98" t="s">
        <v>240</v>
      </c>
      <c r="G2029" s="98" t="s">
        <v>374</v>
      </c>
      <c r="H2029" s="98" t="s">
        <v>516</v>
      </c>
      <c r="I2029" s="98" t="s">
        <v>245</v>
      </c>
    </row>
    <row r="2030" spans="2:9" s="98" customFormat="1">
      <c r="B2030" s="99" t="s">
        <v>475</v>
      </c>
      <c r="C2030" s="109">
        <v>45774.602777777778</v>
      </c>
      <c r="D2030" s="98" t="s">
        <v>12</v>
      </c>
      <c r="E2030" s="103">
        <v>62487</v>
      </c>
      <c r="F2030" s="98" t="s">
        <v>240</v>
      </c>
      <c r="G2030" s="98" t="s">
        <v>374</v>
      </c>
      <c r="H2030" s="98" t="s">
        <v>516</v>
      </c>
      <c r="I2030" s="98" t="s">
        <v>245</v>
      </c>
    </row>
    <row r="2031" spans="2:9" s="98" customFormat="1">
      <c r="B2031" s="99" t="s">
        <v>475</v>
      </c>
      <c r="C2031" s="109">
        <v>45774.493750000001</v>
      </c>
      <c r="D2031" s="98" t="s">
        <v>165</v>
      </c>
      <c r="E2031" s="103">
        <v>30000</v>
      </c>
      <c r="F2031" s="98" t="s">
        <v>240</v>
      </c>
      <c r="G2031" s="98" t="s">
        <v>374</v>
      </c>
      <c r="H2031" s="98" t="s">
        <v>516</v>
      </c>
      <c r="I2031" s="98" t="s">
        <v>263</v>
      </c>
    </row>
    <row r="2032" spans="2:9" s="98" customFormat="1">
      <c r="B2032" s="99" t="s">
        <v>475</v>
      </c>
      <c r="C2032" s="109">
        <v>45773.811805555553</v>
      </c>
      <c r="D2032" s="98" t="s">
        <v>26</v>
      </c>
      <c r="E2032" s="103">
        <v>16500</v>
      </c>
      <c r="F2032" s="98" t="s">
        <v>240</v>
      </c>
      <c r="G2032" s="98" t="s">
        <v>374</v>
      </c>
      <c r="H2032" s="98" t="s">
        <v>516</v>
      </c>
      <c r="I2032" s="98" t="s">
        <v>248</v>
      </c>
    </row>
    <row r="2033" spans="2:9" s="98" customFormat="1">
      <c r="B2033" s="99" t="s">
        <v>475</v>
      </c>
      <c r="C2033" s="109">
        <v>45773.637499999997</v>
      </c>
      <c r="D2033" s="98" t="s">
        <v>9</v>
      </c>
      <c r="E2033" s="103">
        <v>3840</v>
      </c>
      <c r="F2033" s="98" t="s">
        <v>240</v>
      </c>
      <c r="G2033" s="98" t="s">
        <v>374</v>
      </c>
      <c r="H2033" s="98" t="s">
        <v>516</v>
      </c>
      <c r="I2033" s="98" t="s">
        <v>242</v>
      </c>
    </row>
    <row r="2034" spans="2:9" s="98" customFormat="1">
      <c r="B2034" s="99" t="s">
        <v>475</v>
      </c>
      <c r="C2034" s="109">
        <v>45773.634722222225</v>
      </c>
      <c r="D2034" s="98" t="s">
        <v>9</v>
      </c>
      <c r="E2034" s="103">
        <v>15000</v>
      </c>
      <c r="F2034" s="98" t="s">
        <v>240</v>
      </c>
      <c r="G2034" s="98" t="s">
        <v>374</v>
      </c>
      <c r="H2034" s="98" t="s">
        <v>516</v>
      </c>
      <c r="I2034" s="98" t="s">
        <v>270</v>
      </c>
    </row>
    <row r="2035" spans="2:9" s="98" customFormat="1">
      <c r="B2035" s="99" t="s">
        <v>475</v>
      </c>
      <c r="C2035" s="109">
        <v>45773.569444444445</v>
      </c>
      <c r="D2035" s="98" t="s">
        <v>96</v>
      </c>
      <c r="E2035" s="103">
        <v>2500</v>
      </c>
      <c r="F2035" s="98" t="s">
        <v>240</v>
      </c>
      <c r="G2035" s="98" t="s">
        <v>374</v>
      </c>
      <c r="H2035" s="98" t="s">
        <v>516</v>
      </c>
      <c r="I2035" s="98" t="s">
        <v>242</v>
      </c>
    </row>
    <row r="2036" spans="2:9" s="98" customFormat="1">
      <c r="B2036" s="99" t="s">
        <v>475</v>
      </c>
      <c r="C2036" s="109">
        <v>45773.564583333333</v>
      </c>
      <c r="D2036" s="98" t="s">
        <v>28</v>
      </c>
      <c r="E2036" s="103">
        <v>20061</v>
      </c>
      <c r="F2036" s="98" t="s">
        <v>240</v>
      </c>
      <c r="G2036" s="98" t="s">
        <v>374</v>
      </c>
      <c r="H2036" s="98" t="s">
        <v>516</v>
      </c>
      <c r="I2036" s="98" t="s">
        <v>245</v>
      </c>
    </row>
    <row r="2037" spans="2:9" s="98" customFormat="1">
      <c r="B2037" s="99" t="s">
        <v>475</v>
      </c>
      <c r="C2037" s="109">
        <v>45772.978472222225</v>
      </c>
      <c r="D2037" s="98" t="s">
        <v>59</v>
      </c>
      <c r="E2037" s="103">
        <v>-57271</v>
      </c>
      <c r="F2037" s="98" t="s">
        <v>239</v>
      </c>
      <c r="I2037" s="98" t="s">
        <v>253</v>
      </c>
    </row>
    <row r="2038" spans="2:9" s="98" customFormat="1">
      <c r="B2038" s="99" t="s">
        <v>475</v>
      </c>
      <c r="C2038" s="109">
        <v>45772.672222222223</v>
      </c>
      <c r="D2038" s="98" t="s">
        <v>96</v>
      </c>
      <c r="E2038" s="103">
        <v>2350</v>
      </c>
      <c r="F2038" s="98" t="s">
        <v>240</v>
      </c>
      <c r="G2038" s="98" t="s">
        <v>374</v>
      </c>
      <c r="H2038" s="98" t="s">
        <v>516</v>
      </c>
      <c r="I2038" s="98" t="s">
        <v>242</v>
      </c>
    </row>
    <row r="2039" spans="2:9" s="98" customFormat="1">
      <c r="B2039" s="99" t="s">
        <v>475</v>
      </c>
      <c r="C2039" s="109">
        <v>45772.626388888886</v>
      </c>
      <c r="D2039" s="98" t="s">
        <v>62</v>
      </c>
      <c r="E2039" s="103">
        <v>1600</v>
      </c>
      <c r="F2039" s="98" t="s">
        <v>240</v>
      </c>
      <c r="G2039" s="98" t="s">
        <v>374</v>
      </c>
      <c r="H2039" s="98" t="s">
        <v>516</v>
      </c>
      <c r="I2039" s="98" t="s">
        <v>247</v>
      </c>
    </row>
    <row r="2040" spans="2:9" s="98" customFormat="1">
      <c r="B2040" s="99" t="s">
        <v>475</v>
      </c>
      <c r="C2040" s="109">
        <v>45772.372916666667</v>
      </c>
      <c r="D2040" s="98" t="s">
        <v>12</v>
      </c>
      <c r="E2040" s="103">
        <v>34786</v>
      </c>
      <c r="F2040" s="98" t="s">
        <v>240</v>
      </c>
      <c r="G2040" s="98" t="s">
        <v>374</v>
      </c>
      <c r="H2040" s="98" t="s">
        <v>516</v>
      </c>
      <c r="I2040" s="98" t="s">
        <v>245</v>
      </c>
    </row>
    <row r="2041" spans="2:9" s="98" customFormat="1">
      <c r="B2041" s="99" t="s">
        <v>475</v>
      </c>
      <c r="C2041" s="109">
        <v>45772.340277777781</v>
      </c>
      <c r="D2041" s="98" t="s">
        <v>30</v>
      </c>
      <c r="E2041" s="103">
        <v>3600</v>
      </c>
      <c r="F2041" s="98" t="s">
        <v>240</v>
      </c>
      <c r="G2041" s="98" t="s">
        <v>374</v>
      </c>
      <c r="H2041" s="98" t="s">
        <v>516</v>
      </c>
      <c r="I2041" s="98" t="s">
        <v>247</v>
      </c>
    </row>
    <row r="2042" spans="2:9" s="98" customFormat="1">
      <c r="B2042" s="99" t="s">
        <v>475</v>
      </c>
      <c r="C2042" s="109">
        <v>45771.9375</v>
      </c>
      <c r="D2042" s="98" t="s">
        <v>166</v>
      </c>
      <c r="E2042" s="103">
        <v>-54045</v>
      </c>
      <c r="F2042" s="98" t="s">
        <v>239</v>
      </c>
      <c r="I2042" s="98" t="s">
        <v>253</v>
      </c>
    </row>
    <row r="2043" spans="2:9" s="98" customFormat="1">
      <c r="B2043" s="99" t="s">
        <v>475</v>
      </c>
      <c r="C2043" s="109">
        <v>45771.804166666669</v>
      </c>
      <c r="D2043" s="98" t="s">
        <v>56</v>
      </c>
      <c r="E2043" s="103">
        <v>5400</v>
      </c>
      <c r="F2043" s="98" t="s">
        <v>240</v>
      </c>
      <c r="G2043" s="98" t="s">
        <v>374</v>
      </c>
      <c r="H2043" s="98" t="s">
        <v>516</v>
      </c>
      <c r="I2043" s="98" t="s">
        <v>247</v>
      </c>
    </row>
    <row r="2044" spans="2:9" s="98" customFormat="1">
      <c r="B2044" s="99" t="s">
        <v>475</v>
      </c>
      <c r="C2044" s="109">
        <v>45771.618055555555</v>
      </c>
      <c r="D2044" s="98" t="s">
        <v>21</v>
      </c>
      <c r="E2044" s="103">
        <v>5850</v>
      </c>
      <c r="F2044" s="98" t="s">
        <v>240</v>
      </c>
      <c r="G2044" s="98" t="s">
        <v>374</v>
      </c>
      <c r="H2044" s="98" t="s">
        <v>513</v>
      </c>
      <c r="I2044" s="98" t="s">
        <v>544</v>
      </c>
    </row>
    <row r="2045" spans="2:9" s="98" customFormat="1">
      <c r="B2045" s="99" t="s">
        <v>475</v>
      </c>
      <c r="C2045" s="109">
        <v>45771.579861111109</v>
      </c>
      <c r="D2045" s="98" t="s">
        <v>152</v>
      </c>
      <c r="E2045" s="103">
        <v>3990</v>
      </c>
      <c r="F2045" s="98" t="s">
        <v>240</v>
      </c>
      <c r="G2045" s="98" t="s">
        <v>374</v>
      </c>
      <c r="H2045" s="98" t="s">
        <v>516</v>
      </c>
      <c r="I2045" s="98" t="s">
        <v>242</v>
      </c>
    </row>
    <row r="2046" spans="2:9" s="98" customFormat="1">
      <c r="B2046" s="99" t="s">
        <v>475</v>
      </c>
      <c r="C2046" s="109">
        <v>45771.365277777775</v>
      </c>
      <c r="D2046" s="98" t="s">
        <v>155</v>
      </c>
      <c r="E2046" s="103">
        <v>3290</v>
      </c>
      <c r="F2046" s="98" t="s">
        <v>240</v>
      </c>
      <c r="G2046" s="98" t="s">
        <v>374</v>
      </c>
      <c r="H2046" s="98" t="s">
        <v>516</v>
      </c>
      <c r="I2046" s="98" t="s">
        <v>242</v>
      </c>
    </row>
    <row r="2047" spans="2:9" s="98" customFormat="1">
      <c r="B2047" s="99" t="s">
        <v>475</v>
      </c>
      <c r="C2047" s="109">
        <v>45771.363194444442</v>
      </c>
      <c r="D2047" s="98" t="s">
        <v>27</v>
      </c>
      <c r="E2047" s="103">
        <v>25000</v>
      </c>
      <c r="F2047" s="98" t="s">
        <v>240</v>
      </c>
      <c r="G2047" s="98" t="s">
        <v>374</v>
      </c>
      <c r="H2047" s="98" t="s">
        <v>516</v>
      </c>
      <c r="I2047" s="98" t="s">
        <v>270</v>
      </c>
    </row>
    <row r="2048" spans="2:9" s="98" customFormat="1">
      <c r="B2048" s="99" t="s">
        <v>475</v>
      </c>
      <c r="C2048" s="109">
        <v>45771.348611111112</v>
      </c>
      <c r="D2048" s="98" t="s">
        <v>30</v>
      </c>
      <c r="E2048" s="103">
        <v>2100</v>
      </c>
      <c r="F2048" s="98" t="s">
        <v>240</v>
      </c>
      <c r="G2048" s="98" t="s">
        <v>374</v>
      </c>
      <c r="H2048" s="98" t="s">
        <v>516</v>
      </c>
      <c r="I2048" s="98" t="s">
        <v>247</v>
      </c>
    </row>
    <row r="2049" spans="2:9" s="98" customFormat="1">
      <c r="B2049" s="99" t="s">
        <v>475</v>
      </c>
      <c r="C2049" s="109">
        <v>45771.339583333334</v>
      </c>
      <c r="D2049" s="98" t="s">
        <v>30</v>
      </c>
      <c r="E2049" s="103">
        <v>3600</v>
      </c>
      <c r="F2049" s="98" t="s">
        <v>240</v>
      </c>
      <c r="G2049" s="98" t="s">
        <v>374</v>
      </c>
      <c r="H2049" s="98" t="s">
        <v>516</v>
      </c>
      <c r="I2049" s="98" t="s">
        <v>247</v>
      </c>
    </row>
    <row r="2050" spans="2:9" s="98" customFormat="1">
      <c r="B2050" s="99" t="s">
        <v>475</v>
      </c>
      <c r="C2050" s="109">
        <v>45770.879861111112</v>
      </c>
      <c r="D2050" s="98" t="s">
        <v>16</v>
      </c>
      <c r="E2050" s="103">
        <v>15900</v>
      </c>
      <c r="F2050" s="98" t="s">
        <v>240</v>
      </c>
      <c r="G2050" s="98" t="s">
        <v>374</v>
      </c>
      <c r="H2050" s="98" t="s">
        <v>516</v>
      </c>
      <c r="I2050" s="98" t="s">
        <v>248</v>
      </c>
    </row>
    <row r="2051" spans="2:9" s="98" customFormat="1">
      <c r="B2051" s="99" t="s">
        <v>475</v>
      </c>
      <c r="C2051" s="109">
        <v>45770.838888888888</v>
      </c>
      <c r="D2051" s="98" t="s">
        <v>94</v>
      </c>
      <c r="E2051" s="103">
        <v>10980</v>
      </c>
      <c r="F2051" s="98" t="s">
        <v>240</v>
      </c>
      <c r="G2051" s="98" t="s">
        <v>374</v>
      </c>
      <c r="H2051" s="98" t="s">
        <v>516</v>
      </c>
      <c r="I2051" s="98" t="s">
        <v>244</v>
      </c>
    </row>
    <row r="2052" spans="2:9" s="98" customFormat="1">
      <c r="B2052" s="99" t="s">
        <v>475</v>
      </c>
      <c r="C2052" s="109">
        <v>45770.676388888889</v>
      </c>
      <c r="D2052" s="98" t="s">
        <v>167</v>
      </c>
      <c r="E2052" s="103">
        <v>2990</v>
      </c>
      <c r="F2052" s="98" t="s">
        <v>240</v>
      </c>
      <c r="G2052" s="98" t="s">
        <v>374</v>
      </c>
      <c r="H2052" s="98" t="s">
        <v>516</v>
      </c>
      <c r="I2052" s="98" t="s">
        <v>242</v>
      </c>
    </row>
    <row r="2053" spans="2:9" s="98" customFormat="1">
      <c r="B2053" s="99" t="s">
        <v>475</v>
      </c>
      <c r="C2053" s="109">
        <v>45770.598611111112</v>
      </c>
      <c r="D2053" s="98" t="s">
        <v>164</v>
      </c>
      <c r="E2053" s="103">
        <v>5000</v>
      </c>
      <c r="F2053" s="98" t="s">
        <v>240</v>
      </c>
      <c r="G2053" s="98" t="s">
        <v>374</v>
      </c>
      <c r="H2053" s="98" t="s">
        <v>516</v>
      </c>
      <c r="I2053" s="98" t="s">
        <v>274</v>
      </c>
    </row>
    <row r="2054" spans="2:9" s="98" customFormat="1">
      <c r="B2054" s="99" t="s">
        <v>475</v>
      </c>
      <c r="C2054" s="109">
        <v>45770.552083333336</v>
      </c>
      <c r="D2054" s="98" t="s">
        <v>162</v>
      </c>
      <c r="E2054" s="103">
        <v>890</v>
      </c>
      <c r="F2054" s="98" t="s">
        <v>240</v>
      </c>
      <c r="G2054" s="98" t="s">
        <v>374</v>
      </c>
      <c r="H2054" s="98" t="s">
        <v>516</v>
      </c>
      <c r="I2054" s="98" t="s">
        <v>242</v>
      </c>
    </row>
    <row r="2055" spans="2:9" s="98" customFormat="1">
      <c r="B2055" s="99" t="s">
        <v>475</v>
      </c>
      <c r="C2055" s="109">
        <v>45770.53125</v>
      </c>
      <c r="D2055" s="98" t="s">
        <v>134</v>
      </c>
      <c r="E2055" s="103">
        <v>10000</v>
      </c>
      <c r="F2055" s="98" t="s">
        <v>240</v>
      </c>
      <c r="G2055" s="98" t="s">
        <v>374</v>
      </c>
      <c r="H2055" s="98" t="s">
        <v>516</v>
      </c>
      <c r="I2055" s="98" t="s">
        <v>273</v>
      </c>
    </row>
    <row r="2056" spans="2:9" s="98" customFormat="1">
      <c r="B2056" s="99" t="s">
        <v>475</v>
      </c>
      <c r="C2056" s="109">
        <v>45770.387499999997</v>
      </c>
      <c r="D2056" s="98" t="s">
        <v>139</v>
      </c>
      <c r="E2056" s="103">
        <v>1900</v>
      </c>
      <c r="F2056" s="98" t="s">
        <v>240</v>
      </c>
      <c r="G2056" s="98" t="s">
        <v>374</v>
      </c>
      <c r="H2056" s="98" t="s">
        <v>516</v>
      </c>
      <c r="I2056" s="98" t="s">
        <v>242</v>
      </c>
    </row>
    <row r="2057" spans="2:9" s="98" customFormat="1">
      <c r="B2057" s="99" t="s">
        <v>475</v>
      </c>
      <c r="C2057" s="109">
        <v>45769.772916666669</v>
      </c>
      <c r="D2057" s="98" t="s">
        <v>168</v>
      </c>
      <c r="E2057" s="103">
        <v>10000</v>
      </c>
      <c r="F2057" s="98" t="s">
        <v>240</v>
      </c>
      <c r="G2057" s="98" t="s">
        <v>374</v>
      </c>
      <c r="H2057" s="98" t="s">
        <v>516</v>
      </c>
      <c r="I2057" s="98" t="s">
        <v>263</v>
      </c>
    </row>
    <row r="2058" spans="2:9" s="98" customFormat="1">
      <c r="B2058" s="99" t="s">
        <v>475</v>
      </c>
      <c r="C2058" s="109">
        <v>45769.643055555556</v>
      </c>
      <c r="D2058" s="98" t="s">
        <v>161</v>
      </c>
      <c r="E2058" s="103">
        <v>2129</v>
      </c>
      <c r="F2058" s="98" t="s">
        <v>240</v>
      </c>
      <c r="G2058" s="98" t="s">
        <v>374</v>
      </c>
      <c r="H2058" s="98" t="s">
        <v>516</v>
      </c>
      <c r="I2058" s="98" t="s">
        <v>247</v>
      </c>
    </row>
    <row r="2059" spans="2:9" s="98" customFormat="1">
      <c r="B2059" s="99" t="s">
        <v>475</v>
      </c>
      <c r="C2059" s="109">
        <v>45769.560416666667</v>
      </c>
      <c r="D2059" s="98" t="s">
        <v>162</v>
      </c>
      <c r="E2059" s="103">
        <v>890</v>
      </c>
      <c r="F2059" s="98" t="s">
        <v>240</v>
      </c>
      <c r="G2059" s="98" t="s">
        <v>374</v>
      </c>
      <c r="H2059" s="98" t="s">
        <v>516</v>
      </c>
      <c r="I2059" s="98" t="s">
        <v>242</v>
      </c>
    </row>
    <row r="2060" spans="2:9" s="98" customFormat="1">
      <c r="B2060" s="99" t="s">
        <v>475</v>
      </c>
      <c r="C2060" s="109">
        <v>45769.390277777777</v>
      </c>
      <c r="D2060" s="98" t="s">
        <v>139</v>
      </c>
      <c r="E2060" s="103">
        <v>1900</v>
      </c>
      <c r="F2060" s="98" t="s">
        <v>240</v>
      </c>
      <c r="G2060" s="98" t="s">
        <v>374</v>
      </c>
      <c r="H2060" s="98" t="s">
        <v>516</v>
      </c>
      <c r="I2060" s="98" t="s">
        <v>242</v>
      </c>
    </row>
    <row r="2061" spans="2:9" s="98" customFormat="1">
      <c r="B2061" s="99" t="s">
        <v>475</v>
      </c>
      <c r="C2061" s="109">
        <v>45768.925694444442</v>
      </c>
      <c r="D2061" s="98" t="s">
        <v>96</v>
      </c>
      <c r="E2061" s="103">
        <v>100</v>
      </c>
      <c r="F2061" s="98" t="s">
        <v>240</v>
      </c>
      <c r="G2061" s="98" t="s">
        <v>374</v>
      </c>
      <c r="H2061" s="98" t="s">
        <v>516</v>
      </c>
      <c r="I2061" s="98" t="s">
        <v>242</v>
      </c>
    </row>
    <row r="2062" spans="2:9" s="98" customFormat="1">
      <c r="B2062" s="99" t="s">
        <v>475</v>
      </c>
      <c r="C2062" s="109">
        <v>45768.738888888889</v>
      </c>
      <c r="D2062" s="98" t="s">
        <v>148</v>
      </c>
      <c r="E2062" s="103">
        <v>11900</v>
      </c>
      <c r="F2062" s="98" t="s">
        <v>240</v>
      </c>
      <c r="G2062" s="98" t="s">
        <v>374</v>
      </c>
      <c r="H2062" s="98" t="s">
        <v>516</v>
      </c>
      <c r="I2062" s="98" t="s">
        <v>244</v>
      </c>
    </row>
    <row r="2063" spans="2:9" s="98" customFormat="1">
      <c r="B2063" s="99" t="s">
        <v>475</v>
      </c>
      <c r="C2063" s="109">
        <v>45768.555555555555</v>
      </c>
      <c r="D2063" s="98" t="s">
        <v>46</v>
      </c>
      <c r="E2063" s="103">
        <v>1300</v>
      </c>
      <c r="F2063" s="98" t="s">
        <v>240</v>
      </c>
      <c r="G2063" s="98" t="s">
        <v>374</v>
      </c>
      <c r="H2063" s="98" t="s">
        <v>516</v>
      </c>
      <c r="I2063" s="98" t="s">
        <v>247</v>
      </c>
    </row>
    <row r="2064" spans="2:9" s="98" customFormat="1">
      <c r="B2064" s="99" t="s">
        <v>475</v>
      </c>
      <c r="C2064" s="109">
        <v>45768.51458333333</v>
      </c>
      <c r="D2064" s="98" t="s">
        <v>96</v>
      </c>
      <c r="E2064" s="103">
        <v>1950</v>
      </c>
      <c r="F2064" s="98" t="s">
        <v>240</v>
      </c>
      <c r="G2064" s="98" t="s">
        <v>374</v>
      </c>
      <c r="H2064" s="98" t="s">
        <v>516</v>
      </c>
      <c r="I2064" s="98" t="s">
        <v>242</v>
      </c>
    </row>
    <row r="2065" spans="2:9" s="98" customFormat="1">
      <c r="B2065" s="99" t="s">
        <v>475</v>
      </c>
      <c r="C2065" s="109">
        <v>45768.490972222222</v>
      </c>
      <c r="D2065" s="98" t="s">
        <v>169</v>
      </c>
      <c r="E2065" s="103">
        <v>-4000</v>
      </c>
      <c r="F2065" s="98" t="s">
        <v>239</v>
      </c>
      <c r="I2065" s="98" t="s">
        <v>253</v>
      </c>
    </row>
    <row r="2066" spans="2:9" s="98" customFormat="1">
      <c r="B2066" s="99" t="s">
        <v>475</v>
      </c>
      <c r="C2066" s="109">
        <v>45768.412499999999</v>
      </c>
      <c r="D2066" s="98" t="s">
        <v>59</v>
      </c>
      <c r="E2066" s="103">
        <v>-22817</v>
      </c>
      <c r="F2066" s="98" t="s">
        <v>239</v>
      </c>
      <c r="I2066" s="98" t="s">
        <v>253</v>
      </c>
    </row>
    <row r="2067" spans="2:9" s="98" customFormat="1">
      <c r="B2067" s="99" t="s">
        <v>475</v>
      </c>
      <c r="C2067" s="109">
        <v>45768.404166666667</v>
      </c>
      <c r="D2067" s="98" t="s">
        <v>59</v>
      </c>
      <c r="E2067" s="103">
        <v>-45634</v>
      </c>
      <c r="F2067" s="98" t="s">
        <v>239</v>
      </c>
      <c r="I2067" s="98" t="s">
        <v>253</v>
      </c>
    </row>
    <row r="2068" spans="2:9" s="98" customFormat="1">
      <c r="B2068" s="99" t="s">
        <v>475</v>
      </c>
      <c r="C2068" s="109">
        <v>45767.795138888891</v>
      </c>
      <c r="D2068" s="98" t="s">
        <v>32</v>
      </c>
      <c r="E2068" s="103">
        <v>24170</v>
      </c>
      <c r="F2068" s="98" t="s">
        <v>240</v>
      </c>
      <c r="G2068" s="98" t="s">
        <v>374</v>
      </c>
      <c r="H2068" s="98" t="s">
        <v>516</v>
      </c>
      <c r="I2068" s="98" t="s">
        <v>245</v>
      </c>
    </row>
    <row r="2069" spans="2:9" s="98" customFormat="1">
      <c r="B2069" s="99" t="s">
        <v>475</v>
      </c>
      <c r="C2069" s="109">
        <v>45767.777083333334</v>
      </c>
      <c r="D2069" s="98" t="s">
        <v>140</v>
      </c>
      <c r="E2069" s="103">
        <v>1000</v>
      </c>
      <c r="F2069" s="98" t="s">
        <v>240</v>
      </c>
      <c r="G2069" s="98" t="s">
        <v>374</v>
      </c>
      <c r="H2069" s="98" t="s">
        <v>516</v>
      </c>
      <c r="I2069" s="98" t="s">
        <v>268</v>
      </c>
    </row>
    <row r="2070" spans="2:9" s="98" customFormat="1">
      <c r="B2070" s="99" t="s">
        <v>475</v>
      </c>
      <c r="C2070" s="109">
        <v>45767.772916666669</v>
      </c>
      <c r="D2070" s="98" t="s">
        <v>170</v>
      </c>
      <c r="E2070" s="103">
        <v>2690</v>
      </c>
      <c r="F2070" s="98" t="s">
        <v>240</v>
      </c>
      <c r="G2070" s="98" t="s">
        <v>374</v>
      </c>
      <c r="H2070" s="98" t="s">
        <v>516</v>
      </c>
      <c r="I2070" s="98" t="s">
        <v>242</v>
      </c>
    </row>
    <row r="2071" spans="2:9" s="98" customFormat="1">
      <c r="B2071" s="99" t="s">
        <v>475</v>
      </c>
      <c r="C2071" s="109">
        <v>45767.768055555556</v>
      </c>
      <c r="D2071" s="98" t="s">
        <v>20</v>
      </c>
      <c r="E2071" s="103">
        <v>1990</v>
      </c>
      <c r="F2071" s="98" t="s">
        <v>240</v>
      </c>
      <c r="G2071" s="98" t="s">
        <v>374</v>
      </c>
      <c r="H2071" s="98" t="s">
        <v>516</v>
      </c>
      <c r="I2071" s="98" t="s">
        <v>242</v>
      </c>
    </row>
    <row r="2072" spans="2:9" s="98" customFormat="1">
      <c r="B2072" s="99" t="s">
        <v>475</v>
      </c>
      <c r="C2072" s="109">
        <v>45767.762499999997</v>
      </c>
      <c r="D2072" s="98" t="s">
        <v>171</v>
      </c>
      <c r="E2072" s="103">
        <v>3990</v>
      </c>
      <c r="F2072" s="98" t="s">
        <v>240</v>
      </c>
      <c r="G2072" s="98" t="s">
        <v>374</v>
      </c>
      <c r="H2072" s="98" t="s">
        <v>516</v>
      </c>
      <c r="I2072" s="98" t="s">
        <v>264</v>
      </c>
    </row>
    <row r="2073" spans="2:9" s="98" customFormat="1">
      <c r="B2073" s="99" t="s">
        <v>475</v>
      </c>
      <c r="C2073" s="109">
        <v>45767.757638888892</v>
      </c>
      <c r="D2073" s="98" t="s">
        <v>127</v>
      </c>
      <c r="E2073" s="103">
        <v>40822</v>
      </c>
      <c r="F2073" s="98" t="s">
        <v>240</v>
      </c>
      <c r="G2073" s="98" t="s">
        <v>374</v>
      </c>
      <c r="H2073" s="98" t="s">
        <v>516</v>
      </c>
      <c r="I2073" s="98" t="s">
        <v>243</v>
      </c>
    </row>
    <row r="2074" spans="2:9" s="98" customFormat="1">
      <c r="B2074" s="99" t="s">
        <v>475</v>
      </c>
      <c r="C2074" s="109">
        <v>45767</v>
      </c>
      <c r="D2074" s="98" t="s">
        <v>288</v>
      </c>
      <c r="E2074" s="103">
        <v>2341</v>
      </c>
      <c r="F2074" s="98" t="s">
        <v>240</v>
      </c>
      <c r="G2074" s="98" t="s">
        <v>373</v>
      </c>
      <c r="H2074" s="98" t="s">
        <v>513</v>
      </c>
      <c r="I2074" s="98" t="s">
        <v>370</v>
      </c>
    </row>
    <row r="2075" spans="2:9" s="98" customFormat="1">
      <c r="B2075" s="99" t="s">
        <v>475</v>
      </c>
      <c r="C2075" s="109">
        <v>45765.942361111112</v>
      </c>
      <c r="D2075" s="98" t="s">
        <v>78</v>
      </c>
      <c r="E2075" s="103">
        <v>40920</v>
      </c>
      <c r="F2075" s="98" t="s">
        <v>240</v>
      </c>
      <c r="G2075" s="98" t="s">
        <v>374</v>
      </c>
      <c r="H2075" s="98" t="s">
        <v>516</v>
      </c>
      <c r="I2075" s="98" t="s">
        <v>248</v>
      </c>
    </row>
    <row r="2076" spans="2:9" s="98" customFormat="1">
      <c r="B2076" s="99" t="s">
        <v>475</v>
      </c>
      <c r="C2076" s="109">
        <v>45765.594444444447</v>
      </c>
      <c r="D2076" s="98" t="s">
        <v>172</v>
      </c>
      <c r="E2076" s="103">
        <v>5290</v>
      </c>
      <c r="F2076" s="98" t="s">
        <v>240</v>
      </c>
      <c r="G2076" s="98" t="s">
        <v>374</v>
      </c>
      <c r="H2076" s="98" t="s">
        <v>516</v>
      </c>
      <c r="I2076" s="98" t="s">
        <v>245</v>
      </c>
    </row>
    <row r="2077" spans="2:9" s="98" customFormat="1">
      <c r="B2077" s="99" t="s">
        <v>475</v>
      </c>
      <c r="C2077" s="109">
        <v>45765.512499999997</v>
      </c>
      <c r="D2077" s="98" t="s">
        <v>96</v>
      </c>
      <c r="E2077" s="103">
        <v>400</v>
      </c>
      <c r="F2077" s="98" t="s">
        <v>240</v>
      </c>
      <c r="G2077" s="98" t="s">
        <v>374</v>
      </c>
      <c r="H2077" s="98" t="s">
        <v>516</v>
      </c>
      <c r="I2077" s="98" t="s">
        <v>242</v>
      </c>
    </row>
    <row r="2078" spans="2:9" s="98" customFormat="1">
      <c r="B2078" s="99" t="s">
        <v>475</v>
      </c>
      <c r="C2078" s="109">
        <v>45765.504861111112</v>
      </c>
      <c r="D2078" s="98" t="s">
        <v>28</v>
      </c>
      <c r="E2078" s="103">
        <v>2790</v>
      </c>
      <c r="F2078" s="98" t="s">
        <v>240</v>
      </c>
      <c r="G2078" s="98" t="s">
        <v>374</v>
      </c>
      <c r="H2078" s="98" t="s">
        <v>516</v>
      </c>
      <c r="I2078" s="98" t="s">
        <v>245</v>
      </c>
    </row>
    <row r="2079" spans="2:9" s="98" customFormat="1">
      <c r="B2079" s="99" t="s">
        <v>475</v>
      </c>
      <c r="C2079" s="109">
        <v>45765.502083333333</v>
      </c>
      <c r="D2079" s="98" t="s">
        <v>64</v>
      </c>
      <c r="E2079" s="103">
        <v>50000</v>
      </c>
      <c r="F2079" s="98" t="s">
        <v>240</v>
      </c>
      <c r="G2079" s="98" t="s">
        <v>374</v>
      </c>
      <c r="H2079" s="98" t="s">
        <v>516</v>
      </c>
      <c r="I2079" s="98" t="s">
        <v>263</v>
      </c>
    </row>
    <row r="2080" spans="2:9" s="98" customFormat="1">
      <c r="B2080" s="99" t="s">
        <v>475</v>
      </c>
      <c r="C2080" s="109">
        <v>45764.919444444444</v>
      </c>
      <c r="D2080" s="98" t="s">
        <v>59</v>
      </c>
      <c r="E2080" s="103">
        <v>-60201</v>
      </c>
      <c r="F2080" s="98" t="s">
        <v>239</v>
      </c>
      <c r="I2080" s="98" t="s">
        <v>253</v>
      </c>
    </row>
    <row r="2081" spans="2:9" s="98" customFormat="1">
      <c r="B2081" s="99" t="s">
        <v>475</v>
      </c>
      <c r="C2081" s="109">
        <v>45764.877083333333</v>
      </c>
      <c r="D2081" s="98" t="s">
        <v>173</v>
      </c>
      <c r="E2081" s="103">
        <v>13185</v>
      </c>
      <c r="F2081" s="98" t="s">
        <v>240</v>
      </c>
      <c r="G2081" s="98" t="s">
        <v>374</v>
      </c>
      <c r="H2081" s="98" t="s">
        <v>516</v>
      </c>
      <c r="I2081" s="98" t="s">
        <v>248</v>
      </c>
    </row>
    <row r="2082" spans="2:9" s="98" customFormat="1">
      <c r="B2082" s="99" t="s">
        <v>475</v>
      </c>
      <c r="C2082" s="109">
        <v>45764.84652777778</v>
      </c>
      <c r="D2082" s="98" t="s">
        <v>174</v>
      </c>
      <c r="E2082" s="103">
        <v>890</v>
      </c>
      <c r="F2082" s="98" t="s">
        <v>240</v>
      </c>
      <c r="G2082" s="98" t="s">
        <v>374</v>
      </c>
      <c r="H2082" s="98" t="s">
        <v>516</v>
      </c>
      <c r="I2082" s="98" t="s">
        <v>245</v>
      </c>
    </row>
    <row r="2083" spans="2:9" s="98" customFormat="1">
      <c r="B2083" s="99" t="s">
        <v>475</v>
      </c>
      <c r="C2083" s="109">
        <v>45764.84375</v>
      </c>
      <c r="D2083" s="98" t="s">
        <v>175</v>
      </c>
      <c r="E2083" s="103">
        <v>100000</v>
      </c>
      <c r="F2083" s="98" t="s">
        <v>240</v>
      </c>
      <c r="G2083" s="98" t="s">
        <v>374</v>
      </c>
      <c r="H2083" s="98" t="s">
        <v>516</v>
      </c>
      <c r="I2083" s="98" t="s">
        <v>263</v>
      </c>
    </row>
    <row r="2084" spans="2:9" s="98" customFormat="1">
      <c r="B2084" s="99" t="s">
        <v>475</v>
      </c>
      <c r="C2084" s="109">
        <v>45764.790972222225</v>
      </c>
      <c r="D2084" s="98" t="s">
        <v>117</v>
      </c>
      <c r="E2084" s="103">
        <v>-2762</v>
      </c>
      <c r="F2084" s="98" t="s">
        <v>239</v>
      </c>
      <c r="I2084" s="98" t="s">
        <v>253</v>
      </c>
    </row>
    <row r="2085" spans="2:9" s="98" customFormat="1">
      <c r="B2085" s="99" t="s">
        <v>475</v>
      </c>
      <c r="C2085" s="109">
        <v>45764.575694444444</v>
      </c>
      <c r="D2085" s="98" t="s">
        <v>152</v>
      </c>
      <c r="E2085" s="103">
        <v>6480</v>
      </c>
      <c r="F2085" s="98" t="s">
        <v>240</v>
      </c>
      <c r="G2085" s="98" t="s">
        <v>374</v>
      </c>
      <c r="H2085" s="98" t="s">
        <v>516</v>
      </c>
      <c r="I2085" s="98" t="s">
        <v>242</v>
      </c>
    </row>
    <row r="2086" spans="2:9" s="98" customFormat="1">
      <c r="B2086" s="99" t="s">
        <v>475</v>
      </c>
      <c r="C2086" s="109">
        <v>45764.394444444442</v>
      </c>
      <c r="D2086" s="98" t="s">
        <v>176</v>
      </c>
      <c r="E2086" s="103">
        <v>4290</v>
      </c>
      <c r="F2086" s="98" t="s">
        <v>240</v>
      </c>
      <c r="G2086" s="98" t="s">
        <v>374</v>
      </c>
      <c r="H2086" s="98" t="s">
        <v>516</v>
      </c>
      <c r="I2086" s="98" t="s">
        <v>242</v>
      </c>
    </row>
    <row r="2087" spans="2:9" s="98" customFormat="1">
      <c r="B2087" s="99" t="s">
        <v>475</v>
      </c>
      <c r="C2087" s="109">
        <v>45764.356944444444</v>
      </c>
      <c r="D2087" s="98" t="s">
        <v>47</v>
      </c>
      <c r="E2087" s="103">
        <v>1790</v>
      </c>
      <c r="F2087" s="98" t="s">
        <v>240</v>
      </c>
      <c r="G2087" s="98" t="s">
        <v>374</v>
      </c>
      <c r="H2087" s="98" t="s">
        <v>513</v>
      </c>
      <c r="I2087" s="98" t="s">
        <v>268</v>
      </c>
    </row>
    <row r="2088" spans="2:9" s="98" customFormat="1">
      <c r="B2088" s="99" t="s">
        <v>475</v>
      </c>
      <c r="C2088" s="109">
        <v>45764.338888888888</v>
      </c>
      <c r="D2088" s="98" t="s">
        <v>30</v>
      </c>
      <c r="E2088" s="103">
        <v>4000</v>
      </c>
      <c r="F2088" s="98" t="s">
        <v>240</v>
      </c>
      <c r="G2088" s="98" t="s">
        <v>374</v>
      </c>
      <c r="H2088" s="98" t="s">
        <v>516</v>
      </c>
      <c r="I2088" s="98" t="s">
        <v>247</v>
      </c>
    </row>
    <row r="2089" spans="2:9" s="98" customFormat="1">
      <c r="B2089" s="99" t="s">
        <v>475</v>
      </c>
      <c r="C2089" s="109">
        <v>45763.884722222225</v>
      </c>
      <c r="D2089" s="98" t="s">
        <v>177</v>
      </c>
      <c r="E2089" s="103">
        <v>40000</v>
      </c>
      <c r="F2089" s="98" t="s">
        <v>240</v>
      </c>
      <c r="G2089" s="98" t="s">
        <v>374</v>
      </c>
      <c r="H2089" s="98" t="s">
        <v>516</v>
      </c>
      <c r="I2089" s="98" t="s">
        <v>263</v>
      </c>
    </row>
    <row r="2090" spans="2:9" s="98" customFormat="1">
      <c r="B2090" s="99" t="s">
        <v>475</v>
      </c>
      <c r="C2090" s="109">
        <v>45763.729861111111</v>
      </c>
      <c r="D2090" s="98" t="s">
        <v>59</v>
      </c>
      <c r="E2090" s="103">
        <v>-8750</v>
      </c>
      <c r="F2090" s="98" t="s">
        <v>239</v>
      </c>
      <c r="I2090" s="98" t="s">
        <v>253</v>
      </c>
    </row>
    <row r="2091" spans="2:9" s="98" customFormat="1">
      <c r="B2091" s="99" t="s">
        <v>475</v>
      </c>
      <c r="C2091" s="109">
        <v>45763.62222222222</v>
      </c>
      <c r="D2091" s="98" t="s">
        <v>167</v>
      </c>
      <c r="E2091" s="103">
        <v>1990</v>
      </c>
      <c r="F2091" s="98" t="s">
        <v>240</v>
      </c>
      <c r="G2091" s="98" t="s">
        <v>374</v>
      </c>
      <c r="H2091" s="98" t="s">
        <v>516</v>
      </c>
      <c r="I2091" s="98" t="s">
        <v>242</v>
      </c>
    </row>
    <row r="2092" spans="2:9" s="98" customFormat="1">
      <c r="B2092" s="99" t="s">
        <v>475</v>
      </c>
      <c r="C2092" s="109">
        <v>45763.554861111108</v>
      </c>
      <c r="D2092" s="98" t="s">
        <v>162</v>
      </c>
      <c r="E2092" s="103">
        <v>890</v>
      </c>
      <c r="F2092" s="98" t="s">
        <v>240</v>
      </c>
      <c r="G2092" s="98" t="s">
        <v>374</v>
      </c>
      <c r="H2092" s="98" t="s">
        <v>516</v>
      </c>
      <c r="I2092" s="98" t="s">
        <v>242</v>
      </c>
    </row>
    <row r="2093" spans="2:9" s="98" customFormat="1">
      <c r="B2093" s="99" t="s">
        <v>475</v>
      </c>
      <c r="C2093" s="109">
        <v>45763.398611111108</v>
      </c>
      <c r="D2093" s="98" t="s">
        <v>139</v>
      </c>
      <c r="E2093" s="103">
        <v>1900</v>
      </c>
      <c r="F2093" s="98" t="s">
        <v>240</v>
      </c>
      <c r="G2093" s="98" t="s">
        <v>374</v>
      </c>
      <c r="H2093" s="98" t="s">
        <v>516</v>
      </c>
      <c r="I2093" s="98" t="s">
        <v>242</v>
      </c>
    </row>
    <row r="2094" spans="2:9" s="98" customFormat="1">
      <c r="B2094" s="99" t="s">
        <v>475</v>
      </c>
      <c r="C2094" s="109">
        <v>45762.87777777778</v>
      </c>
      <c r="D2094" s="98" t="s">
        <v>12</v>
      </c>
      <c r="E2094" s="103">
        <v>2025</v>
      </c>
      <c r="F2094" s="98" t="s">
        <v>240</v>
      </c>
      <c r="G2094" s="98" t="s">
        <v>374</v>
      </c>
      <c r="H2094" s="98" t="s">
        <v>516</v>
      </c>
      <c r="I2094" s="98" t="s">
        <v>245</v>
      </c>
    </row>
    <row r="2095" spans="2:9" s="98" customFormat="1">
      <c r="B2095" s="99" t="s">
        <v>475</v>
      </c>
      <c r="C2095" s="109">
        <v>45762.875694444447</v>
      </c>
      <c r="D2095" s="98" t="s">
        <v>12</v>
      </c>
      <c r="E2095" s="103">
        <v>20065</v>
      </c>
      <c r="F2095" s="98" t="s">
        <v>240</v>
      </c>
      <c r="G2095" s="98" t="s">
        <v>374</v>
      </c>
      <c r="H2095" s="98" t="s">
        <v>516</v>
      </c>
      <c r="I2095" s="98" t="s">
        <v>245</v>
      </c>
    </row>
    <row r="2096" spans="2:9" s="98" customFormat="1">
      <c r="B2096" s="99" t="s">
        <v>475</v>
      </c>
      <c r="C2096" s="109">
        <v>45762.87222222222</v>
      </c>
      <c r="D2096" s="98" t="s">
        <v>26</v>
      </c>
      <c r="E2096" s="103">
        <v>11350</v>
      </c>
      <c r="F2096" s="98" t="s">
        <v>240</v>
      </c>
      <c r="G2096" s="98" t="s">
        <v>374</v>
      </c>
      <c r="H2096" s="98" t="s">
        <v>516</v>
      </c>
      <c r="I2096" s="98" t="s">
        <v>248</v>
      </c>
    </row>
    <row r="2097" spans="2:9" s="98" customFormat="1">
      <c r="B2097" s="99" t="s">
        <v>475</v>
      </c>
      <c r="C2097" s="109">
        <v>45762.865277777775</v>
      </c>
      <c r="D2097" s="98" t="s">
        <v>93</v>
      </c>
      <c r="E2097" s="103">
        <v>50000</v>
      </c>
      <c r="F2097" s="98" t="s">
        <v>240</v>
      </c>
      <c r="G2097" s="98" t="s">
        <v>374</v>
      </c>
      <c r="H2097" s="98" t="s">
        <v>516</v>
      </c>
      <c r="I2097" s="98" t="s">
        <v>263</v>
      </c>
    </row>
    <row r="2098" spans="2:9" s="98" customFormat="1">
      <c r="B2098" s="99" t="s">
        <v>475</v>
      </c>
      <c r="C2098" s="109">
        <v>45762.720833333333</v>
      </c>
      <c r="D2098" s="98" t="s">
        <v>160</v>
      </c>
      <c r="E2098" s="103">
        <v>1000</v>
      </c>
      <c r="F2098" s="98" t="s">
        <v>240</v>
      </c>
      <c r="G2098" s="98" t="s">
        <v>374</v>
      </c>
      <c r="H2098" s="98" t="s">
        <v>516</v>
      </c>
      <c r="I2098" s="98" t="s">
        <v>242</v>
      </c>
    </row>
    <row r="2099" spans="2:9" s="98" customFormat="1">
      <c r="B2099" s="99" t="s">
        <v>475</v>
      </c>
      <c r="C2099" s="109">
        <v>45762.586805555555</v>
      </c>
      <c r="D2099" s="98" t="s">
        <v>178</v>
      </c>
      <c r="E2099" s="103">
        <v>12850</v>
      </c>
      <c r="F2099" s="98" t="s">
        <v>240</v>
      </c>
      <c r="G2099" s="98" t="s">
        <v>374</v>
      </c>
      <c r="H2099" s="98" t="s">
        <v>516</v>
      </c>
      <c r="I2099" s="98" t="s">
        <v>247</v>
      </c>
    </row>
    <row r="2100" spans="2:9" s="98" customFormat="1">
      <c r="B2100" s="99" t="s">
        <v>475</v>
      </c>
      <c r="C2100" s="109">
        <v>45762.548611111109</v>
      </c>
      <c r="D2100" s="98" t="s">
        <v>162</v>
      </c>
      <c r="E2100" s="103">
        <v>890</v>
      </c>
      <c r="F2100" s="98" t="s">
        <v>240</v>
      </c>
      <c r="G2100" s="98" t="s">
        <v>374</v>
      </c>
      <c r="H2100" s="98" t="s">
        <v>516</v>
      </c>
      <c r="I2100" s="98" t="s">
        <v>242</v>
      </c>
    </row>
    <row r="2101" spans="2:9" s="98" customFormat="1">
      <c r="B2101" s="99" t="s">
        <v>475</v>
      </c>
      <c r="C2101" s="109">
        <v>45762</v>
      </c>
      <c r="D2101" s="98" t="s">
        <v>323</v>
      </c>
      <c r="E2101" s="103">
        <v>1900</v>
      </c>
      <c r="F2101" s="98" t="s">
        <v>240</v>
      </c>
      <c r="G2101" s="98" t="s">
        <v>373</v>
      </c>
      <c r="H2101" s="98" t="s">
        <v>516</v>
      </c>
      <c r="I2101" s="98" t="s">
        <v>242</v>
      </c>
    </row>
    <row r="2102" spans="2:9" s="98" customFormat="1">
      <c r="B2102" s="99" t="s">
        <v>475</v>
      </c>
      <c r="C2102" s="109">
        <v>45761.952777777777</v>
      </c>
      <c r="D2102" s="98" t="s">
        <v>179</v>
      </c>
      <c r="E2102" s="103">
        <v>-150000</v>
      </c>
      <c r="F2102" s="98" t="s">
        <v>239</v>
      </c>
      <c r="I2102" s="98" t="s">
        <v>246</v>
      </c>
    </row>
    <row r="2103" spans="2:9" s="98" customFormat="1">
      <c r="B2103" s="99" t="s">
        <v>475</v>
      </c>
      <c r="C2103" s="109">
        <v>45761.888888888891</v>
      </c>
      <c r="D2103" s="98" t="s">
        <v>28</v>
      </c>
      <c r="E2103" s="103">
        <v>6496</v>
      </c>
      <c r="F2103" s="98" t="s">
        <v>240</v>
      </c>
      <c r="G2103" s="98" t="s">
        <v>374</v>
      </c>
      <c r="H2103" s="98" t="s">
        <v>516</v>
      </c>
      <c r="I2103" s="98" t="s">
        <v>245</v>
      </c>
    </row>
    <row r="2104" spans="2:9" s="98" customFormat="1">
      <c r="B2104" s="99" t="s">
        <v>475</v>
      </c>
      <c r="C2104" s="109">
        <v>45761.804166666669</v>
      </c>
      <c r="D2104" s="98" t="s">
        <v>117</v>
      </c>
      <c r="E2104" s="103">
        <v>-3292</v>
      </c>
      <c r="F2104" s="98" t="s">
        <v>239</v>
      </c>
      <c r="I2104" s="98" t="s">
        <v>253</v>
      </c>
    </row>
    <row r="2105" spans="2:9" s="98" customFormat="1">
      <c r="B2105" s="99" t="s">
        <v>475</v>
      </c>
      <c r="C2105" s="109">
        <v>45761.459027777775</v>
      </c>
      <c r="D2105" s="98" t="s">
        <v>134</v>
      </c>
      <c r="E2105" s="103">
        <v>20000</v>
      </c>
      <c r="F2105" s="98" t="s">
        <v>240</v>
      </c>
      <c r="G2105" s="98" t="s">
        <v>374</v>
      </c>
      <c r="H2105" s="98" t="s">
        <v>516</v>
      </c>
      <c r="I2105" s="98" t="s">
        <v>273</v>
      </c>
    </row>
    <row r="2106" spans="2:9" s="98" customFormat="1">
      <c r="B2106" s="99" t="s">
        <v>475</v>
      </c>
      <c r="C2106" s="109">
        <v>45760.780555555553</v>
      </c>
      <c r="D2106" s="98" t="s">
        <v>180</v>
      </c>
      <c r="E2106" s="103">
        <v>17720</v>
      </c>
      <c r="F2106" s="98" t="s">
        <v>240</v>
      </c>
      <c r="G2106" s="98" t="s">
        <v>374</v>
      </c>
      <c r="H2106" s="98" t="s">
        <v>516</v>
      </c>
      <c r="I2106" s="98" t="s">
        <v>268</v>
      </c>
    </row>
    <row r="2107" spans="2:9" s="98" customFormat="1">
      <c r="B2107" s="99" t="s">
        <v>475</v>
      </c>
      <c r="C2107" s="109">
        <v>45760.771527777775</v>
      </c>
      <c r="D2107" s="98" t="s">
        <v>181</v>
      </c>
      <c r="E2107" s="103">
        <v>750</v>
      </c>
      <c r="F2107" s="98" t="s">
        <v>240</v>
      </c>
      <c r="G2107" s="98" t="s">
        <v>374</v>
      </c>
      <c r="H2107" s="98" t="s">
        <v>516</v>
      </c>
      <c r="I2107" s="98" t="s">
        <v>241</v>
      </c>
    </row>
    <row r="2108" spans="2:9" s="98" customFormat="1">
      <c r="B2108" s="99" t="s">
        <v>475</v>
      </c>
      <c r="C2108" s="109">
        <v>45760.761111111111</v>
      </c>
      <c r="D2108" s="98" t="s">
        <v>182</v>
      </c>
      <c r="E2108" s="103">
        <v>20224</v>
      </c>
      <c r="F2108" s="98" t="s">
        <v>240</v>
      </c>
      <c r="G2108" s="98" t="s">
        <v>374</v>
      </c>
      <c r="H2108" s="98" t="s">
        <v>516</v>
      </c>
      <c r="I2108" s="98" t="s">
        <v>248</v>
      </c>
    </row>
    <row r="2109" spans="2:9" s="98" customFormat="1">
      <c r="B2109" s="99" t="s">
        <v>475</v>
      </c>
      <c r="C2109" s="109">
        <v>45760.634722222225</v>
      </c>
      <c r="D2109" s="98" t="s">
        <v>183</v>
      </c>
      <c r="E2109" s="103">
        <v>15400</v>
      </c>
      <c r="F2109" s="98" t="s">
        <v>240</v>
      </c>
      <c r="G2109" s="98" t="s">
        <v>374</v>
      </c>
      <c r="H2109" s="98" t="s">
        <v>516</v>
      </c>
      <c r="I2109" s="98" t="s">
        <v>268</v>
      </c>
    </row>
    <row r="2110" spans="2:9" s="98" customFormat="1">
      <c r="B2110" s="99" t="s">
        <v>475</v>
      </c>
      <c r="C2110" s="109">
        <v>45760.530555555553</v>
      </c>
      <c r="D2110" s="98" t="s">
        <v>20</v>
      </c>
      <c r="E2110" s="103">
        <v>2990</v>
      </c>
      <c r="F2110" s="98" t="s">
        <v>240</v>
      </c>
      <c r="G2110" s="98" t="s">
        <v>374</v>
      </c>
      <c r="H2110" s="98" t="s">
        <v>516</v>
      </c>
      <c r="I2110" s="98" t="s">
        <v>242</v>
      </c>
    </row>
    <row r="2111" spans="2:9" s="98" customFormat="1">
      <c r="B2111" s="99" t="s">
        <v>475</v>
      </c>
      <c r="C2111" s="109">
        <v>45760.529166666667</v>
      </c>
      <c r="D2111" s="98" t="s">
        <v>6</v>
      </c>
      <c r="E2111" s="103">
        <v>14918</v>
      </c>
      <c r="F2111" s="98" t="s">
        <v>240</v>
      </c>
      <c r="G2111" s="98" t="s">
        <v>374</v>
      </c>
      <c r="H2111" s="98" t="s">
        <v>516</v>
      </c>
      <c r="I2111" s="98" t="s">
        <v>245</v>
      </c>
    </row>
    <row r="2112" spans="2:9" s="98" customFormat="1">
      <c r="B2112" s="99" t="s">
        <v>475</v>
      </c>
      <c r="C2112" s="109">
        <v>45759.907638888886</v>
      </c>
      <c r="D2112" s="98" t="s">
        <v>104</v>
      </c>
      <c r="E2112" s="103">
        <v>2300</v>
      </c>
      <c r="F2112" s="98" t="s">
        <v>240</v>
      </c>
      <c r="G2112" s="98" t="s">
        <v>374</v>
      </c>
      <c r="H2112" s="98" t="s">
        <v>516</v>
      </c>
      <c r="I2112" s="98" t="s">
        <v>247</v>
      </c>
    </row>
    <row r="2113" spans="2:9" s="98" customFormat="1">
      <c r="B2113" s="99" t="s">
        <v>475</v>
      </c>
      <c r="C2113" s="109">
        <v>45759.874305555553</v>
      </c>
      <c r="D2113" s="98" t="s">
        <v>184</v>
      </c>
      <c r="E2113" s="103">
        <v>1800</v>
      </c>
      <c r="F2113" s="98" t="s">
        <v>240</v>
      </c>
      <c r="G2113" s="98" t="s">
        <v>374</v>
      </c>
      <c r="H2113" s="98" t="s">
        <v>516</v>
      </c>
      <c r="I2113" s="98" t="s">
        <v>247</v>
      </c>
    </row>
    <row r="2114" spans="2:9" s="98" customFormat="1">
      <c r="B2114" s="99" t="s">
        <v>475</v>
      </c>
      <c r="C2114" s="109">
        <v>45759.86041666667</v>
      </c>
      <c r="D2114" s="98" t="s">
        <v>92</v>
      </c>
      <c r="E2114" s="103">
        <v>6700</v>
      </c>
      <c r="F2114" s="98" t="s">
        <v>240</v>
      </c>
      <c r="G2114" s="98" t="s">
        <v>374</v>
      </c>
      <c r="H2114" s="98" t="s">
        <v>516</v>
      </c>
      <c r="I2114" s="98" t="s">
        <v>247</v>
      </c>
    </row>
    <row r="2115" spans="2:9" s="98" customFormat="1">
      <c r="B2115" s="99" t="s">
        <v>475</v>
      </c>
      <c r="C2115" s="109">
        <v>45759.609722222223</v>
      </c>
      <c r="D2115" s="98" t="s">
        <v>96</v>
      </c>
      <c r="E2115" s="103">
        <v>4050</v>
      </c>
      <c r="F2115" s="98" t="s">
        <v>240</v>
      </c>
      <c r="G2115" s="98" t="s">
        <v>374</v>
      </c>
      <c r="H2115" s="98" t="s">
        <v>516</v>
      </c>
      <c r="I2115" s="98" t="s">
        <v>242</v>
      </c>
    </row>
    <row r="2116" spans="2:9" s="98" customFormat="1">
      <c r="B2116" s="99" t="s">
        <v>475</v>
      </c>
      <c r="C2116" s="109">
        <v>45759.556250000001</v>
      </c>
      <c r="D2116" s="98" t="s">
        <v>28</v>
      </c>
      <c r="E2116" s="103">
        <v>12690</v>
      </c>
      <c r="F2116" s="98" t="s">
        <v>240</v>
      </c>
      <c r="G2116" s="98" t="s">
        <v>374</v>
      </c>
      <c r="H2116" s="98" t="s">
        <v>516</v>
      </c>
      <c r="I2116" s="98" t="s">
        <v>245</v>
      </c>
    </row>
    <row r="2117" spans="2:9" s="98" customFormat="1">
      <c r="B2117" s="99" t="s">
        <v>475</v>
      </c>
      <c r="C2117" s="109">
        <v>45759.536111111112</v>
      </c>
      <c r="D2117" s="98" t="s">
        <v>185</v>
      </c>
      <c r="E2117" s="103">
        <v>17495</v>
      </c>
      <c r="F2117" s="98" t="s">
        <v>240</v>
      </c>
      <c r="G2117" s="98" t="s">
        <v>374</v>
      </c>
      <c r="H2117" s="98" t="s">
        <v>516</v>
      </c>
      <c r="I2117" s="98" t="s">
        <v>243</v>
      </c>
    </row>
    <row r="2118" spans="2:9" s="98" customFormat="1">
      <c r="B2118" s="99" t="s">
        <v>475</v>
      </c>
      <c r="C2118" s="109">
        <v>45759.500694444447</v>
      </c>
      <c r="D2118" s="98" t="s">
        <v>186</v>
      </c>
      <c r="E2118" s="103">
        <v>7200</v>
      </c>
      <c r="F2118" s="98" t="s">
        <v>240</v>
      </c>
      <c r="G2118" s="98" t="s">
        <v>374</v>
      </c>
      <c r="H2118" s="98" t="s">
        <v>516</v>
      </c>
      <c r="I2118" s="98" t="s">
        <v>248</v>
      </c>
    </row>
    <row r="2119" spans="2:9" s="98" customFormat="1">
      <c r="B2119" s="99" t="s">
        <v>475</v>
      </c>
      <c r="C2119" s="109">
        <v>45758.75277777778</v>
      </c>
      <c r="D2119" s="98" t="s">
        <v>134</v>
      </c>
      <c r="E2119" s="103">
        <v>10000</v>
      </c>
      <c r="F2119" s="98" t="s">
        <v>240</v>
      </c>
      <c r="G2119" s="98" t="s">
        <v>374</v>
      </c>
      <c r="H2119" s="98" t="s">
        <v>516</v>
      </c>
      <c r="I2119" s="98" t="s">
        <v>273</v>
      </c>
    </row>
    <row r="2120" spans="2:9" s="98" customFormat="1">
      <c r="B2120" s="99" t="s">
        <v>475</v>
      </c>
      <c r="C2120" s="109">
        <v>45758.565972222219</v>
      </c>
      <c r="D2120" s="98" t="s">
        <v>30</v>
      </c>
      <c r="E2120" s="103">
        <v>5700</v>
      </c>
      <c r="F2120" s="98" t="s">
        <v>240</v>
      </c>
      <c r="G2120" s="98" t="s">
        <v>374</v>
      </c>
      <c r="H2120" s="98" t="s">
        <v>516</v>
      </c>
      <c r="I2120" s="98" t="s">
        <v>247</v>
      </c>
    </row>
    <row r="2121" spans="2:9" s="98" customFormat="1">
      <c r="B2121" s="99" t="s">
        <v>475</v>
      </c>
      <c r="C2121" s="109">
        <v>45758.35833333333</v>
      </c>
      <c r="D2121" s="98" t="s">
        <v>59</v>
      </c>
      <c r="E2121" s="103">
        <v>-56672</v>
      </c>
      <c r="F2121" s="98" t="s">
        <v>239</v>
      </c>
      <c r="I2121" s="98" t="s">
        <v>253</v>
      </c>
    </row>
    <row r="2122" spans="2:9" s="98" customFormat="1">
      <c r="B2122" s="99" t="s">
        <v>475</v>
      </c>
      <c r="C2122" s="109">
        <v>45758.347916666666</v>
      </c>
      <c r="D2122" s="98" t="s">
        <v>30</v>
      </c>
      <c r="E2122" s="103">
        <v>1690</v>
      </c>
      <c r="F2122" s="98" t="s">
        <v>240</v>
      </c>
      <c r="G2122" s="98" t="s">
        <v>374</v>
      </c>
      <c r="H2122" s="98" t="s">
        <v>516</v>
      </c>
      <c r="I2122" s="98" t="s">
        <v>247</v>
      </c>
    </row>
    <row r="2123" spans="2:9" s="98" customFormat="1">
      <c r="B2123" s="99" t="s">
        <v>475</v>
      </c>
      <c r="C2123" s="109">
        <v>45758.341666666667</v>
      </c>
      <c r="D2123" s="98" t="s">
        <v>30</v>
      </c>
      <c r="E2123" s="103">
        <v>2600</v>
      </c>
      <c r="F2123" s="98" t="s">
        <v>240</v>
      </c>
      <c r="G2123" s="98" t="s">
        <v>374</v>
      </c>
      <c r="H2123" s="98" t="s">
        <v>516</v>
      </c>
      <c r="I2123" s="98" t="s">
        <v>247</v>
      </c>
    </row>
    <row r="2124" spans="2:9" s="98" customFormat="1">
      <c r="B2124" s="99" t="s">
        <v>475</v>
      </c>
      <c r="C2124" s="109">
        <v>45757.875</v>
      </c>
      <c r="D2124" s="98" t="s">
        <v>96</v>
      </c>
      <c r="E2124" s="103">
        <v>400</v>
      </c>
      <c r="F2124" s="98" t="s">
        <v>240</v>
      </c>
      <c r="G2124" s="98" t="s">
        <v>374</v>
      </c>
      <c r="H2124" s="98" t="s">
        <v>516</v>
      </c>
      <c r="I2124" s="98" t="s">
        <v>242</v>
      </c>
    </row>
    <row r="2125" spans="2:9" s="98" customFormat="1">
      <c r="B2125" s="99" t="s">
        <v>475</v>
      </c>
      <c r="C2125" s="109">
        <v>45757.794444444444</v>
      </c>
      <c r="D2125" s="98" t="s">
        <v>7</v>
      </c>
      <c r="E2125" s="103">
        <v>9060</v>
      </c>
      <c r="F2125" s="98" t="s">
        <v>240</v>
      </c>
      <c r="G2125" s="98" t="s">
        <v>374</v>
      </c>
      <c r="H2125" s="98" t="s">
        <v>516</v>
      </c>
      <c r="I2125" s="98" t="s">
        <v>244</v>
      </c>
    </row>
    <row r="2126" spans="2:9" s="98" customFormat="1">
      <c r="B2126" s="99" t="s">
        <v>475</v>
      </c>
      <c r="C2126" s="109">
        <v>45757.758333333331</v>
      </c>
      <c r="D2126" s="98" t="s">
        <v>187</v>
      </c>
      <c r="E2126" s="103">
        <v>7260</v>
      </c>
      <c r="F2126" s="98" t="s">
        <v>240</v>
      </c>
      <c r="G2126" s="98" t="s">
        <v>374</v>
      </c>
      <c r="H2126" s="98" t="s">
        <v>516</v>
      </c>
      <c r="I2126" s="98" t="s">
        <v>247</v>
      </c>
    </row>
    <row r="2127" spans="2:9" s="98" customFormat="1">
      <c r="B2127" s="99" t="s">
        <v>475</v>
      </c>
      <c r="C2127" s="109">
        <v>45757.558333333334</v>
      </c>
      <c r="D2127" s="98" t="s">
        <v>152</v>
      </c>
      <c r="E2127" s="103">
        <v>5480</v>
      </c>
      <c r="F2127" s="98" t="s">
        <v>240</v>
      </c>
      <c r="G2127" s="98" t="s">
        <v>374</v>
      </c>
      <c r="H2127" s="98" t="s">
        <v>516</v>
      </c>
      <c r="I2127" s="98" t="s">
        <v>242</v>
      </c>
    </row>
    <row r="2128" spans="2:9" s="98" customFormat="1">
      <c r="B2128" s="99" t="s">
        <v>475</v>
      </c>
      <c r="C2128" s="109">
        <v>45757.353472222225</v>
      </c>
      <c r="D2128" s="98" t="s">
        <v>155</v>
      </c>
      <c r="E2128" s="103">
        <v>3100</v>
      </c>
      <c r="F2128" s="98" t="s">
        <v>240</v>
      </c>
      <c r="G2128" s="98" t="s">
        <v>374</v>
      </c>
      <c r="H2128" s="98" t="s">
        <v>516</v>
      </c>
      <c r="I2128" s="98" t="s">
        <v>242</v>
      </c>
    </row>
    <row r="2129" spans="2:9" s="98" customFormat="1">
      <c r="B2129" s="99" t="s">
        <v>475</v>
      </c>
      <c r="C2129" s="109">
        <v>45757.352083333331</v>
      </c>
      <c r="D2129" s="98" t="s">
        <v>40</v>
      </c>
      <c r="E2129" s="103">
        <v>5000</v>
      </c>
      <c r="F2129" s="98" t="s">
        <v>240</v>
      </c>
      <c r="G2129" s="98" t="s">
        <v>374</v>
      </c>
      <c r="H2129" s="98" t="s">
        <v>516</v>
      </c>
      <c r="I2129" s="98" t="s">
        <v>263</v>
      </c>
    </row>
    <row r="2130" spans="2:9" s="98" customFormat="1">
      <c r="B2130" s="99" t="s">
        <v>475</v>
      </c>
      <c r="C2130" s="109">
        <v>45757</v>
      </c>
      <c r="D2130" s="98" t="s">
        <v>324</v>
      </c>
      <c r="E2130" s="103">
        <v>300</v>
      </c>
      <c r="F2130" s="98" t="s">
        <v>240</v>
      </c>
      <c r="G2130" s="98" t="s">
        <v>373</v>
      </c>
      <c r="H2130" s="98" t="s">
        <v>516</v>
      </c>
      <c r="I2130" s="98" t="s">
        <v>241</v>
      </c>
    </row>
    <row r="2131" spans="2:9" s="98" customFormat="1">
      <c r="B2131" s="99" t="s">
        <v>475</v>
      </c>
      <c r="C2131" s="109">
        <v>45756.901388888888</v>
      </c>
      <c r="D2131" s="98" t="s">
        <v>188</v>
      </c>
      <c r="E2131" s="103">
        <v>40000</v>
      </c>
      <c r="F2131" s="98" t="s">
        <v>240</v>
      </c>
      <c r="G2131" s="98" t="s">
        <v>374</v>
      </c>
      <c r="H2131" s="98" t="s">
        <v>516</v>
      </c>
      <c r="I2131" s="98" t="s">
        <v>263</v>
      </c>
    </row>
    <row r="2132" spans="2:9" s="98" customFormat="1">
      <c r="B2132" s="99" t="s">
        <v>475</v>
      </c>
      <c r="C2132" s="109">
        <v>45756.763194444444</v>
      </c>
      <c r="D2132" s="98" t="s">
        <v>168</v>
      </c>
      <c r="E2132" s="103">
        <v>5000</v>
      </c>
      <c r="F2132" s="98" t="s">
        <v>240</v>
      </c>
      <c r="G2132" s="98" t="s">
        <v>374</v>
      </c>
      <c r="H2132" s="98" t="s">
        <v>516</v>
      </c>
      <c r="I2132" s="98" t="s">
        <v>263</v>
      </c>
    </row>
    <row r="2133" spans="2:9" s="98" customFormat="1">
      <c r="B2133" s="99" t="s">
        <v>475</v>
      </c>
      <c r="C2133" s="109">
        <v>45756.30972222222</v>
      </c>
      <c r="D2133" s="98" t="s">
        <v>156</v>
      </c>
      <c r="E2133" s="103">
        <v>350</v>
      </c>
      <c r="F2133" s="98" t="s">
        <v>240</v>
      </c>
      <c r="G2133" s="98" t="s">
        <v>374</v>
      </c>
      <c r="H2133" s="98" t="s">
        <v>516</v>
      </c>
      <c r="I2133" s="98" t="s">
        <v>241</v>
      </c>
    </row>
    <row r="2134" spans="2:9" s="98" customFormat="1">
      <c r="B2134" s="99" t="s">
        <v>475</v>
      </c>
      <c r="C2134" s="109">
        <v>45756.145138888889</v>
      </c>
      <c r="D2134" s="98" t="s">
        <v>151</v>
      </c>
      <c r="E2134" s="103">
        <v>3991</v>
      </c>
      <c r="F2134" s="98" t="s">
        <v>240</v>
      </c>
      <c r="G2134" s="98" t="s">
        <v>374</v>
      </c>
      <c r="H2134" s="98" t="s">
        <v>516</v>
      </c>
      <c r="I2134" s="98" t="s">
        <v>247</v>
      </c>
    </row>
    <row r="2135" spans="2:9" s="98" customFormat="1">
      <c r="B2135" s="99" t="s">
        <v>475</v>
      </c>
      <c r="C2135" s="109">
        <v>45756</v>
      </c>
      <c r="D2135" s="98" t="s">
        <v>327</v>
      </c>
      <c r="E2135" s="103">
        <v>890</v>
      </c>
      <c r="F2135" s="98" t="s">
        <v>240</v>
      </c>
      <c r="G2135" s="98" t="s">
        <v>373</v>
      </c>
      <c r="H2135" s="98" t="s">
        <v>516</v>
      </c>
      <c r="I2135" s="98" t="s">
        <v>242</v>
      </c>
    </row>
    <row r="2136" spans="2:9" s="98" customFormat="1">
      <c r="B2136" s="99" t="s">
        <v>475</v>
      </c>
      <c r="C2136" s="109">
        <v>45756</v>
      </c>
      <c r="D2136" s="98" t="s">
        <v>328</v>
      </c>
      <c r="E2136" s="103">
        <v>990</v>
      </c>
      <c r="F2136" s="98" t="s">
        <v>240</v>
      </c>
      <c r="G2136" s="98" t="s">
        <v>373</v>
      </c>
      <c r="H2136" s="98" t="s">
        <v>516</v>
      </c>
      <c r="I2136" s="98" t="s">
        <v>242</v>
      </c>
    </row>
    <row r="2137" spans="2:9" s="98" customFormat="1">
      <c r="B2137" s="99" t="s">
        <v>475</v>
      </c>
      <c r="C2137" s="109">
        <v>45756</v>
      </c>
      <c r="D2137" s="98" t="s">
        <v>326</v>
      </c>
      <c r="E2137" s="103">
        <v>1000</v>
      </c>
      <c r="F2137" s="98" t="s">
        <v>240</v>
      </c>
      <c r="G2137" s="98" t="s">
        <v>373</v>
      </c>
      <c r="H2137" s="98" t="s">
        <v>516</v>
      </c>
      <c r="I2137" s="98" t="s">
        <v>242</v>
      </c>
    </row>
    <row r="2138" spans="2:9" s="98" customFormat="1">
      <c r="B2138" s="99" t="s">
        <v>475</v>
      </c>
      <c r="C2138" s="109">
        <v>45756</v>
      </c>
      <c r="D2138" s="98" t="s">
        <v>325</v>
      </c>
      <c r="E2138" s="103">
        <v>1990</v>
      </c>
      <c r="F2138" s="98" t="s">
        <v>240</v>
      </c>
      <c r="G2138" s="98" t="s">
        <v>373</v>
      </c>
      <c r="H2138" s="98" t="s">
        <v>516</v>
      </c>
      <c r="I2138" s="98" t="s">
        <v>242</v>
      </c>
    </row>
    <row r="2139" spans="2:9" s="98" customFormat="1">
      <c r="B2139" s="99" t="s">
        <v>475</v>
      </c>
      <c r="C2139" s="109">
        <v>45756</v>
      </c>
      <c r="D2139" s="98" t="s">
        <v>329</v>
      </c>
      <c r="E2139" s="103">
        <v>2300</v>
      </c>
      <c r="F2139" s="98" t="s">
        <v>240</v>
      </c>
      <c r="G2139" s="98" t="s">
        <v>373</v>
      </c>
      <c r="H2139" s="98" t="s">
        <v>516</v>
      </c>
      <c r="I2139" s="98" t="s">
        <v>247</v>
      </c>
    </row>
    <row r="2140" spans="2:9" s="98" customFormat="1">
      <c r="B2140" s="99" t="s">
        <v>475</v>
      </c>
      <c r="C2140" s="109">
        <v>45755.910416666666</v>
      </c>
      <c r="D2140" s="98" t="s">
        <v>189</v>
      </c>
      <c r="E2140" s="103">
        <v>-47152</v>
      </c>
      <c r="F2140" s="98" t="s">
        <v>239</v>
      </c>
      <c r="I2140" s="98" t="s">
        <v>253</v>
      </c>
    </row>
    <row r="2141" spans="2:9" s="98" customFormat="1">
      <c r="B2141" s="99" t="s">
        <v>475</v>
      </c>
      <c r="C2141" s="109">
        <v>45755.861111111109</v>
      </c>
      <c r="D2141" s="98" t="s">
        <v>163</v>
      </c>
      <c r="E2141" s="103">
        <v>16570</v>
      </c>
      <c r="F2141" s="98" t="s">
        <v>240</v>
      </c>
      <c r="G2141" s="98" t="s">
        <v>374</v>
      </c>
      <c r="H2141" s="98" t="s">
        <v>516</v>
      </c>
      <c r="I2141" s="98" t="s">
        <v>242</v>
      </c>
    </row>
    <row r="2142" spans="2:9" s="98" customFormat="1">
      <c r="B2142" s="99" t="s">
        <v>475</v>
      </c>
      <c r="C2142" s="109">
        <v>45755.686805555553</v>
      </c>
      <c r="D2142" s="98" t="s">
        <v>151</v>
      </c>
      <c r="E2142" s="103">
        <v>2762</v>
      </c>
      <c r="F2142" s="98" t="s">
        <v>240</v>
      </c>
      <c r="G2142" s="98" t="s">
        <v>374</v>
      </c>
      <c r="H2142" s="98" t="s">
        <v>516</v>
      </c>
      <c r="I2142" s="98" t="s">
        <v>247</v>
      </c>
    </row>
    <row r="2143" spans="2:9" s="98" customFormat="1">
      <c r="B2143" s="99" t="s">
        <v>475</v>
      </c>
      <c r="C2143" s="109">
        <v>45755.538194444445</v>
      </c>
      <c r="D2143" s="98" t="s">
        <v>59</v>
      </c>
      <c r="E2143" s="103">
        <v>-6625</v>
      </c>
      <c r="F2143" s="98" t="s">
        <v>239</v>
      </c>
      <c r="I2143" s="98" t="s">
        <v>253</v>
      </c>
    </row>
    <row r="2144" spans="2:9" s="98" customFormat="1">
      <c r="B2144" s="99" t="s">
        <v>475</v>
      </c>
      <c r="C2144" s="109">
        <v>45755</v>
      </c>
      <c r="D2144" s="98" t="s">
        <v>326</v>
      </c>
      <c r="E2144" s="103">
        <v>1000</v>
      </c>
      <c r="F2144" s="98" t="s">
        <v>240</v>
      </c>
      <c r="G2144" s="98" t="s">
        <v>373</v>
      </c>
      <c r="H2144" s="98" t="s">
        <v>516</v>
      </c>
      <c r="I2144" s="98" t="s">
        <v>242</v>
      </c>
    </row>
    <row r="2145" spans="2:9" s="98" customFormat="1">
      <c r="B2145" s="99" t="s">
        <v>475</v>
      </c>
      <c r="C2145" s="109">
        <v>45755</v>
      </c>
      <c r="D2145" s="98" t="s">
        <v>301</v>
      </c>
      <c r="E2145" s="103">
        <v>8980</v>
      </c>
      <c r="F2145" s="98" t="s">
        <v>240</v>
      </c>
      <c r="G2145" s="98" t="s">
        <v>373</v>
      </c>
      <c r="H2145" s="98" t="s">
        <v>516</v>
      </c>
      <c r="I2145" s="98" t="s">
        <v>244</v>
      </c>
    </row>
    <row r="2146" spans="2:9" s="98" customFormat="1">
      <c r="B2146" s="99" t="s">
        <v>475</v>
      </c>
      <c r="C2146" s="109">
        <v>45755</v>
      </c>
      <c r="D2146" s="98" t="s">
        <v>308</v>
      </c>
      <c r="E2146" s="103">
        <v>1604</v>
      </c>
      <c r="F2146" s="98" t="s">
        <v>240</v>
      </c>
      <c r="G2146" s="98" t="s">
        <v>373</v>
      </c>
      <c r="H2146" s="98" t="s">
        <v>516</v>
      </c>
      <c r="I2146" s="98" t="s">
        <v>247</v>
      </c>
    </row>
    <row r="2147" spans="2:9" s="98" customFormat="1">
      <c r="B2147" s="99" t="s">
        <v>475</v>
      </c>
      <c r="C2147" s="109">
        <v>45755</v>
      </c>
      <c r="D2147" s="98" t="s">
        <v>330</v>
      </c>
      <c r="E2147" s="103">
        <v>1990</v>
      </c>
      <c r="F2147" s="98" t="s">
        <v>240</v>
      </c>
      <c r="G2147" s="98" t="s">
        <v>373</v>
      </c>
      <c r="H2147" s="98" t="s">
        <v>516</v>
      </c>
      <c r="I2147" s="98" t="s">
        <v>247</v>
      </c>
    </row>
    <row r="2148" spans="2:9" s="98" customFormat="1">
      <c r="B2148" s="99" t="s">
        <v>475</v>
      </c>
      <c r="C2148" s="109">
        <v>45754</v>
      </c>
      <c r="D2148" s="98" t="s">
        <v>331</v>
      </c>
      <c r="E2148" s="103">
        <v>2616</v>
      </c>
      <c r="F2148" s="98" t="s">
        <v>240</v>
      </c>
      <c r="G2148" s="98" t="s">
        <v>373</v>
      </c>
      <c r="H2148" s="98" t="s">
        <v>516</v>
      </c>
      <c r="I2148" s="98" t="s">
        <v>242</v>
      </c>
    </row>
    <row r="2149" spans="2:9" s="98" customFormat="1">
      <c r="B2149" s="99" t="s">
        <v>475</v>
      </c>
      <c r="C2149" s="109">
        <v>45754</v>
      </c>
      <c r="D2149" s="98" t="s">
        <v>324</v>
      </c>
      <c r="E2149" s="103">
        <v>250</v>
      </c>
      <c r="F2149" s="98" t="s">
        <v>240</v>
      </c>
      <c r="G2149" s="98" t="s">
        <v>373</v>
      </c>
      <c r="H2149" s="98" t="s">
        <v>516</v>
      </c>
      <c r="I2149" s="98" t="s">
        <v>241</v>
      </c>
    </row>
    <row r="2150" spans="2:9" s="98" customFormat="1">
      <c r="B2150" s="99" t="s">
        <v>475</v>
      </c>
      <c r="C2150" s="109">
        <v>45754</v>
      </c>
      <c r="D2150" s="98" t="s">
        <v>332</v>
      </c>
      <c r="E2150" s="103">
        <v>3400</v>
      </c>
      <c r="F2150" s="98" t="s">
        <v>240</v>
      </c>
      <c r="G2150" s="98" t="s">
        <v>373</v>
      </c>
      <c r="H2150" s="98" t="s">
        <v>516</v>
      </c>
      <c r="I2150" s="98" t="s">
        <v>247</v>
      </c>
    </row>
    <row r="2151" spans="2:9" s="98" customFormat="1">
      <c r="B2151" s="99" t="s">
        <v>475</v>
      </c>
      <c r="C2151" s="109">
        <v>45754</v>
      </c>
      <c r="D2151" s="98" t="s">
        <v>333</v>
      </c>
      <c r="E2151" s="103">
        <v>4900</v>
      </c>
      <c r="F2151" s="98" t="s">
        <v>240</v>
      </c>
      <c r="G2151" s="98" t="s">
        <v>373</v>
      </c>
      <c r="H2151" s="98" t="s">
        <v>516</v>
      </c>
      <c r="I2151" s="98" t="s">
        <v>245</v>
      </c>
    </row>
    <row r="2152" spans="2:9" s="98" customFormat="1">
      <c r="B2152" s="99" t="s">
        <v>475</v>
      </c>
      <c r="C2152" s="109">
        <v>45754</v>
      </c>
      <c r="D2152" s="98" t="s">
        <v>333</v>
      </c>
      <c r="E2152" s="103">
        <v>66634</v>
      </c>
      <c r="F2152" s="98" t="s">
        <v>240</v>
      </c>
      <c r="G2152" s="98" t="s">
        <v>373</v>
      </c>
      <c r="H2152" s="98" t="s">
        <v>516</v>
      </c>
      <c r="I2152" s="98" t="s">
        <v>245</v>
      </c>
    </row>
    <row r="2153" spans="2:9" s="98" customFormat="1">
      <c r="B2153" s="99" t="s">
        <v>475</v>
      </c>
      <c r="C2153" s="109">
        <v>45753.886805555558</v>
      </c>
      <c r="D2153" s="98" t="s">
        <v>22</v>
      </c>
      <c r="E2153" s="103">
        <v>220000</v>
      </c>
      <c r="F2153" s="98" t="s">
        <v>240</v>
      </c>
      <c r="G2153" s="98" t="s">
        <v>374</v>
      </c>
      <c r="H2153" s="98" t="s">
        <v>513</v>
      </c>
      <c r="I2153" s="98" t="s">
        <v>251</v>
      </c>
    </row>
    <row r="2154" spans="2:9" s="98" customFormat="1">
      <c r="B2154" s="99" t="s">
        <v>475</v>
      </c>
      <c r="C2154" s="109">
        <v>45753.579861111109</v>
      </c>
      <c r="D2154" s="98" t="s">
        <v>48</v>
      </c>
      <c r="E2154" s="103">
        <v>110000</v>
      </c>
      <c r="F2154" s="98" t="s">
        <v>240</v>
      </c>
      <c r="G2154" s="98" t="s">
        <v>374</v>
      </c>
      <c r="H2154" s="98" t="s">
        <v>513</v>
      </c>
      <c r="I2154" s="98" t="s">
        <v>273</v>
      </c>
    </row>
    <row r="2155" spans="2:9" s="98" customFormat="1">
      <c r="B2155" s="99" t="s">
        <v>475</v>
      </c>
      <c r="C2155" s="109">
        <v>45753</v>
      </c>
      <c r="D2155" s="98" t="s">
        <v>335</v>
      </c>
      <c r="E2155" s="103">
        <v>10000</v>
      </c>
      <c r="F2155" s="98" t="s">
        <v>240</v>
      </c>
      <c r="G2155" s="98" t="s">
        <v>373</v>
      </c>
      <c r="H2155" s="98" t="s">
        <v>516</v>
      </c>
      <c r="I2155" s="98" t="s">
        <v>270</v>
      </c>
    </row>
    <row r="2156" spans="2:9" s="98" customFormat="1">
      <c r="B2156" s="99" t="s">
        <v>475</v>
      </c>
      <c r="C2156" s="109">
        <v>45753</v>
      </c>
      <c r="D2156" s="98" t="s">
        <v>336</v>
      </c>
      <c r="E2156" s="103">
        <v>5500</v>
      </c>
      <c r="F2156" s="98" t="s">
        <v>240</v>
      </c>
      <c r="G2156" s="98" t="s">
        <v>373</v>
      </c>
      <c r="H2156" s="98" t="s">
        <v>516</v>
      </c>
      <c r="I2156" s="98" t="s">
        <v>247</v>
      </c>
    </row>
    <row r="2157" spans="2:9" s="98" customFormat="1">
      <c r="B2157" s="99" t="s">
        <v>475</v>
      </c>
      <c r="C2157" s="109">
        <v>45753</v>
      </c>
      <c r="D2157" s="98" t="s">
        <v>334</v>
      </c>
      <c r="E2157" s="103">
        <v>900</v>
      </c>
      <c r="F2157" s="98" t="s">
        <v>240</v>
      </c>
      <c r="G2157" s="98" t="s">
        <v>373</v>
      </c>
      <c r="H2157" s="98" t="s">
        <v>516</v>
      </c>
      <c r="I2157" s="98" t="s">
        <v>245</v>
      </c>
    </row>
    <row r="2158" spans="2:9" s="98" customFormat="1">
      <c r="B2158" s="99" t="s">
        <v>475</v>
      </c>
      <c r="C2158" s="109">
        <v>45752.727083333331</v>
      </c>
      <c r="D2158" s="98" t="s">
        <v>96</v>
      </c>
      <c r="E2158" s="103">
        <v>400</v>
      </c>
      <c r="F2158" s="98" t="s">
        <v>240</v>
      </c>
      <c r="G2158" s="98" t="s">
        <v>374</v>
      </c>
      <c r="H2158" s="98" t="s">
        <v>516</v>
      </c>
      <c r="I2158" s="98" t="s">
        <v>242</v>
      </c>
    </row>
    <row r="2159" spans="2:9" s="98" customFormat="1">
      <c r="B2159" s="99" t="s">
        <v>475</v>
      </c>
      <c r="C2159" s="109">
        <v>45752.694444444445</v>
      </c>
      <c r="D2159" s="98" t="s">
        <v>22</v>
      </c>
      <c r="E2159" s="103">
        <v>600000</v>
      </c>
      <c r="F2159" s="98" t="s">
        <v>240</v>
      </c>
      <c r="G2159" s="98" t="s">
        <v>374</v>
      </c>
      <c r="H2159" s="98" t="s">
        <v>513</v>
      </c>
      <c r="I2159" s="98" t="s">
        <v>252</v>
      </c>
    </row>
    <row r="2160" spans="2:9" s="98" customFormat="1">
      <c r="B2160" s="99" t="s">
        <v>475</v>
      </c>
      <c r="C2160" s="109">
        <v>45752.448611111111</v>
      </c>
      <c r="D2160" s="98" t="s">
        <v>147</v>
      </c>
      <c r="E2160" s="103">
        <v>80000</v>
      </c>
      <c r="F2160" s="98" t="s">
        <v>240</v>
      </c>
      <c r="G2160" s="98" t="s">
        <v>374</v>
      </c>
      <c r="H2160" s="98" t="s">
        <v>516</v>
      </c>
      <c r="I2160" s="98" t="s">
        <v>263</v>
      </c>
    </row>
    <row r="2161" spans="2:9" s="98" customFormat="1">
      <c r="B2161" s="99" t="s">
        <v>475</v>
      </c>
      <c r="C2161" s="109">
        <v>45752.434027777781</v>
      </c>
      <c r="D2161" s="98" t="s">
        <v>9</v>
      </c>
      <c r="E2161" s="103">
        <v>20000</v>
      </c>
      <c r="F2161" s="98" t="s">
        <v>240</v>
      </c>
      <c r="G2161" s="98" t="s">
        <v>374</v>
      </c>
      <c r="H2161" s="98" t="s">
        <v>516</v>
      </c>
      <c r="I2161" s="98" t="s">
        <v>270</v>
      </c>
    </row>
    <row r="2162" spans="2:9" s="98" customFormat="1">
      <c r="B2162" s="99" t="s">
        <v>475</v>
      </c>
      <c r="C2162" s="109">
        <v>45752</v>
      </c>
      <c r="D2162" s="98" t="s">
        <v>338</v>
      </c>
      <c r="E2162" s="103">
        <v>7060</v>
      </c>
      <c r="F2162" s="98" t="s">
        <v>240</v>
      </c>
      <c r="G2162" s="98" t="s">
        <v>373</v>
      </c>
      <c r="H2162" s="98" t="s">
        <v>516</v>
      </c>
      <c r="I2162" s="98" t="s">
        <v>248</v>
      </c>
    </row>
    <row r="2163" spans="2:9" s="98" customFormat="1">
      <c r="B2163" s="99" t="s">
        <v>475</v>
      </c>
      <c r="C2163" s="109">
        <v>45752</v>
      </c>
      <c r="D2163" s="98" t="s">
        <v>339</v>
      </c>
      <c r="E2163" s="103">
        <v>18250</v>
      </c>
      <c r="F2163" s="98" t="s">
        <v>240</v>
      </c>
      <c r="G2163" s="98" t="s">
        <v>373</v>
      </c>
      <c r="H2163" s="98" t="s">
        <v>516</v>
      </c>
      <c r="I2163" s="98" t="s">
        <v>248</v>
      </c>
    </row>
    <row r="2164" spans="2:9" s="98" customFormat="1">
      <c r="B2164" s="99" t="s">
        <v>475</v>
      </c>
      <c r="C2164" s="109">
        <v>45752</v>
      </c>
      <c r="D2164" s="98" t="s">
        <v>337</v>
      </c>
      <c r="E2164" s="103">
        <v>10236</v>
      </c>
      <c r="F2164" s="98" t="s">
        <v>240</v>
      </c>
      <c r="G2164" s="98" t="s">
        <v>373</v>
      </c>
      <c r="H2164" s="98" t="s">
        <v>516</v>
      </c>
      <c r="I2164" s="98" t="s">
        <v>245</v>
      </c>
    </row>
    <row r="2165" spans="2:9" s="98" customFormat="1">
      <c r="B2165" s="99" t="s">
        <v>475</v>
      </c>
      <c r="C2165" s="109">
        <v>45751.808333333334</v>
      </c>
      <c r="D2165" s="98" t="s">
        <v>280</v>
      </c>
      <c r="E2165" s="103">
        <v>47152</v>
      </c>
      <c r="F2165" s="98" t="s">
        <v>240</v>
      </c>
      <c r="G2165" s="98" t="s">
        <v>374</v>
      </c>
      <c r="H2165" s="98" t="s">
        <v>516</v>
      </c>
      <c r="I2165" s="98" t="s">
        <v>245</v>
      </c>
    </row>
    <row r="2166" spans="2:9" s="98" customFormat="1">
      <c r="B2166" s="99" t="s">
        <v>475</v>
      </c>
      <c r="C2166" s="109">
        <v>45751.57916666667</v>
      </c>
      <c r="D2166" s="98" t="s">
        <v>190</v>
      </c>
      <c r="E2166" s="103">
        <v>3900</v>
      </c>
      <c r="F2166" s="98" t="s">
        <v>240</v>
      </c>
      <c r="G2166" s="98" t="s">
        <v>374</v>
      </c>
      <c r="H2166" s="98" t="s">
        <v>516</v>
      </c>
      <c r="I2166" s="98" t="s">
        <v>247</v>
      </c>
    </row>
    <row r="2167" spans="2:9" s="98" customFormat="1">
      <c r="B2167" s="99" t="s">
        <v>475</v>
      </c>
      <c r="C2167" s="109">
        <v>45751.539583333331</v>
      </c>
      <c r="D2167" s="98" t="s">
        <v>276</v>
      </c>
      <c r="E2167" s="103">
        <v>40984</v>
      </c>
      <c r="F2167" s="98" t="s">
        <v>240</v>
      </c>
      <c r="G2167" s="98" t="s">
        <v>374</v>
      </c>
      <c r="H2167" s="98" t="s">
        <v>513</v>
      </c>
      <c r="I2167" s="98" t="s">
        <v>271</v>
      </c>
    </row>
    <row r="2168" spans="2:9" s="98" customFormat="1">
      <c r="B2168" s="99" t="s">
        <v>475</v>
      </c>
      <c r="C2168" s="109">
        <v>45751.15</v>
      </c>
      <c r="D2168" s="98" t="s">
        <v>151</v>
      </c>
      <c r="E2168" s="103">
        <v>3464</v>
      </c>
      <c r="F2168" s="98" t="s">
        <v>240</v>
      </c>
      <c r="G2168" s="98" t="s">
        <v>374</v>
      </c>
      <c r="H2168" s="98" t="s">
        <v>516</v>
      </c>
      <c r="I2168" s="98" t="s">
        <v>247</v>
      </c>
    </row>
    <row r="2169" spans="2:9" s="98" customFormat="1">
      <c r="B2169" s="99" t="s">
        <v>475</v>
      </c>
      <c r="C2169" s="109">
        <v>45751</v>
      </c>
      <c r="D2169" s="98" t="s">
        <v>343</v>
      </c>
      <c r="E2169" s="103">
        <v>5000</v>
      </c>
      <c r="F2169" s="98" t="s">
        <v>240</v>
      </c>
      <c r="G2169" s="98" t="s">
        <v>373</v>
      </c>
      <c r="H2169" s="98" t="s">
        <v>516</v>
      </c>
      <c r="I2169" s="98" t="s">
        <v>242</v>
      </c>
    </row>
    <row r="2170" spans="2:9" s="98" customFormat="1">
      <c r="B2170" s="99" t="s">
        <v>475</v>
      </c>
      <c r="C2170" s="109">
        <v>45751</v>
      </c>
      <c r="D2170" s="98" t="s">
        <v>346</v>
      </c>
      <c r="E2170" s="103">
        <v>12000</v>
      </c>
      <c r="F2170" s="98" t="s">
        <v>240</v>
      </c>
      <c r="G2170" s="98" t="s">
        <v>373</v>
      </c>
      <c r="H2170" s="98" t="s">
        <v>516</v>
      </c>
      <c r="I2170" s="98" t="s">
        <v>251</v>
      </c>
    </row>
    <row r="2171" spans="2:9" s="98" customFormat="1">
      <c r="B2171" s="99" t="s">
        <v>475</v>
      </c>
      <c r="C2171" s="109">
        <v>45751</v>
      </c>
      <c r="D2171" s="98" t="s">
        <v>344</v>
      </c>
      <c r="E2171" s="103">
        <v>1050</v>
      </c>
      <c r="F2171" s="98" t="s">
        <v>240</v>
      </c>
      <c r="G2171" s="98" t="s">
        <v>373</v>
      </c>
      <c r="H2171" s="98" t="s">
        <v>516</v>
      </c>
      <c r="I2171" s="98" t="s">
        <v>241</v>
      </c>
    </row>
    <row r="2172" spans="2:9" s="98" customFormat="1">
      <c r="B2172" s="99" t="s">
        <v>475</v>
      </c>
      <c r="C2172" s="109">
        <v>45751</v>
      </c>
      <c r="D2172" s="98" t="s">
        <v>305</v>
      </c>
      <c r="E2172" s="103">
        <v>3990</v>
      </c>
      <c r="F2172" s="98" t="s">
        <v>240</v>
      </c>
      <c r="G2172" s="98" t="s">
        <v>373</v>
      </c>
      <c r="H2172" s="98" t="s">
        <v>516</v>
      </c>
      <c r="I2172" s="98" t="s">
        <v>244</v>
      </c>
    </row>
    <row r="2173" spans="2:9" s="98" customFormat="1">
      <c r="B2173" s="99" t="s">
        <v>475</v>
      </c>
      <c r="C2173" s="109">
        <v>45751</v>
      </c>
      <c r="D2173" s="98" t="s">
        <v>347</v>
      </c>
      <c r="E2173" s="103">
        <v>28980</v>
      </c>
      <c r="F2173" s="98" t="s">
        <v>240</v>
      </c>
      <c r="G2173" s="98" t="s">
        <v>373</v>
      </c>
      <c r="H2173" s="98" t="s">
        <v>516</v>
      </c>
      <c r="I2173" s="98" t="s">
        <v>244</v>
      </c>
    </row>
    <row r="2174" spans="2:9" s="98" customFormat="1">
      <c r="B2174" s="99" t="s">
        <v>475</v>
      </c>
      <c r="C2174" s="109">
        <v>45751</v>
      </c>
      <c r="D2174" s="98" t="s">
        <v>341</v>
      </c>
      <c r="E2174" s="103">
        <v>750</v>
      </c>
      <c r="F2174" s="98" t="s">
        <v>240</v>
      </c>
      <c r="G2174" s="98" t="s">
        <v>373</v>
      </c>
      <c r="H2174" s="98" t="s">
        <v>516</v>
      </c>
      <c r="I2174" s="98" t="s">
        <v>247</v>
      </c>
    </row>
    <row r="2175" spans="2:9" s="98" customFormat="1">
      <c r="B2175" s="99" t="s">
        <v>475</v>
      </c>
      <c r="C2175" s="109">
        <v>45751</v>
      </c>
      <c r="D2175" s="98" t="s">
        <v>308</v>
      </c>
      <c r="E2175" s="103">
        <v>1464</v>
      </c>
      <c r="F2175" s="98" t="s">
        <v>240</v>
      </c>
      <c r="G2175" s="98" t="s">
        <v>373</v>
      </c>
      <c r="H2175" s="98" t="s">
        <v>516</v>
      </c>
      <c r="I2175" s="98" t="s">
        <v>247</v>
      </c>
    </row>
    <row r="2176" spans="2:9" s="98" customFormat="1">
      <c r="B2176" s="99" t="s">
        <v>475</v>
      </c>
      <c r="C2176" s="109">
        <v>45751</v>
      </c>
      <c r="D2176" s="98" t="s">
        <v>342</v>
      </c>
      <c r="E2176" s="103">
        <v>3600</v>
      </c>
      <c r="F2176" s="98" t="s">
        <v>240</v>
      </c>
      <c r="G2176" s="98" t="s">
        <v>373</v>
      </c>
      <c r="H2176" s="98" t="s">
        <v>516</v>
      </c>
      <c r="I2176" s="98" t="s">
        <v>247</v>
      </c>
    </row>
    <row r="2177" spans="2:9" s="98" customFormat="1">
      <c r="B2177" s="99" t="s">
        <v>475</v>
      </c>
      <c r="C2177" s="109">
        <v>45751</v>
      </c>
      <c r="D2177" s="98" t="s">
        <v>345</v>
      </c>
      <c r="E2177" s="103">
        <v>5800</v>
      </c>
      <c r="F2177" s="98" t="s">
        <v>240</v>
      </c>
      <c r="G2177" s="98" t="s">
        <v>373</v>
      </c>
      <c r="H2177" s="98" t="s">
        <v>516</v>
      </c>
      <c r="I2177" s="98" t="s">
        <v>247</v>
      </c>
    </row>
    <row r="2178" spans="2:9" s="98" customFormat="1">
      <c r="B2178" s="99" t="s">
        <v>475</v>
      </c>
      <c r="C2178" s="109">
        <v>45751</v>
      </c>
      <c r="D2178" s="98" t="s">
        <v>340</v>
      </c>
      <c r="E2178" s="103">
        <v>14630</v>
      </c>
      <c r="F2178" s="98" t="s">
        <v>240</v>
      </c>
      <c r="G2178" s="98" t="s">
        <v>373</v>
      </c>
      <c r="H2178" s="98" t="s">
        <v>516</v>
      </c>
      <c r="I2178" s="98" t="s">
        <v>248</v>
      </c>
    </row>
    <row r="2179" spans="2:9" s="98" customFormat="1">
      <c r="B2179" s="99" t="s">
        <v>475</v>
      </c>
      <c r="C2179" s="109">
        <v>45750.691666666666</v>
      </c>
      <c r="D2179" s="98" t="s">
        <v>151</v>
      </c>
      <c r="E2179" s="103">
        <v>3292</v>
      </c>
      <c r="F2179" s="98" t="s">
        <v>240</v>
      </c>
      <c r="G2179" s="98" t="s">
        <v>374</v>
      </c>
      <c r="H2179" s="98" t="s">
        <v>516</v>
      </c>
      <c r="I2179" s="98" t="s">
        <v>247</v>
      </c>
    </row>
    <row r="2180" spans="2:9" s="98" customFormat="1">
      <c r="B2180" s="99" t="s">
        <v>475</v>
      </c>
      <c r="C2180" s="109">
        <v>45750</v>
      </c>
      <c r="D2180" s="98" t="s">
        <v>350</v>
      </c>
      <c r="E2180" s="103">
        <v>2890</v>
      </c>
      <c r="F2180" s="98" t="s">
        <v>240</v>
      </c>
      <c r="G2180" s="98" t="s">
        <v>373</v>
      </c>
      <c r="H2180" s="98" t="s">
        <v>516</v>
      </c>
      <c r="I2180" s="98" t="s">
        <v>242</v>
      </c>
    </row>
    <row r="2181" spans="2:9" s="98" customFormat="1">
      <c r="B2181" s="99" t="s">
        <v>475</v>
      </c>
      <c r="C2181" s="109">
        <v>45750</v>
      </c>
      <c r="D2181" s="98" t="s">
        <v>348</v>
      </c>
      <c r="E2181" s="103">
        <v>3290</v>
      </c>
      <c r="F2181" s="98" t="s">
        <v>240</v>
      </c>
      <c r="G2181" s="98" t="s">
        <v>373</v>
      </c>
      <c r="H2181" s="98" t="s">
        <v>516</v>
      </c>
      <c r="I2181" s="98" t="s">
        <v>242</v>
      </c>
    </row>
    <row r="2182" spans="2:9" s="98" customFormat="1">
      <c r="B2182" s="99" t="s">
        <v>475</v>
      </c>
      <c r="C2182" s="109">
        <v>45750</v>
      </c>
      <c r="D2182" s="98" t="s">
        <v>351</v>
      </c>
      <c r="E2182" s="103">
        <v>4990</v>
      </c>
      <c r="F2182" s="98" t="s">
        <v>240</v>
      </c>
      <c r="G2182" s="98" t="s">
        <v>373</v>
      </c>
      <c r="H2182" s="98" t="s">
        <v>516</v>
      </c>
      <c r="I2182" s="98" t="s">
        <v>242</v>
      </c>
    </row>
    <row r="2183" spans="2:9" s="98" customFormat="1">
      <c r="B2183" s="99" t="s">
        <v>475</v>
      </c>
      <c r="C2183" s="109">
        <v>45750</v>
      </c>
      <c r="D2183" s="98" t="s">
        <v>349</v>
      </c>
      <c r="E2183" s="103">
        <v>20000</v>
      </c>
      <c r="F2183" s="98" t="s">
        <v>240</v>
      </c>
      <c r="G2183" s="98" t="s">
        <v>373</v>
      </c>
      <c r="H2183" s="98" t="s">
        <v>516</v>
      </c>
      <c r="I2183" s="98" t="s">
        <v>270</v>
      </c>
    </row>
    <row r="2184" spans="2:9" s="98" customFormat="1">
      <c r="B2184" s="99" t="s">
        <v>475</v>
      </c>
      <c r="C2184" s="109">
        <v>45750</v>
      </c>
      <c r="D2184" s="98" t="s">
        <v>324</v>
      </c>
      <c r="E2184" s="103">
        <v>350</v>
      </c>
      <c r="F2184" s="98" t="s">
        <v>240</v>
      </c>
      <c r="G2184" s="98" t="s">
        <v>373</v>
      </c>
      <c r="H2184" s="98" t="s">
        <v>516</v>
      </c>
      <c r="I2184" s="98" t="s">
        <v>241</v>
      </c>
    </row>
    <row r="2185" spans="2:9" s="98" customFormat="1">
      <c r="B2185" s="99" t="s">
        <v>475</v>
      </c>
      <c r="C2185" s="109">
        <v>45750</v>
      </c>
      <c r="D2185" s="98" t="s">
        <v>296</v>
      </c>
      <c r="E2185" s="103">
        <v>11420</v>
      </c>
      <c r="F2185" s="98" t="s">
        <v>240</v>
      </c>
      <c r="G2185" s="98" t="s">
        <v>373</v>
      </c>
      <c r="H2185" s="98" t="s">
        <v>516</v>
      </c>
      <c r="I2185" s="98" t="s">
        <v>247</v>
      </c>
    </row>
    <row r="2186" spans="2:9" s="98" customFormat="1">
      <c r="B2186" s="99" t="s">
        <v>475</v>
      </c>
      <c r="C2186" s="109">
        <v>45749</v>
      </c>
      <c r="D2186" s="98" t="s">
        <v>327</v>
      </c>
      <c r="E2186" s="103">
        <v>890</v>
      </c>
      <c r="F2186" s="98" t="s">
        <v>240</v>
      </c>
      <c r="G2186" s="98" t="s">
        <v>373</v>
      </c>
      <c r="H2186" s="98" t="s">
        <v>516</v>
      </c>
      <c r="I2186" s="98" t="s">
        <v>242</v>
      </c>
    </row>
    <row r="2187" spans="2:9" s="98" customFormat="1">
      <c r="B2187" s="99" t="s">
        <v>475</v>
      </c>
      <c r="C2187" s="109">
        <v>45749</v>
      </c>
      <c r="D2187" s="98" t="s">
        <v>325</v>
      </c>
      <c r="E2187" s="103">
        <v>3879</v>
      </c>
      <c r="F2187" s="98" t="s">
        <v>240</v>
      </c>
      <c r="G2187" s="98" t="s">
        <v>373</v>
      </c>
      <c r="H2187" s="98" t="s">
        <v>516</v>
      </c>
      <c r="I2187" s="98" t="s">
        <v>242</v>
      </c>
    </row>
    <row r="2188" spans="2:9" s="98" customFormat="1">
      <c r="B2188" s="99" t="s">
        <v>475</v>
      </c>
      <c r="C2188" s="109">
        <v>45749</v>
      </c>
      <c r="D2188" s="98" t="s">
        <v>324</v>
      </c>
      <c r="E2188" s="103">
        <v>250</v>
      </c>
      <c r="F2188" s="98" t="s">
        <v>240</v>
      </c>
      <c r="G2188" s="98" t="s">
        <v>373</v>
      </c>
      <c r="H2188" s="98" t="s">
        <v>516</v>
      </c>
      <c r="I2188" s="98" t="s">
        <v>241</v>
      </c>
    </row>
    <row r="2189" spans="2:9" s="98" customFormat="1">
      <c r="B2189" s="99" t="s">
        <v>475</v>
      </c>
      <c r="C2189" s="109">
        <v>45749</v>
      </c>
      <c r="D2189" s="98" t="s">
        <v>330</v>
      </c>
      <c r="E2189" s="103">
        <v>1990</v>
      </c>
      <c r="F2189" s="98" t="s">
        <v>240</v>
      </c>
      <c r="G2189" s="98" t="s">
        <v>373</v>
      </c>
      <c r="H2189" s="98" t="s">
        <v>516</v>
      </c>
      <c r="I2189" s="98" t="s">
        <v>247</v>
      </c>
    </row>
    <row r="2190" spans="2:9" s="98" customFormat="1">
      <c r="B2190" s="99" t="s">
        <v>475</v>
      </c>
      <c r="C2190" s="109">
        <v>45749</v>
      </c>
      <c r="D2190" s="98" t="s">
        <v>352</v>
      </c>
      <c r="E2190" s="103">
        <v>44422</v>
      </c>
      <c r="F2190" s="98" t="s">
        <v>240</v>
      </c>
      <c r="G2190" s="98" t="s">
        <v>373</v>
      </c>
      <c r="H2190" s="98" t="s">
        <v>516</v>
      </c>
      <c r="I2190" s="98" t="s">
        <v>245</v>
      </c>
    </row>
    <row r="2191" spans="2:9" s="98" customFormat="1">
      <c r="B2191" s="99" t="s">
        <v>475</v>
      </c>
      <c r="C2191" s="109">
        <v>45748.960416666669</v>
      </c>
      <c r="D2191" s="98" t="s">
        <v>22</v>
      </c>
      <c r="E2191" s="103">
        <v>194750</v>
      </c>
      <c r="F2191" s="98" t="s">
        <v>240</v>
      </c>
      <c r="G2191" s="98" t="s">
        <v>374</v>
      </c>
      <c r="H2191" s="98" t="s">
        <v>516</v>
      </c>
      <c r="I2191" s="98" t="s">
        <v>264</v>
      </c>
    </row>
    <row r="2192" spans="2:9" s="98" customFormat="1">
      <c r="B2192" s="99" t="s">
        <v>475</v>
      </c>
      <c r="C2192" s="109">
        <v>45748.879166666666</v>
      </c>
      <c r="D2192" s="98" t="s">
        <v>48</v>
      </c>
      <c r="E2192" s="103">
        <v>40000</v>
      </c>
      <c r="F2192" s="98" t="s">
        <v>240</v>
      </c>
      <c r="G2192" s="98" t="s">
        <v>374</v>
      </c>
      <c r="H2192" s="98" t="s">
        <v>516</v>
      </c>
      <c r="I2192" s="98" t="s">
        <v>273</v>
      </c>
    </row>
    <row r="2193" spans="2:9" s="98" customFormat="1">
      <c r="B2193" s="99" t="s">
        <v>475</v>
      </c>
      <c r="C2193" s="109">
        <v>45748</v>
      </c>
      <c r="D2193" s="98" t="s">
        <v>327</v>
      </c>
      <c r="E2193" s="103">
        <v>890</v>
      </c>
      <c r="F2193" s="98" t="s">
        <v>240</v>
      </c>
      <c r="G2193" s="98" t="s">
        <v>373</v>
      </c>
      <c r="H2193" s="98" t="s">
        <v>516</v>
      </c>
      <c r="I2193" s="98" t="s">
        <v>242</v>
      </c>
    </row>
    <row r="2194" spans="2:9" s="98" customFormat="1">
      <c r="B2194" s="99" t="s">
        <v>475</v>
      </c>
      <c r="C2194" s="109">
        <v>45748</v>
      </c>
      <c r="D2194" s="98" t="s">
        <v>323</v>
      </c>
      <c r="E2194" s="103">
        <v>1900</v>
      </c>
      <c r="F2194" s="98" t="s">
        <v>240</v>
      </c>
      <c r="G2194" s="98" t="s">
        <v>373</v>
      </c>
      <c r="H2194" s="98" t="s">
        <v>516</v>
      </c>
      <c r="I2194" s="98" t="s">
        <v>242</v>
      </c>
    </row>
    <row r="2195" spans="2:9" s="98" customFormat="1">
      <c r="B2195" s="99" t="s">
        <v>475</v>
      </c>
      <c r="C2195" s="109">
        <v>45748</v>
      </c>
      <c r="D2195" s="98" t="s">
        <v>328</v>
      </c>
      <c r="E2195" s="103">
        <v>2980</v>
      </c>
      <c r="F2195" s="98" t="s">
        <v>240</v>
      </c>
      <c r="G2195" s="98" t="s">
        <v>373</v>
      </c>
      <c r="H2195" s="98" t="s">
        <v>516</v>
      </c>
      <c r="I2195" s="98" t="s">
        <v>242</v>
      </c>
    </row>
    <row r="2196" spans="2:9" s="98" customFormat="1">
      <c r="B2196" s="99" t="s">
        <v>475</v>
      </c>
      <c r="C2196" s="109">
        <v>45748</v>
      </c>
      <c r="D2196" s="98" t="s">
        <v>303</v>
      </c>
      <c r="E2196" s="103">
        <v>6898</v>
      </c>
      <c r="F2196" s="98" t="s">
        <v>240</v>
      </c>
      <c r="G2196" s="98" t="s">
        <v>373</v>
      </c>
      <c r="H2196" s="98" t="s">
        <v>516</v>
      </c>
      <c r="I2196" s="98" t="s">
        <v>244</v>
      </c>
    </row>
    <row r="2197" spans="2:9" s="98" customFormat="1">
      <c r="B2197" s="99" t="s">
        <v>475</v>
      </c>
      <c r="C2197" s="109">
        <v>45748</v>
      </c>
      <c r="D2197" s="98" t="s">
        <v>303</v>
      </c>
      <c r="E2197" s="103">
        <v>22799</v>
      </c>
      <c r="F2197" s="98" t="s">
        <v>240</v>
      </c>
      <c r="G2197" s="98" t="s">
        <v>373</v>
      </c>
      <c r="H2197" s="98" t="s">
        <v>516</v>
      </c>
      <c r="I2197" s="98" t="s">
        <v>244</v>
      </c>
    </row>
    <row r="2198" spans="2:9" s="98" customFormat="1">
      <c r="B2198" s="99" t="s">
        <v>475</v>
      </c>
      <c r="C2198" s="109">
        <v>45748</v>
      </c>
      <c r="D2198" s="98" t="s">
        <v>308</v>
      </c>
      <c r="E2198" s="103">
        <v>2822</v>
      </c>
      <c r="F2198" s="98" t="s">
        <v>240</v>
      </c>
      <c r="G2198" s="98" t="s">
        <v>373</v>
      </c>
      <c r="H2198" s="98" t="s">
        <v>516</v>
      </c>
      <c r="I2198" s="98" t="s">
        <v>247</v>
      </c>
    </row>
    <row r="2199" spans="2:9" s="98" customFormat="1">
      <c r="B2199" s="99" t="s">
        <v>475</v>
      </c>
      <c r="C2199" s="109">
        <v>45748</v>
      </c>
      <c r="D2199" s="98" t="s">
        <v>339</v>
      </c>
      <c r="E2199" s="103">
        <v>18610</v>
      </c>
      <c r="F2199" s="98" t="s">
        <v>240</v>
      </c>
      <c r="G2199" s="98" t="s">
        <v>373</v>
      </c>
      <c r="H2199" s="98" t="s">
        <v>516</v>
      </c>
      <c r="I2199" s="98" t="s">
        <v>248</v>
      </c>
    </row>
    <row r="2200" spans="2:9" s="98" customFormat="1">
      <c r="B2200" s="99" t="s">
        <v>475</v>
      </c>
      <c r="C2200" s="109">
        <v>45747.958333333336</v>
      </c>
      <c r="D2200" s="98" t="s">
        <v>59</v>
      </c>
      <c r="E2200" s="103">
        <v>-39193</v>
      </c>
      <c r="F2200" s="98" t="s">
        <v>239</v>
      </c>
      <c r="I2200" s="98" t="s">
        <v>253</v>
      </c>
    </row>
    <row r="2201" spans="2:9" s="98" customFormat="1">
      <c r="B2201" s="99" t="s">
        <v>475</v>
      </c>
      <c r="C2201" s="109">
        <v>45747.881249999999</v>
      </c>
      <c r="D2201" s="98" t="s">
        <v>22</v>
      </c>
      <c r="E2201" s="103">
        <v>140000</v>
      </c>
      <c r="F2201" s="98" t="s">
        <v>240</v>
      </c>
      <c r="G2201" s="98" t="s">
        <v>374</v>
      </c>
      <c r="H2201" s="98" t="s">
        <v>516</v>
      </c>
      <c r="I2201" s="98" t="s">
        <v>264</v>
      </c>
    </row>
    <row r="2202" spans="2:9" s="98" customFormat="1">
      <c r="B2202" s="99" t="s">
        <v>475</v>
      </c>
      <c r="C2202" s="109">
        <v>45747.68472222222</v>
      </c>
      <c r="D2202" s="98" t="s">
        <v>22</v>
      </c>
      <c r="E2202" s="103">
        <v>15000</v>
      </c>
      <c r="F2202" s="98" t="s">
        <v>240</v>
      </c>
      <c r="G2202" s="98" t="s">
        <v>374</v>
      </c>
      <c r="H2202" s="98" t="s">
        <v>516</v>
      </c>
      <c r="I2202" s="98" t="s">
        <v>268</v>
      </c>
    </row>
    <row r="2203" spans="2:9" s="98" customFormat="1">
      <c r="B2203" s="99" t="s">
        <v>475</v>
      </c>
      <c r="C2203" s="109">
        <v>45747.671527777777</v>
      </c>
      <c r="D2203" s="98" t="s">
        <v>191</v>
      </c>
      <c r="E2203" s="103">
        <v>11000</v>
      </c>
      <c r="F2203" s="98" t="s">
        <v>240</v>
      </c>
      <c r="G2203" s="98" t="s">
        <v>374</v>
      </c>
      <c r="H2203" s="98" t="s">
        <v>516</v>
      </c>
      <c r="I2203" s="98" t="s">
        <v>268</v>
      </c>
    </row>
    <row r="2204" spans="2:9" s="98" customFormat="1">
      <c r="B2204" s="99" t="s">
        <v>475</v>
      </c>
      <c r="C2204" s="109">
        <v>45747.569444444445</v>
      </c>
      <c r="D2204" s="98" t="s">
        <v>30</v>
      </c>
      <c r="E2204" s="103">
        <v>2530</v>
      </c>
      <c r="F2204" s="98" t="s">
        <v>240</v>
      </c>
      <c r="G2204" s="98" t="s">
        <v>374</v>
      </c>
      <c r="H2204" s="98" t="s">
        <v>516</v>
      </c>
      <c r="I2204" s="98" t="s">
        <v>247</v>
      </c>
    </row>
    <row r="2205" spans="2:9" s="98" customFormat="1">
      <c r="B2205" s="99" t="s">
        <v>475</v>
      </c>
      <c r="C2205" s="109">
        <v>45747.565972222219</v>
      </c>
      <c r="D2205" s="98" t="s">
        <v>192</v>
      </c>
      <c r="E2205" s="103">
        <v>32960</v>
      </c>
      <c r="F2205" s="98" t="s">
        <v>240</v>
      </c>
      <c r="G2205" s="98" t="s">
        <v>374</v>
      </c>
      <c r="H2205" s="98" t="s">
        <v>516</v>
      </c>
      <c r="I2205" s="98" t="s">
        <v>243</v>
      </c>
    </row>
    <row r="2206" spans="2:9" s="98" customFormat="1">
      <c r="B2206" s="99" t="s">
        <v>475</v>
      </c>
      <c r="C2206" s="109">
        <v>45747.52847222222</v>
      </c>
      <c r="D2206" s="98" t="s">
        <v>30</v>
      </c>
      <c r="E2206" s="103">
        <v>1300</v>
      </c>
      <c r="F2206" s="98" t="s">
        <v>240</v>
      </c>
      <c r="G2206" s="98" t="s">
        <v>374</v>
      </c>
      <c r="H2206" s="98" t="s">
        <v>516</v>
      </c>
      <c r="I2206" s="98" t="s">
        <v>247</v>
      </c>
    </row>
    <row r="2207" spans="2:9" s="98" customFormat="1">
      <c r="B2207" s="99" t="s">
        <v>475</v>
      </c>
      <c r="C2207" s="109">
        <v>45747.45</v>
      </c>
      <c r="D2207" s="98" t="s">
        <v>158</v>
      </c>
      <c r="E2207" s="103">
        <v>700</v>
      </c>
      <c r="F2207" s="98" t="s">
        <v>240</v>
      </c>
      <c r="G2207" s="98" t="s">
        <v>374</v>
      </c>
      <c r="H2207" s="98" t="s">
        <v>516</v>
      </c>
      <c r="I2207" s="98" t="s">
        <v>251</v>
      </c>
    </row>
    <row r="2208" spans="2:9" s="98" customFormat="1">
      <c r="B2208" s="99" t="s">
        <v>475</v>
      </c>
      <c r="C2208" s="109">
        <v>45747.445138888892</v>
      </c>
      <c r="D2208" s="98" t="s">
        <v>158</v>
      </c>
      <c r="E2208" s="103">
        <v>24500</v>
      </c>
      <c r="F2208" s="98" t="s">
        <v>240</v>
      </c>
      <c r="G2208" s="98" t="s">
        <v>374</v>
      </c>
      <c r="H2208" s="98" t="s">
        <v>516</v>
      </c>
      <c r="I2208" s="98" t="s">
        <v>251</v>
      </c>
    </row>
    <row r="2209" spans="2:9" s="98" customFormat="1">
      <c r="B2209" s="99" t="s">
        <v>475</v>
      </c>
      <c r="C2209" s="109">
        <v>45747.442361111112</v>
      </c>
      <c r="D2209" s="98" t="s">
        <v>193</v>
      </c>
      <c r="E2209" s="103">
        <v>105230</v>
      </c>
      <c r="F2209" s="98" t="s">
        <v>240</v>
      </c>
      <c r="G2209" s="98" t="s">
        <v>374</v>
      </c>
      <c r="H2209" s="98" t="s">
        <v>513</v>
      </c>
      <c r="I2209" s="98" t="s">
        <v>251</v>
      </c>
    </row>
    <row r="2210" spans="2:9" s="98" customFormat="1">
      <c r="B2210" s="99" t="s">
        <v>475</v>
      </c>
      <c r="C2210" s="109">
        <v>45747</v>
      </c>
      <c r="D2210" s="98" t="s">
        <v>331</v>
      </c>
      <c r="E2210" s="103">
        <v>11580</v>
      </c>
      <c r="F2210" s="98" t="s">
        <v>240</v>
      </c>
      <c r="G2210" s="98" t="s">
        <v>373</v>
      </c>
      <c r="H2210" s="98" t="s">
        <v>516</v>
      </c>
      <c r="I2210" s="98" t="s">
        <v>242</v>
      </c>
    </row>
    <row r="2211" spans="2:9" s="98" customFormat="1">
      <c r="B2211" s="99" t="s">
        <v>475</v>
      </c>
      <c r="C2211" s="109">
        <v>45747</v>
      </c>
      <c r="D2211" s="98" t="s">
        <v>319</v>
      </c>
      <c r="E2211" s="103">
        <v>27600</v>
      </c>
      <c r="F2211" s="98" t="s">
        <v>240</v>
      </c>
      <c r="G2211" s="98" t="s">
        <v>373</v>
      </c>
      <c r="H2211" s="98" t="s">
        <v>516</v>
      </c>
      <c r="I2211" s="98" t="s">
        <v>272</v>
      </c>
    </row>
    <row r="2212" spans="2:9" s="98" customFormat="1">
      <c r="B2212" s="99" t="s">
        <v>475</v>
      </c>
      <c r="C2212" s="109">
        <v>45747</v>
      </c>
      <c r="D2212" s="98" t="s">
        <v>354</v>
      </c>
      <c r="E2212" s="103">
        <v>28510</v>
      </c>
      <c r="F2212" s="98" t="s">
        <v>240</v>
      </c>
      <c r="G2212" s="98" t="s">
        <v>373</v>
      </c>
      <c r="H2212" s="98" t="s">
        <v>516</v>
      </c>
      <c r="I2212" s="98" t="s">
        <v>264</v>
      </c>
    </row>
    <row r="2213" spans="2:9" s="98" customFormat="1">
      <c r="B2213" s="99" t="s">
        <v>475</v>
      </c>
      <c r="C2213" s="109">
        <v>45747</v>
      </c>
      <c r="D2213" s="98" t="s">
        <v>355</v>
      </c>
      <c r="E2213" s="103">
        <v>74250</v>
      </c>
      <c r="F2213" s="98" t="s">
        <v>240</v>
      </c>
      <c r="G2213" s="98" t="s">
        <v>373</v>
      </c>
      <c r="H2213" s="98" t="s">
        <v>516</v>
      </c>
      <c r="I2213" s="98" t="s">
        <v>264</v>
      </c>
    </row>
    <row r="2214" spans="2:9" s="98" customFormat="1">
      <c r="B2214" s="99" t="s">
        <v>475</v>
      </c>
      <c r="C2214" s="109">
        <v>45747</v>
      </c>
      <c r="D2214" s="98" t="s">
        <v>353</v>
      </c>
      <c r="E2214" s="103">
        <v>17100</v>
      </c>
      <c r="F2214" s="98" t="s">
        <v>240</v>
      </c>
      <c r="G2214" s="98" t="s">
        <v>373</v>
      </c>
      <c r="H2214" s="98" t="s">
        <v>516</v>
      </c>
      <c r="I2214" s="98" t="s">
        <v>248</v>
      </c>
    </row>
    <row r="2215" spans="2:9" s="98" customFormat="1">
      <c r="B2215" s="99" t="s">
        <v>475</v>
      </c>
      <c r="C2215" s="109">
        <v>45746.965277777781</v>
      </c>
      <c r="D2215" s="98" t="s">
        <v>275</v>
      </c>
      <c r="E2215" s="103">
        <v>75810</v>
      </c>
      <c r="F2215" s="98" t="s">
        <v>240</v>
      </c>
      <c r="G2215" s="98" t="s">
        <v>374</v>
      </c>
      <c r="H2215" s="98" t="s">
        <v>513</v>
      </c>
      <c r="I2215" s="98" t="s">
        <v>271</v>
      </c>
    </row>
    <row r="2216" spans="2:9" s="98" customFormat="1">
      <c r="B2216" s="99" t="s">
        <v>475</v>
      </c>
      <c r="C2216" s="109">
        <v>45746.965277777781</v>
      </c>
      <c r="D2216" s="98" t="s">
        <v>281</v>
      </c>
      <c r="E2216" s="103">
        <v>39663</v>
      </c>
      <c r="F2216" s="98" t="s">
        <v>240</v>
      </c>
      <c r="G2216" s="98" t="s">
        <v>374</v>
      </c>
      <c r="H2216" s="98" t="s">
        <v>513</v>
      </c>
      <c r="I2216" s="98" t="s">
        <v>282</v>
      </c>
    </row>
    <row r="2217" spans="2:9" s="98" customFormat="1">
      <c r="B2217" s="99" t="s">
        <v>475</v>
      </c>
      <c r="C2217" s="109">
        <v>45746.965277777781</v>
      </c>
      <c r="D2217" s="98" t="s">
        <v>281</v>
      </c>
      <c r="E2217" s="103">
        <v>11500</v>
      </c>
      <c r="F2217" s="98" t="s">
        <v>240</v>
      </c>
      <c r="G2217" s="98" t="s">
        <v>374</v>
      </c>
      <c r="H2217" s="98" t="s">
        <v>513</v>
      </c>
      <c r="I2217" s="98" t="s">
        <v>282</v>
      </c>
    </row>
    <row r="2218" spans="2:9" s="98" customFormat="1">
      <c r="B2218" s="99" t="s">
        <v>475</v>
      </c>
      <c r="C2218" s="109">
        <v>45746.965277777781</v>
      </c>
      <c r="D2218" s="98" t="s">
        <v>281</v>
      </c>
      <c r="E2218" s="103">
        <v>4077</v>
      </c>
      <c r="F2218" s="98" t="s">
        <v>240</v>
      </c>
      <c r="G2218" s="98" t="s">
        <v>374</v>
      </c>
      <c r="H2218" s="98" t="s">
        <v>513</v>
      </c>
      <c r="I2218" s="98" t="s">
        <v>282</v>
      </c>
    </row>
    <row r="2219" spans="2:9" s="98" customFormat="1">
      <c r="B2219" s="99" t="s">
        <v>475</v>
      </c>
      <c r="C2219" s="109">
        <v>45746.965277777781</v>
      </c>
      <c r="D2219" s="98" t="s">
        <v>281</v>
      </c>
      <c r="E2219" s="103">
        <v>36489</v>
      </c>
      <c r="F2219" s="98" t="s">
        <v>240</v>
      </c>
      <c r="G2219" s="98" t="s">
        <v>374</v>
      </c>
      <c r="H2219" s="98" t="s">
        <v>513</v>
      </c>
      <c r="I2219" s="98" t="s">
        <v>282</v>
      </c>
    </row>
    <row r="2220" spans="2:9" s="98" customFormat="1">
      <c r="B2220" s="99" t="s">
        <v>475</v>
      </c>
      <c r="C2220" s="109">
        <v>45746.965277777781</v>
      </c>
      <c r="D2220" s="98" t="s">
        <v>281</v>
      </c>
      <c r="E2220" s="103">
        <v>3941</v>
      </c>
      <c r="F2220" s="98" t="s">
        <v>240</v>
      </c>
      <c r="G2220" s="98" t="s">
        <v>374</v>
      </c>
      <c r="H2220" s="98" t="s">
        <v>513</v>
      </c>
      <c r="I2220" s="98" t="s">
        <v>282</v>
      </c>
    </row>
    <row r="2221" spans="2:9" s="98" customFormat="1">
      <c r="B2221" s="99" t="s">
        <v>475</v>
      </c>
      <c r="C2221" s="109">
        <v>45746.965277777781</v>
      </c>
      <c r="D2221" s="98" t="s">
        <v>281</v>
      </c>
      <c r="E2221" s="103">
        <v>67253</v>
      </c>
      <c r="F2221" s="98" t="s">
        <v>240</v>
      </c>
      <c r="G2221" s="98" t="s">
        <v>374</v>
      </c>
      <c r="H2221" s="98" t="s">
        <v>513</v>
      </c>
      <c r="I2221" s="98" t="s">
        <v>282</v>
      </c>
    </row>
    <row r="2222" spans="2:9" s="98" customFormat="1">
      <c r="B2222" s="99" t="s">
        <v>475</v>
      </c>
      <c r="C2222" s="109">
        <v>45746.965277777781</v>
      </c>
      <c r="D2222" s="98" t="s">
        <v>281</v>
      </c>
      <c r="E2222" s="103">
        <v>6296</v>
      </c>
      <c r="F2222" s="98" t="s">
        <v>240</v>
      </c>
      <c r="G2222" s="98" t="s">
        <v>374</v>
      </c>
      <c r="H2222" s="98" t="s">
        <v>513</v>
      </c>
      <c r="I2222" s="98" t="s">
        <v>282</v>
      </c>
    </row>
    <row r="2223" spans="2:9" s="98" customFormat="1">
      <c r="B2223" s="99" t="s">
        <v>475</v>
      </c>
      <c r="C2223" s="109">
        <v>45746.965277777781</v>
      </c>
      <c r="D2223" s="98" t="s">
        <v>281</v>
      </c>
      <c r="E2223" s="103">
        <v>38068</v>
      </c>
      <c r="F2223" s="98" t="s">
        <v>240</v>
      </c>
      <c r="G2223" s="98" t="s">
        <v>374</v>
      </c>
      <c r="H2223" s="98" t="s">
        <v>513</v>
      </c>
      <c r="I2223" s="98" t="s">
        <v>282</v>
      </c>
    </row>
    <row r="2224" spans="2:9" s="98" customFormat="1">
      <c r="B2224" s="99" t="s">
        <v>475</v>
      </c>
      <c r="C2224" s="109">
        <v>45746.845833333333</v>
      </c>
      <c r="D2224" s="98" t="s">
        <v>134</v>
      </c>
      <c r="E2224" s="103">
        <v>150000</v>
      </c>
      <c r="F2224" s="98" t="s">
        <v>240</v>
      </c>
      <c r="G2224" s="98" t="s">
        <v>374</v>
      </c>
      <c r="H2224" s="98" t="s">
        <v>516</v>
      </c>
      <c r="I2224" s="98" t="s">
        <v>273</v>
      </c>
    </row>
    <row r="2225" spans="2:9" s="98" customFormat="1">
      <c r="B2225" s="99" t="s">
        <v>475</v>
      </c>
      <c r="C2225" s="109">
        <v>45746</v>
      </c>
      <c r="D2225" s="98" t="s">
        <v>359</v>
      </c>
      <c r="E2225" s="103">
        <v>5650</v>
      </c>
      <c r="F2225" s="98" t="s">
        <v>240</v>
      </c>
      <c r="G2225" s="98" t="s">
        <v>373</v>
      </c>
      <c r="H2225" s="98" t="s">
        <v>516</v>
      </c>
      <c r="I2225" s="98" t="s">
        <v>270</v>
      </c>
    </row>
    <row r="2226" spans="2:9" s="98" customFormat="1">
      <c r="B2226" s="99" t="s">
        <v>475</v>
      </c>
      <c r="C2226" s="109">
        <v>45746</v>
      </c>
      <c r="D2226" s="98" t="s">
        <v>356</v>
      </c>
      <c r="E2226" s="103">
        <v>138562</v>
      </c>
      <c r="F2226" s="98" t="s">
        <v>240</v>
      </c>
      <c r="G2226" s="98" t="s">
        <v>373</v>
      </c>
      <c r="H2226" s="98" t="s">
        <v>516</v>
      </c>
      <c r="I2226" s="98" t="s">
        <v>270</v>
      </c>
    </row>
    <row r="2227" spans="2:9" s="98" customFormat="1">
      <c r="B2227" s="99" t="s">
        <v>475</v>
      </c>
      <c r="C2227" s="109">
        <v>45746</v>
      </c>
      <c r="D2227" s="98" t="s">
        <v>354</v>
      </c>
      <c r="E2227" s="103">
        <v>27787</v>
      </c>
      <c r="F2227" s="98" t="s">
        <v>240</v>
      </c>
      <c r="G2227" s="98" t="s">
        <v>373</v>
      </c>
      <c r="H2227" s="98" t="s">
        <v>516</v>
      </c>
      <c r="I2227" s="98" t="s">
        <v>264</v>
      </c>
    </row>
    <row r="2228" spans="2:9" s="98" customFormat="1">
      <c r="B2228" s="99" t="s">
        <v>475</v>
      </c>
      <c r="C2228" s="109">
        <v>45746</v>
      </c>
      <c r="D2228" s="98" t="s">
        <v>357</v>
      </c>
      <c r="E2228" s="103">
        <v>99740</v>
      </c>
      <c r="F2228" s="98" t="s">
        <v>240</v>
      </c>
      <c r="G2228" s="98" t="s">
        <v>373</v>
      </c>
      <c r="H2228" s="98" t="s">
        <v>516</v>
      </c>
      <c r="I2228" s="98" t="s">
        <v>264</v>
      </c>
    </row>
    <row r="2229" spans="2:9" s="98" customFormat="1">
      <c r="B2229" s="99" t="s">
        <v>475</v>
      </c>
      <c r="C2229" s="109">
        <v>45746</v>
      </c>
      <c r="D2229" s="98" t="s">
        <v>358</v>
      </c>
      <c r="E2229" s="103">
        <v>505980</v>
      </c>
      <c r="F2229" s="98" t="s">
        <v>240</v>
      </c>
      <c r="G2229" s="98" t="s">
        <v>373</v>
      </c>
      <c r="H2229" s="98" t="s">
        <v>516</v>
      </c>
      <c r="I2229" s="98" t="s">
        <v>264</v>
      </c>
    </row>
    <row r="2230" spans="2:9" s="98" customFormat="1">
      <c r="B2230" s="99" t="s">
        <v>475</v>
      </c>
      <c r="C2230" s="109">
        <v>45745.897916666669</v>
      </c>
      <c r="D2230" s="98" t="s">
        <v>64</v>
      </c>
      <c r="E2230" s="103">
        <v>30000</v>
      </c>
      <c r="F2230" s="98" t="s">
        <v>240</v>
      </c>
      <c r="G2230" s="98" t="s">
        <v>374</v>
      </c>
      <c r="H2230" s="98" t="s">
        <v>516</v>
      </c>
      <c r="I2230" s="98" t="s">
        <v>263</v>
      </c>
    </row>
    <row r="2231" spans="2:9" s="98" customFormat="1">
      <c r="B2231" s="99" t="s">
        <v>475</v>
      </c>
      <c r="C2231" s="109">
        <v>45745.508333333331</v>
      </c>
      <c r="D2231" s="98" t="s">
        <v>190</v>
      </c>
      <c r="E2231" s="103">
        <v>6700</v>
      </c>
      <c r="F2231" s="98" t="s">
        <v>240</v>
      </c>
      <c r="G2231" s="98" t="s">
        <v>374</v>
      </c>
      <c r="H2231" s="98" t="s">
        <v>516</v>
      </c>
      <c r="I2231" s="98" t="s">
        <v>247</v>
      </c>
    </row>
    <row r="2232" spans="2:9" s="98" customFormat="1">
      <c r="B2232" s="99" t="s">
        <v>475</v>
      </c>
      <c r="C2232" s="109">
        <v>45745.043749999997</v>
      </c>
      <c r="D2232" s="98" t="s">
        <v>131</v>
      </c>
      <c r="E2232" s="103">
        <v>-4097508</v>
      </c>
      <c r="F2232" s="98" t="s">
        <v>239</v>
      </c>
      <c r="I2232" s="98" t="s">
        <v>375</v>
      </c>
    </row>
    <row r="2233" spans="2:9" s="98" customFormat="1">
      <c r="B2233" s="99" t="s">
        <v>475</v>
      </c>
      <c r="C2233" s="109">
        <v>45745</v>
      </c>
      <c r="D2233" s="98" t="s">
        <v>361</v>
      </c>
      <c r="E2233" s="103">
        <v>15000</v>
      </c>
      <c r="F2233" s="98" t="s">
        <v>240</v>
      </c>
      <c r="G2233" s="98" t="s">
        <v>373</v>
      </c>
      <c r="H2233" s="98" t="s">
        <v>516</v>
      </c>
      <c r="I2233" s="98" t="s">
        <v>270</v>
      </c>
    </row>
    <row r="2234" spans="2:9" s="98" customFormat="1">
      <c r="B2234" s="99" t="s">
        <v>475</v>
      </c>
      <c r="C2234" s="109">
        <v>45745</v>
      </c>
      <c r="D2234" s="98" t="s">
        <v>362</v>
      </c>
      <c r="E2234" s="103">
        <v>3150</v>
      </c>
      <c r="F2234" s="98" t="s">
        <v>240</v>
      </c>
      <c r="G2234" s="98" t="s">
        <v>373</v>
      </c>
      <c r="H2234" s="98" t="s">
        <v>516</v>
      </c>
      <c r="I2234" s="98" t="s">
        <v>241</v>
      </c>
    </row>
    <row r="2235" spans="2:9" s="98" customFormat="1">
      <c r="B2235" s="99" t="s">
        <v>475</v>
      </c>
      <c r="C2235" s="109">
        <v>45745</v>
      </c>
      <c r="D2235" s="98" t="s">
        <v>364</v>
      </c>
      <c r="E2235" s="103">
        <v>17920</v>
      </c>
      <c r="F2235" s="98" t="s">
        <v>240</v>
      </c>
      <c r="G2235" s="98" t="s">
        <v>373</v>
      </c>
      <c r="H2235" s="98" t="s">
        <v>516</v>
      </c>
      <c r="I2235" s="98" t="s">
        <v>264</v>
      </c>
    </row>
    <row r="2236" spans="2:9" s="98" customFormat="1">
      <c r="B2236" s="99" t="s">
        <v>475</v>
      </c>
      <c r="C2236" s="109">
        <v>45745</v>
      </c>
      <c r="D2236" s="98" t="s">
        <v>364</v>
      </c>
      <c r="E2236" s="103">
        <v>25470</v>
      </c>
      <c r="F2236" s="98" t="s">
        <v>240</v>
      </c>
      <c r="G2236" s="98" t="s">
        <v>373</v>
      </c>
      <c r="H2236" s="98" t="s">
        <v>516</v>
      </c>
      <c r="I2236" s="98" t="s">
        <v>264</v>
      </c>
    </row>
    <row r="2237" spans="2:9" s="98" customFormat="1">
      <c r="B2237" s="99" t="s">
        <v>475</v>
      </c>
      <c r="C2237" s="109">
        <v>45745</v>
      </c>
      <c r="D2237" s="98" t="s">
        <v>360</v>
      </c>
      <c r="E2237" s="103">
        <v>864000</v>
      </c>
      <c r="F2237" s="98" t="s">
        <v>240</v>
      </c>
      <c r="G2237" s="98" t="s">
        <v>373</v>
      </c>
      <c r="H2237" s="98" t="s">
        <v>516</v>
      </c>
      <c r="I2237" s="98" t="s">
        <v>264</v>
      </c>
    </row>
    <row r="2238" spans="2:9" s="98" customFormat="1">
      <c r="B2238" s="99" t="s">
        <v>475</v>
      </c>
      <c r="C2238" s="109">
        <v>45745</v>
      </c>
      <c r="D2238" s="98" t="s">
        <v>365</v>
      </c>
      <c r="E2238" s="103">
        <v>7980</v>
      </c>
      <c r="F2238" s="98" t="s">
        <v>240</v>
      </c>
      <c r="G2238" s="98" t="s">
        <v>373</v>
      </c>
      <c r="H2238" s="98" t="s">
        <v>516</v>
      </c>
      <c r="I2238" s="98" t="s">
        <v>248</v>
      </c>
    </row>
    <row r="2239" spans="2:9" s="98" customFormat="1">
      <c r="B2239" s="99" t="s">
        <v>475</v>
      </c>
      <c r="C2239" s="109">
        <v>45745</v>
      </c>
      <c r="D2239" s="98" t="s">
        <v>363</v>
      </c>
      <c r="E2239" s="103">
        <v>2990</v>
      </c>
      <c r="F2239" s="98" t="s">
        <v>240</v>
      </c>
      <c r="G2239" s="98" t="s">
        <v>373</v>
      </c>
      <c r="H2239" s="98" t="s">
        <v>516</v>
      </c>
      <c r="I2239" s="98" t="s">
        <v>243</v>
      </c>
    </row>
    <row r="2240" spans="2:9" s="98" customFormat="1">
      <c r="B2240" s="99" t="s">
        <v>475</v>
      </c>
      <c r="C2240" s="109">
        <v>45745</v>
      </c>
      <c r="D2240" s="98" t="s">
        <v>321</v>
      </c>
      <c r="E2240" s="103">
        <v>170710</v>
      </c>
      <c r="F2240" s="98" t="s">
        <v>240</v>
      </c>
      <c r="G2240" s="98" t="s">
        <v>373</v>
      </c>
      <c r="H2240" s="98" t="s">
        <v>516</v>
      </c>
      <c r="I2240" s="98" t="s">
        <v>245</v>
      </c>
    </row>
    <row r="2241" spans="2:9" s="98" customFormat="1">
      <c r="B2241" s="99" t="s">
        <v>475</v>
      </c>
      <c r="C2241" s="109">
        <v>45744.854861111111</v>
      </c>
      <c r="D2241" s="98" t="s">
        <v>22</v>
      </c>
      <c r="E2241" s="103">
        <v>245000</v>
      </c>
      <c r="F2241" s="98" t="s">
        <v>240</v>
      </c>
      <c r="G2241" s="98" t="s">
        <v>374</v>
      </c>
      <c r="H2241" s="98" t="s">
        <v>513</v>
      </c>
      <c r="I2241" s="98" t="s">
        <v>284</v>
      </c>
    </row>
    <row r="2242" spans="2:9" s="98" customFormat="1">
      <c r="B2242" s="99" t="s">
        <v>475</v>
      </c>
      <c r="C2242" s="109">
        <v>45744.747916666667</v>
      </c>
      <c r="D2242" s="98" t="s">
        <v>165</v>
      </c>
      <c r="E2242" s="103">
        <v>30000</v>
      </c>
      <c r="F2242" s="98" t="s">
        <v>240</v>
      </c>
      <c r="G2242" s="98" t="s">
        <v>374</v>
      </c>
      <c r="H2242" s="98" t="s">
        <v>516</v>
      </c>
      <c r="I2242" s="98" t="s">
        <v>263</v>
      </c>
    </row>
    <row r="2243" spans="2:9" s="98" customFormat="1">
      <c r="B2243" s="99" t="s">
        <v>475</v>
      </c>
      <c r="C2243" s="109">
        <v>45744.585416666669</v>
      </c>
      <c r="D2243" s="98" t="s">
        <v>154</v>
      </c>
      <c r="E2243" s="103">
        <v>-745</v>
      </c>
      <c r="F2243" s="98" t="s">
        <v>239</v>
      </c>
      <c r="I2243" s="98" t="s">
        <v>253</v>
      </c>
    </row>
    <row r="2244" spans="2:9" s="98" customFormat="1">
      <c r="B2244" s="99" t="s">
        <v>475</v>
      </c>
      <c r="C2244" s="109">
        <v>45744.583333333336</v>
      </c>
      <c r="D2244" s="98" t="s">
        <v>194</v>
      </c>
      <c r="E2244" s="103">
        <v>25000</v>
      </c>
      <c r="F2244" s="98" t="s">
        <v>240</v>
      </c>
      <c r="G2244" s="98" t="s">
        <v>374</v>
      </c>
      <c r="H2244" s="98" t="s">
        <v>516</v>
      </c>
      <c r="I2244" s="98" t="s">
        <v>244</v>
      </c>
    </row>
    <row r="2245" spans="2:9" s="98" customFormat="1">
      <c r="B2245" s="99" t="s">
        <v>475</v>
      </c>
      <c r="C2245" s="109">
        <v>45744.570833333331</v>
      </c>
      <c r="D2245" s="98" t="s">
        <v>195</v>
      </c>
      <c r="E2245" s="103">
        <v>12307</v>
      </c>
      <c r="F2245" s="98" t="s">
        <v>240</v>
      </c>
      <c r="G2245" s="98" t="s">
        <v>374</v>
      </c>
      <c r="H2245" s="98" t="s">
        <v>516</v>
      </c>
      <c r="I2245" s="98" t="s">
        <v>248</v>
      </c>
    </row>
    <row r="2246" spans="2:9" s="98" customFormat="1">
      <c r="B2246" s="99" t="s">
        <v>475</v>
      </c>
      <c r="C2246" s="109">
        <v>45744.554166666669</v>
      </c>
      <c r="D2246" s="98" t="s">
        <v>84</v>
      </c>
      <c r="E2246" s="103">
        <v>78100</v>
      </c>
      <c r="F2246" s="98" t="s">
        <v>240</v>
      </c>
      <c r="G2246" s="98" t="s">
        <v>374</v>
      </c>
      <c r="H2246" s="98" t="s">
        <v>516</v>
      </c>
      <c r="I2246" s="98" t="s">
        <v>272</v>
      </c>
    </row>
    <row r="2247" spans="2:9" s="98" customFormat="1">
      <c r="B2247" s="99" t="s">
        <v>475</v>
      </c>
      <c r="C2247" s="109">
        <v>45744.542361111111</v>
      </c>
      <c r="D2247" s="98" t="s">
        <v>169</v>
      </c>
      <c r="E2247" s="103">
        <v>-2875</v>
      </c>
      <c r="F2247" s="98" t="s">
        <v>239</v>
      </c>
      <c r="I2247" s="98" t="s">
        <v>253</v>
      </c>
    </row>
    <row r="2248" spans="2:9" s="98" customFormat="1">
      <c r="B2248" s="99" t="s">
        <v>475</v>
      </c>
      <c r="C2248" s="109">
        <v>45744.53402777778</v>
      </c>
      <c r="D2248" s="98" t="s">
        <v>106</v>
      </c>
      <c r="E2248" s="103">
        <v>10000</v>
      </c>
      <c r="F2248" s="98" t="s">
        <v>240</v>
      </c>
      <c r="G2248" s="98" t="s">
        <v>374</v>
      </c>
      <c r="H2248" s="98" t="s">
        <v>516</v>
      </c>
      <c r="I2248" s="98" t="s">
        <v>251</v>
      </c>
    </row>
    <row r="2249" spans="2:9" s="98" customFormat="1">
      <c r="B2249" s="99" t="s">
        <v>475</v>
      </c>
      <c r="C2249" s="109">
        <v>45744.531944444447</v>
      </c>
      <c r="D2249" s="98" t="s">
        <v>196</v>
      </c>
      <c r="E2249" s="103">
        <v>850</v>
      </c>
      <c r="F2249" s="98" t="s">
        <v>240</v>
      </c>
      <c r="G2249" s="98" t="s">
        <v>374</v>
      </c>
      <c r="H2249" s="98" t="s">
        <v>516</v>
      </c>
      <c r="I2249" s="98" t="s">
        <v>248</v>
      </c>
    </row>
    <row r="2250" spans="2:9" s="98" customFormat="1">
      <c r="B2250" s="99" t="s">
        <v>475</v>
      </c>
      <c r="C2250" s="109">
        <v>45744.504861111112</v>
      </c>
      <c r="D2250" s="98" t="s">
        <v>26</v>
      </c>
      <c r="E2250" s="103">
        <v>15260</v>
      </c>
      <c r="F2250" s="98" t="s">
        <v>240</v>
      </c>
      <c r="G2250" s="98" t="s">
        <v>374</v>
      </c>
      <c r="H2250" s="98" t="s">
        <v>516</v>
      </c>
      <c r="I2250" s="98" t="s">
        <v>248</v>
      </c>
    </row>
    <row r="2251" spans="2:9" s="98" customFormat="1">
      <c r="B2251" s="99" t="s">
        <v>475</v>
      </c>
      <c r="C2251" s="109">
        <v>45744.333333333336</v>
      </c>
      <c r="D2251" s="98" t="s">
        <v>30</v>
      </c>
      <c r="E2251" s="103">
        <v>4600</v>
      </c>
      <c r="F2251" s="98" t="s">
        <v>240</v>
      </c>
      <c r="G2251" s="98" t="s">
        <v>374</v>
      </c>
      <c r="H2251" s="98" t="s">
        <v>516</v>
      </c>
      <c r="I2251" s="98" t="s">
        <v>247</v>
      </c>
    </row>
    <row r="2252" spans="2:9" s="98" customFormat="1">
      <c r="B2252" s="99" t="s">
        <v>475</v>
      </c>
      <c r="C2252" s="109">
        <v>45744</v>
      </c>
      <c r="D2252" s="98" t="s">
        <v>329</v>
      </c>
      <c r="E2252" s="103">
        <v>5600</v>
      </c>
      <c r="F2252" s="98" t="s">
        <v>240</v>
      </c>
      <c r="G2252" s="98" t="s">
        <v>373</v>
      </c>
      <c r="H2252" s="98" t="s">
        <v>516</v>
      </c>
      <c r="I2252" s="98" t="s">
        <v>247</v>
      </c>
    </row>
    <row r="2253" spans="2:9" s="98" customFormat="1">
      <c r="B2253" s="99" t="s">
        <v>475</v>
      </c>
      <c r="C2253" s="109">
        <v>45744</v>
      </c>
      <c r="D2253" s="98" t="s">
        <v>368</v>
      </c>
      <c r="E2253" s="103">
        <v>10500</v>
      </c>
      <c r="F2253" s="98" t="s">
        <v>240</v>
      </c>
      <c r="G2253" s="98" t="s">
        <v>373</v>
      </c>
      <c r="H2253" s="98" t="s">
        <v>516</v>
      </c>
      <c r="I2253" s="98" t="s">
        <v>247</v>
      </c>
    </row>
    <row r="2254" spans="2:9" s="98" customFormat="1">
      <c r="B2254" s="99" t="s">
        <v>475</v>
      </c>
      <c r="C2254" s="109">
        <v>45744</v>
      </c>
      <c r="D2254" s="98" t="s">
        <v>369</v>
      </c>
      <c r="E2254" s="103">
        <v>63990</v>
      </c>
      <c r="F2254" s="98" t="s">
        <v>240</v>
      </c>
      <c r="G2254" s="98" t="s">
        <v>373</v>
      </c>
      <c r="H2254" s="98" t="s">
        <v>516</v>
      </c>
      <c r="I2254" s="98" t="s">
        <v>264</v>
      </c>
    </row>
    <row r="2255" spans="2:9" s="98" customFormat="1">
      <c r="B2255" s="99" t="s">
        <v>475</v>
      </c>
      <c r="C2255" s="109">
        <v>45744</v>
      </c>
      <c r="D2255" s="98" t="s">
        <v>369</v>
      </c>
      <c r="E2255" s="103">
        <v>359990</v>
      </c>
      <c r="F2255" s="98" t="s">
        <v>240</v>
      </c>
      <c r="G2255" s="98" t="s">
        <v>373</v>
      </c>
      <c r="H2255" s="98" t="s">
        <v>516</v>
      </c>
      <c r="I2255" s="98" t="s">
        <v>264</v>
      </c>
    </row>
    <row r="2256" spans="2:9" s="98" customFormat="1">
      <c r="B2256" s="99" t="s">
        <v>475</v>
      </c>
      <c r="C2256" s="109">
        <v>45744</v>
      </c>
      <c r="D2256" s="98" t="s">
        <v>367</v>
      </c>
      <c r="E2256" s="103">
        <v>8900</v>
      </c>
      <c r="F2256" s="98" t="s">
        <v>240</v>
      </c>
      <c r="G2256" s="98" t="s">
        <v>373</v>
      </c>
      <c r="H2256" s="98" t="s">
        <v>516</v>
      </c>
      <c r="I2256" s="98" t="s">
        <v>248</v>
      </c>
    </row>
    <row r="2257" spans="2:9" s="98" customFormat="1">
      <c r="B2257" s="99" t="s">
        <v>475</v>
      </c>
      <c r="C2257" s="109">
        <v>45744</v>
      </c>
      <c r="D2257" s="98" t="s">
        <v>366</v>
      </c>
      <c r="E2257" s="103">
        <v>11980</v>
      </c>
      <c r="F2257" s="98" t="s">
        <v>240</v>
      </c>
      <c r="G2257" s="98" t="s">
        <v>373</v>
      </c>
      <c r="H2257" s="98" t="s">
        <v>516</v>
      </c>
      <c r="I2257" s="98" t="s">
        <v>248</v>
      </c>
    </row>
    <row r="2258" spans="2:9" s="98" customFormat="1">
      <c r="B2258" s="99" t="s">
        <v>475</v>
      </c>
      <c r="C2258" s="109">
        <v>45743.932638888888</v>
      </c>
      <c r="D2258" s="98" t="s">
        <v>157</v>
      </c>
      <c r="E2258" s="103">
        <v>-2010173</v>
      </c>
      <c r="F2258" s="98" t="s">
        <v>239</v>
      </c>
      <c r="I2258" s="98" t="s">
        <v>246</v>
      </c>
    </row>
    <row r="2259" spans="2:9" s="98" customFormat="1">
      <c r="B2259" s="99" t="s">
        <v>476</v>
      </c>
      <c r="C2259" s="109">
        <v>45743.895833333336</v>
      </c>
      <c r="D2259" s="98" t="s">
        <v>104</v>
      </c>
      <c r="E2259" s="103">
        <v>4150</v>
      </c>
      <c r="F2259" s="98" t="s">
        <v>240</v>
      </c>
      <c r="G2259" s="98" t="s">
        <v>374</v>
      </c>
      <c r="H2259" s="98" t="s">
        <v>516</v>
      </c>
      <c r="I2259" s="98" t="s">
        <v>247</v>
      </c>
    </row>
    <row r="2260" spans="2:9" s="98" customFormat="1">
      <c r="B2260" s="99" t="s">
        <v>476</v>
      </c>
      <c r="C2260" s="109">
        <v>45743.769444444442</v>
      </c>
      <c r="D2260" s="98" t="s">
        <v>187</v>
      </c>
      <c r="E2260" s="103">
        <v>5000</v>
      </c>
      <c r="F2260" s="98" t="s">
        <v>240</v>
      </c>
      <c r="G2260" s="98" t="s">
        <v>374</v>
      </c>
      <c r="H2260" s="98" t="s">
        <v>516</v>
      </c>
      <c r="I2260" s="98" t="s">
        <v>247</v>
      </c>
    </row>
    <row r="2261" spans="2:9" s="98" customFormat="1">
      <c r="B2261" s="99" t="s">
        <v>476</v>
      </c>
      <c r="C2261" s="109">
        <v>45743.662499999999</v>
      </c>
      <c r="D2261" s="98" t="s">
        <v>197</v>
      </c>
      <c r="E2261" s="103">
        <v>6400</v>
      </c>
      <c r="F2261" s="98" t="s">
        <v>240</v>
      </c>
      <c r="G2261" s="98" t="s">
        <v>374</v>
      </c>
      <c r="H2261" s="98" t="s">
        <v>516</v>
      </c>
      <c r="I2261" s="98" t="s">
        <v>241</v>
      </c>
    </row>
    <row r="2262" spans="2:9" s="98" customFormat="1">
      <c r="B2262" s="99" t="s">
        <v>476</v>
      </c>
      <c r="C2262" s="109">
        <v>45743.555555555555</v>
      </c>
      <c r="D2262" s="98" t="s">
        <v>152</v>
      </c>
      <c r="E2262" s="103">
        <v>5480</v>
      </c>
      <c r="F2262" s="98" t="s">
        <v>240</v>
      </c>
      <c r="G2262" s="98" t="s">
        <v>374</v>
      </c>
      <c r="H2262" s="98" t="s">
        <v>516</v>
      </c>
      <c r="I2262" s="98" t="s">
        <v>242</v>
      </c>
    </row>
    <row r="2263" spans="2:9" s="98" customFormat="1">
      <c r="B2263" s="99" t="s">
        <v>476</v>
      </c>
      <c r="C2263" s="109">
        <v>45743.356249999997</v>
      </c>
      <c r="D2263" s="98" t="s">
        <v>155</v>
      </c>
      <c r="E2263" s="103">
        <v>3100</v>
      </c>
      <c r="F2263" s="98" t="s">
        <v>240</v>
      </c>
      <c r="G2263" s="98" t="s">
        <v>374</v>
      </c>
      <c r="H2263" s="98" t="s">
        <v>516</v>
      </c>
      <c r="I2263" s="98" t="s">
        <v>242</v>
      </c>
    </row>
    <row r="2264" spans="2:9" s="98" customFormat="1">
      <c r="B2264" s="99" t="s">
        <v>476</v>
      </c>
      <c r="C2264" s="109">
        <v>45743.309027777781</v>
      </c>
      <c r="D2264" s="98" t="s">
        <v>156</v>
      </c>
      <c r="E2264" s="103">
        <v>350</v>
      </c>
      <c r="F2264" s="98" t="s">
        <v>240</v>
      </c>
      <c r="G2264" s="98" t="s">
        <v>374</v>
      </c>
      <c r="H2264" s="98" t="s">
        <v>516</v>
      </c>
      <c r="I2264" s="98" t="s">
        <v>241</v>
      </c>
    </row>
    <row r="2265" spans="2:9" s="98" customFormat="1">
      <c r="B2265" s="99" t="s">
        <v>476</v>
      </c>
      <c r="C2265" s="109">
        <v>45742.90625</v>
      </c>
      <c r="D2265" s="98" t="s">
        <v>166</v>
      </c>
      <c r="E2265" s="103">
        <v>-63503</v>
      </c>
      <c r="F2265" s="98" t="s">
        <v>239</v>
      </c>
      <c r="I2265" s="98" t="s">
        <v>253</v>
      </c>
    </row>
    <row r="2266" spans="2:9" s="98" customFormat="1">
      <c r="B2266" s="99" t="s">
        <v>476</v>
      </c>
      <c r="C2266" s="109">
        <v>45742.870833333334</v>
      </c>
      <c r="D2266" s="98" t="s">
        <v>198</v>
      </c>
      <c r="E2266" s="103">
        <v>25000</v>
      </c>
      <c r="F2266" s="98" t="s">
        <v>240</v>
      </c>
      <c r="G2266" s="98" t="s">
        <v>374</v>
      </c>
      <c r="H2266" s="98" t="s">
        <v>516</v>
      </c>
      <c r="I2266" s="98" t="s">
        <v>270</v>
      </c>
    </row>
    <row r="2267" spans="2:9" s="98" customFormat="1">
      <c r="B2267" s="99" t="s">
        <v>476</v>
      </c>
      <c r="C2267" s="109">
        <v>45742.856944444444</v>
      </c>
      <c r="D2267" s="98" t="s">
        <v>23</v>
      </c>
      <c r="E2267" s="103">
        <v>19935</v>
      </c>
      <c r="F2267" s="98" t="s">
        <v>240</v>
      </c>
      <c r="G2267" s="98" t="s">
        <v>374</v>
      </c>
      <c r="H2267" s="98" t="s">
        <v>516</v>
      </c>
      <c r="I2267" s="98" t="s">
        <v>245</v>
      </c>
    </row>
    <row r="2268" spans="2:9" s="98" customFormat="1">
      <c r="B2268" s="99" t="s">
        <v>476</v>
      </c>
      <c r="C2268" s="109">
        <v>45742.838888888888</v>
      </c>
      <c r="D2268" s="98" t="s">
        <v>199</v>
      </c>
      <c r="E2268" s="103">
        <v>5249</v>
      </c>
      <c r="F2268" s="98" t="s">
        <v>240</v>
      </c>
      <c r="G2268" s="98" t="s">
        <v>374</v>
      </c>
      <c r="H2268" s="98" t="s">
        <v>516</v>
      </c>
      <c r="I2268" s="98" t="s">
        <v>244</v>
      </c>
    </row>
    <row r="2269" spans="2:9" s="98" customFormat="1">
      <c r="B2269" s="99" t="s">
        <v>476</v>
      </c>
      <c r="C2269" s="109">
        <v>45742.670138888891</v>
      </c>
      <c r="D2269" s="98" t="s">
        <v>161</v>
      </c>
      <c r="E2269" s="103">
        <v>2997</v>
      </c>
      <c r="F2269" s="98" t="s">
        <v>240</v>
      </c>
      <c r="G2269" s="98" t="s">
        <v>374</v>
      </c>
      <c r="H2269" s="98" t="s">
        <v>516</v>
      </c>
      <c r="I2269" s="98" t="s">
        <v>247</v>
      </c>
    </row>
    <row r="2270" spans="2:9" s="98" customFormat="1">
      <c r="B2270" s="99" t="s">
        <v>476</v>
      </c>
      <c r="C2270" s="109">
        <v>45742.59375</v>
      </c>
      <c r="D2270" s="98" t="s">
        <v>154</v>
      </c>
      <c r="E2270" s="103">
        <v>33059</v>
      </c>
      <c r="F2270" s="98" t="s">
        <v>240</v>
      </c>
      <c r="G2270" s="98" t="s">
        <v>374</v>
      </c>
      <c r="H2270" s="98" t="s">
        <v>516</v>
      </c>
      <c r="I2270" s="98" t="s">
        <v>245</v>
      </c>
    </row>
    <row r="2271" spans="2:9" s="98" customFormat="1">
      <c r="B2271" s="99" t="s">
        <v>476</v>
      </c>
      <c r="C2271" s="109">
        <v>45742.539583333331</v>
      </c>
      <c r="D2271" s="98" t="s">
        <v>200</v>
      </c>
      <c r="E2271" s="103">
        <v>4100</v>
      </c>
      <c r="F2271" s="98" t="s">
        <v>240</v>
      </c>
      <c r="G2271" s="98" t="s">
        <v>374</v>
      </c>
      <c r="H2271" s="98" t="s">
        <v>516</v>
      </c>
      <c r="I2271" s="98" t="s">
        <v>251</v>
      </c>
    </row>
    <row r="2272" spans="2:9" s="98" customFormat="1">
      <c r="B2272" s="99" t="s">
        <v>476</v>
      </c>
      <c r="C2272" s="109">
        <v>45742.396527777775</v>
      </c>
      <c r="D2272" s="98" t="s">
        <v>139</v>
      </c>
      <c r="E2272" s="103">
        <v>1900</v>
      </c>
      <c r="F2272" s="98" t="s">
        <v>240</v>
      </c>
      <c r="G2272" s="98" t="s">
        <v>374</v>
      </c>
      <c r="H2272" s="98" t="s">
        <v>516</v>
      </c>
      <c r="I2272" s="98" t="s">
        <v>242</v>
      </c>
    </row>
    <row r="2273" spans="2:9" s="98" customFormat="1">
      <c r="B2273" s="99" t="s">
        <v>476</v>
      </c>
      <c r="C2273" s="109">
        <v>45742.363888888889</v>
      </c>
      <c r="D2273" s="98" t="s">
        <v>86</v>
      </c>
      <c r="E2273" s="103">
        <v>10000</v>
      </c>
      <c r="F2273" s="98" t="s">
        <v>240</v>
      </c>
      <c r="G2273" s="98" t="s">
        <v>374</v>
      </c>
      <c r="H2273" s="98" t="s">
        <v>516</v>
      </c>
      <c r="I2273" s="98" t="s">
        <v>263</v>
      </c>
    </row>
    <row r="2274" spans="2:9" s="98" customFormat="1">
      <c r="B2274" s="99" t="s">
        <v>476</v>
      </c>
      <c r="C2274" s="109">
        <v>45742.306250000001</v>
      </c>
      <c r="D2274" s="98" t="s">
        <v>156</v>
      </c>
      <c r="E2274" s="103">
        <v>300</v>
      </c>
      <c r="F2274" s="98" t="s">
        <v>240</v>
      </c>
      <c r="G2274" s="98" t="s">
        <v>374</v>
      </c>
      <c r="H2274" s="98" t="s">
        <v>516</v>
      </c>
      <c r="I2274" s="98" t="s">
        <v>241</v>
      </c>
    </row>
    <row r="2275" spans="2:9" s="98" customFormat="1">
      <c r="B2275" s="99" t="s">
        <v>476</v>
      </c>
      <c r="C2275" s="109">
        <v>45742.006249999999</v>
      </c>
      <c r="D2275" s="98" t="s">
        <v>9</v>
      </c>
      <c r="E2275" s="103">
        <v>5000</v>
      </c>
      <c r="F2275" s="98" t="s">
        <v>240</v>
      </c>
      <c r="G2275" s="98" t="s">
        <v>374</v>
      </c>
      <c r="H2275" s="98" t="s">
        <v>516</v>
      </c>
      <c r="I2275" s="98" t="s">
        <v>242</v>
      </c>
    </row>
    <row r="2276" spans="2:9" s="98" customFormat="1">
      <c r="B2276" s="99" t="s">
        <v>476</v>
      </c>
      <c r="C2276" s="109">
        <v>45741.725694444445</v>
      </c>
      <c r="D2276" s="98" t="s">
        <v>94</v>
      </c>
      <c r="E2276" s="103">
        <v>7990</v>
      </c>
      <c r="F2276" s="98" t="s">
        <v>240</v>
      </c>
      <c r="G2276" s="98" t="s">
        <v>374</v>
      </c>
      <c r="H2276" s="98" t="s">
        <v>516</v>
      </c>
      <c r="I2276" s="98" t="s">
        <v>244</v>
      </c>
    </row>
    <row r="2277" spans="2:9" s="98" customFormat="1">
      <c r="B2277" s="99" t="s">
        <v>476</v>
      </c>
      <c r="C2277" s="109">
        <v>45741.659722222219</v>
      </c>
      <c r="D2277" s="98" t="s">
        <v>47</v>
      </c>
      <c r="E2277" s="103">
        <v>5850</v>
      </c>
      <c r="F2277" s="98" t="s">
        <v>240</v>
      </c>
      <c r="G2277" s="98" t="s">
        <v>374</v>
      </c>
      <c r="H2277" s="98" t="s">
        <v>513</v>
      </c>
      <c r="I2277" s="98" t="s">
        <v>268</v>
      </c>
    </row>
    <row r="2278" spans="2:9" s="98" customFormat="1">
      <c r="B2278" s="99" t="s">
        <v>476</v>
      </c>
      <c r="C2278" s="109">
        <v>45741.574999999997</v>
      </c>
      <c r="D2278" s="98" t="s">
        <v>152</v>
      </c>
      <c r="E2278" s="103">
        <v>6480</v>
      </c>
      <c r="F2278" s="98" t="s">
        <v>240</v>
      </c>
      <c r="G2278" s="98" t="s">
        <v>374</v>
      </c>
      <c r="H2278" s="98" t="s">
        <v>516</v>
      </c>
      <c r="I2278" s="98" t="s">
        <v>242</v>
      </c>
    </row>
    <row r="2279" spans="2:9" s="98" customFormat="1">
      <c r="B2279" s="99" t="s">
        <v>476</v>
      </c>
      <c r="C2279" s="109">
        <v>45741.370833333334</v>
      </c>
      <c r="D2279" s="98" t="s">
        <v>9</v>
      </c>
      <c r="E2279" s="103">
        <v>20000</v>
      </c>
      <c r="F2279" s="98" t="s">
        <v>240</v>
      </c>
      <c r="G2279" s="98" t="s">
        <v>374</v>
      </c>
      <c r="H2279" s="98" t="s">
        <v>516</v>
      </c>
      <c r="I2279" s="98" t="s">
        <v>270</v>
      </c>
    </row>
    <row r="2280" spans="2:9" s="98" customFormat="1">
      <c r="B2280" s="99" t="s">
        <v>476</v>
      </c>
      <c r="C2280" s="109">
        <v>45741.368750000001</v>
      </c>
      <c r="D2280" s="98" t="s">
        <v>201</v>
      </c>
      <c r="E2280" s="103">
        <v>2990</v>
      </c>
      <c r="F2280" s="98" t="s">
        <v>240</v>
      </c>
      <c r="G2280" s="98" t="s">
        <v>374</v>
      </c>
      <c r="H2280" s="98" t="s">
        <v>516</v>
      </c>
      <c r="I2280" s="98" t="s">
        <v>247</v>
      </c>
    </row>
    <row r="2281" spans="2:9" s="98" customFormat="1">
      <c r="B2281" s="99" t="s">
        <v>476</v>
      </c>
      <c r="C2281" s="109">
        <v>45740.916666666664</v>
      </c>
      <c r="D2281" s="98" t="s">
        <v>202</v>
      </c>
      <c r="E2281" s="103">
        <v>5500</v>
      </c>
      <c r="F2281" s="98" t="s">
        <v>240</v>
      </c>
      <c r="G2281" s="98" t="s">
        <v>374</v>
      </c>
      <c r="H2281" s="98" t="s">
        <v>516</v>
      </c>
      <c r="I2281" s="98" t="s">
        <v>247</v>
      </c>
    </row>
    <row r="2282" spans="2:9" s="98" customFormat="1">
      <c r="B2282" s="99" t="s">
        <v>476</v>
      </c>
      <c r="C2282" s="109">
        <v>45740.524305555555</v>
      </c>
      <c r="D2282" s="98" t="s">
        <v>134</v>
      </c>
      <c r="E2282" s="103">
        <v>20000</v>
      </c>
      <c r="F2282" s="98" t="s">
        <v>240</v>
      </c>
      <c r="G2282" s="98" t="s">
        <v>374</v>
      </c>
      <c r="H2282" s="98" t="s">
        <v>516</v>
      </c>
      <c r="I2282" s="98" t="s">
        <v>273</v>
      </c>
    </row>
    <row r="2283" spans="2:9" s="98" customFormat="1">
      <c r="B2283" s="99" t="s">
        <v>476</v>
      </c>
      <c r="C2283" s="109">
        <v>45740.48541666667</v>
      </c>
      <c r="D2283" s="98" t="s">
        <v>115</v>
      </c>
      <c r="E2283" s="103">
        <v>17740</v>
      </c>
      <c r="F2283" s="98" t="s">
        <v>240</v>
      </c>
      <c r="G2283" s="98" t="s">
        <v>374</v>
      </c>
      <c r="H2283" s="98" t="s">
        <v>516</v>
      </c>
      <c r="I2283" s="98" t="s">
        <v>245</v>
      </c>
    </row>
    <row r="2284" spans="2:9" s="98" customFormat="1">
      <c r="B2284" s="99" t="s">
        <v>476</v>
      </c>
      <c r="C2284" s="109">
        <v>45739.811111111114</v>
      </c>
      <c r="D2284" s="98" t="s">
        <v>7</v>
      </c>
      <c r="E2284" s="103">
        <v>3990</v>
      </c>
      <c r="F2284" s="98" t="s">
        <v>240</v>
      </c>
      <c r="G2284" s="98" t="s">
        <v>374</v>
      </c>
      <c r="H2284" s="98" t="s">
        <v>516</v>
      </c>
      <c r="I2284" s="98" t="s">
        <v>244</v>
      </c>
    </row>
    <row r="2285" spans="2:9" s="98" customFormat="1">
      <c r="B2285" s="99" t="s">
        <v>476</v>
      </c>
      <c r="C2285" s="109">
        <v>45739.55972222222</v>
      </c>
      <c r="D2285" s="98" t="s">
        <v>96</v>
      </c>
      <c r="E2285" s="103">
        <v>450</v>
      </c>
      <c r="F2285" s="98" t="s">
        <v>240</v>
      </c>
      <c r="G2285" s="98" t="s">
        <v>374</v>
      </c>
      <c r="H2285" s="98" t="s">
        <v>516</v>
      </c>
      <c r="I2285" s="98" t="s">
        <v>242</v>
      </c>
    </row>
    <row r="2286" spans="2:9" s="98" customFormat="1">
      <c r="B2286" s="99" t="s">
        <v>476</v>
      </c>
      <c r="C2286" s="109">
        <v>45739.554861111108</v>
      </c>
      <c r="D2286" s="98" t="s">
        <v>98</v>
      </c>
      <c r="E2286" s="103">
        <v>16497</v>
      </c>
      <c r="F2286" s="98" t="s">
        <v>240</v>
      </c>
      <c r="G2286" s="98" t="s">
        <v>374</v>
      </c>
      <c r="H2286" s="98" t="s">
        <v>516</v>
      </c>
      <c r="I2286" s="98" t="s">
        <v>244</v>
      </c>
    </row>
    <row r="2287" spans="2:9" s="98" customFormat="1">
      <c r="B2287" s="99" t="s">
        <v>476</v>
      </c>
      <c r="C2287" s="109">
        <v>45738.72152777778</v>
      </c>
      <c r="D2287" s="98" t="s">
        <v>203</v>
      </c>
      <c r="E2287" s="103">
        <v>2150</v>
      </c>
      <c r="F2287" s="98" t="s">
        <v>240</v>
      </c>
      <c r="G2287" s="98" t="s">
        <v>374</v>
      </c>
      <c r="H2287" s="98" t="s">
        <v>516</v>
      </c>
      <c r="I2287" s="98" t="s">
        <v>269</v>
      </c>
    </row>
    <row r="2288" spans="2:9" s="98" customFormat="1">
      <c r="B2288" s="99" t="s">
        <v>476</v>
      </c>
      <c r="C2288" s="109">
        <v>45738.715277777781</v>
      </c>
      <c r="D2288" s="98" t="s">
        <v>9</v>
      </c>
      <c r="E2288" s="103">
        <v>9610</v>
      </c>
      <c r="F2288" s="98" t="s">
        <v>240</v>
      </c>
      <c r="G2288" s="98" t="s">
        <v>374</v>
      </c>
      <c r="H2288" s="98" t="s">
        <v>516</v>
      </c>
      <c r="I2288" s="98" t="s">
        <v>242</v>
      </c>
    </row>
    <row r="2289" spans="2:9" s="98" customFormat="1">
      <c r="B2289" s="99" t="s">
        <v>476</v>
      </c>
      <c r="C2289" s="109">
        <v>45738.439583333333</v>
      </c>
      <c r="D2289" s="98" t="s">
        <v>40</v>
      </c>
      <c r="E2289" s="103">
        <v>30000</v>
      </c>
      <c r="F2289" s="98" t="s">
        <v>240</v>
      </c>
      <c r="G2289" s="98" t="s">
        <v>374</v>
      </c>
      <c r="H2289" s="98" t="s">
        <v>516</v>
      </c>
      <c r="I2289" s="98" t="s">
        <v>263</v>
      </c>
    </row>
    <row r="2290" spans="2:9" s="98" customFormat="1">
      <c r="B2290" s="99" t="s">
        <v>476</v>
      </c>
      <c r="C2290" s="109">
        <v>45738.395138888889</v>
      </c>
      <c r="D2290" s="98" t="s">
        <v>134</v>
      </c>
      <c r="E2290" s="103">
        <v>30000</v>
      </c>
      <c r="F2290" s="98" t="s">
        <v>240</v>
      </c>
      <c r="G2290" s="98" t="s">
        <v>374</v>
      </c>
      <c r="H2290" s="98" t="s">
        <v>516</v>
      </c>
      <c r="I2290" s="98" t="s">
        <v>273</v>
      </c>
    </row>
    <row r="2291" spans="2:9" s="98" customFormat="1">
      <c r="B2291" s="99" t="s">
        <v>476</v>
      </c>
      <c r="C2291" s="109">
        <v>45737.916666666664</v>
      </c>
      <c r="D2291" s="98" t="s">
        <v>279</v>
      </c>
      <c r="E2291" s="103">
        <v>51613</v>
      </c>
      <c r="F2291" s="98" t="s">
        <v>240</v>
      </c>
      <c r="G2291" s="98" t="s">
        <v>374</v>
      </c>
      <c r="H2291" s="98" t="s">
        <v>516</v>
      </c>
      <c r="I2291" s="98" t="s">
        <v>245</v>
      </c>
    </row>
    <row r="2292" spans="2:9" s="98" customFormat="1">
      <c r="B2292" s="99" t="s">
        <v>476</v>
      </c>
      <c r="C2292" s="109">
        <v>45737.845833333333</v>
      </c>
      <c r="D2292" s="98" t="s">
        <v>204</v>
      </c>
      <c r="E2292" s="103">
        <v>14400</v>
      </c>
      <c r="F2292" s="98" t="s">
        <v>240</v>
      </c>
      <c r="G2292" s="98" t="s">
        <v>374</v>
      </c>
      <c r="H2292" s="98" t="s">
        <v>516</v>
      </c>
      <c r="I2292" s="98" t="s">
        <v>248</v>
      </c>
    </row>
    <row r="2293" spans="2:9" s="98" customFormat="1">
      <c r="B2293" s="99" t="s">
        <v>476</v>
      </c>
      <c r="C2293" s="109">
        <v>45737.831250000003</v>
      </c>
      <c r="D2293" s="98" t="s">
        <v>96</v>
      </c>
      <c r="E2293" s="103">
        <v>3250</v>
      </c>
      <c r="F2293" s="98" t="s">
        <v>240</v>
      </c>
      <c r="G2293" s="98" t="s">
        <v>374</v>
      </c>
      <c r="H2293" s="98" t="s">
        <v>516</v>
      </c>
      <c r="I2293" s="98" t="s">
        <v>242</v>
      </c>
    </row>
    <row r="2294" spans="2:9" s="98" customFormat="1">
      <c r="B2294" s="99" t="s">
        <v>476</v>
      </c>
      <c r="C2294" s="109">
        <v>45737.82916666667</v>
      </c>
      <c r="D2294" s="98" t="s">
        <v>59</v>
      </c>
      <c r="E2294" s="103">
        <v>-9600</v>
      </c>
      <c r="F2294" s="98" t="s">
        <v>239</v>
      </c>
      <c r="I2294" s="98" t="s">
        <v>253</v>
      </c>
    </row>
    <row r="2295" spans="2:9" s="98" customFormat="1">
      <c r="B2295" s="99" t="s">
        <v>476</v>
      </c>
      <c r="C2295" s="109">
        <v>45737.824999999997</v>
      </c>
      <c r="D2295" s="98" t="s">
        <v>28</v>
      </c>
      <c r="E2295" s="103">
        <v>21160</v>
      </c>
      <c r="F2295" s="98" t="s">
        <v>240</v>
      </c>
      <c r="G2295" s="98" t="s">
        <v>374</v>
      </c>
      <c r="H2295" s="98" t="s">
        <v>516</v>
      </c>
      <c r="I2295" s="98" t="s">
        <v>245</v>
      </c>
    </row>
    <row r="2296" spans="2:9" s="98" customFormat="1">
      <c r="B2296" s="99" t="s">
        <v>476</v>
      </c>
      <c r="C2296" s="109">
        <v>45737.8125</v>
      </c>
      <c r="D2296" s="98" t="s">
        <v>205</v>
      </c>
      <c r="E2296" s="103">
        <v>28456</v>
      </c>
      <c r="F2296" s="98" t="s">
        <v>240</v>
      </c>
      <c r="G2296" s="98" t="s">
        <v>374</v>
      </c>
      <c r="H2296" s="98" t="s">
        <v>516</v>
      </c>
      <c r="I2296" s="98" t="s">
        <v>248</v>
      </c>
    </row>
    <row r="2297" spans="2:9" s="98" customFormat="1">
      <c r="B2297" s="99" t="s">
        <v>476</v>
      </c>
      <c r="C2297" s="109">
        <v>45737.79583333333</v>
      </c>
      <c r="D2297" s="98" t="s">
        <v>97</v>
      </c>
      <c r="E2297" s="103">
        <v>34971</v>
      </c>
      <c r="F2297" s="98" t="s">
        <v>240</v>
      </c>
      <c r="G2297" s="98" t="s">
        <v>374</v>
      </c>
      <c r="H2297" s="98" t="s">
        <v>516</v>
      </c>
      <c r="I2297" s="98" t="s">
        <v>243</v>
      </c>
    </row>
    <row r="2298" spans="2:9" s="98" customFormat="1">
      <c r="B2298" s="99" t="s">
        <v>476</v>
      </c>
      <c r="C2298" s="109">
        <v>45737.65902777778</v>
      </c>
      <c r="D2298" s="98" t="s">
        <v>59</v>
      </c>
      <c r="E2298" s="103">
        <v>-2176</v>
      </c>
      <c r="F2298" s="98" t="s">
        <v>239</v>
      </c>
      <c r="I2298" s="98" t="s">
        <v>253</v>
      </c>
    </row>
    <row r="2299" spans="2:9" s="98" customFormat="1">
      <c r="B2299" s="99" t="s">
        <v>476</v>
      </c>
      <c r="C2299" s="109">
        <v>45737.656944444447</v>
      </c>
      <c r="D2299" s="98" t="s">
        <v>149</v>
      </c>
      <c r="E2299" s="103">
        <v>11500</v>
      </c>
      <c r="F2299" s="98" t="s">
        <v>240</v>
      </c>
      <c r="G2299" s="98" t="s">
        <v>374</v>
      </c>
      <c r="H2299" s="98" t="s">
        <v>516</v>
      </c>
      <c r="I2299" s="98" t="s">
        <v>268</v>
      </c>
    </row>
    <row r="2300" spans="2:9" s="98" customFormat="1">
      <c r="B2300" s="99" t="s">
        <v>476</v>
      </c>
      <c r="C2300" s="109">
        <v>45737.558333333334</v>
      </c>
      <c r="D2300" s="98" t="s">
        <v>30</v>
      </c>
      <c r="E2300" s="103">
        <v>3350</v>
      </c>
      <c r="F2300" s="98" t="s">
        <v>240</v>
      </c>
      <c r="G2300" s="98" t="s">
        <v>374</v>
      </c>
      <c r="H2300" s="98" t="s">
        <v>516</v>
      </c>
      <c r="I2300" s="98" t="s">
        <v>247</v>
      </c>
    </row>
    <row r="2301" spans="2:9" s="98" customFormat="1">
      <c r="B2301" s="99" t="s">
        <v>476</v>
      </c>
      <c r="C2301" s="109">
        <v>45737.494444444441</v>
      </c>
      <c r="D2301" s="98" t="s">
        <v>22</v>
      </c>
      <c r="E2301" s="103">
        <v>35000</v>
      </c>
      <c r="F2301" s="98" t="s">
        <v>240</v>
      </c>
      <c r="G2301" s="98" t="s">
        <v>374</v>
      </c>
      <c r="H2301" s="98" t="s">
        <v>513</v>
      </c>
      <c r="I2301" s="98" t="s">
        <v>271</v>
      </c>
    </row>
    <row r="2302" spans="2:9" s="98" customFormat="1">
      <c r="B2302" s="99" t="s">
        <v>476</v>
      </c>
      <c r="C2302" s="109">
        <v>45737.488194444442</v>
      </c>
      <c r="D2302" s="98" t="s">
        <v>137</v>
      </c>
      <c r="E2302" s="103">
        <v>-500000</v>
      </c>
      <c r="F2302" s="98" t="s">
        <v>239</v>
      </c>
      <c r="I2302" s="98" t="s">
        <v>253</v>
      </c>
    </row>
    <row r="2303" spans="2:9" s="98" customFormat="1">
      <c r="B2303" s="99" t="s">
        <v>476</v>
      </c>
      <c r="C2303" s="109">
        <v>45737.381249999999</v>
      </c>
      <c r="D2303" s="98" t="s">
        <v>49</v>
      </c>
      <c r="E2303" s="103">
        <v>24069</v>
      </c>
      <c r="F2303" s="98" t="s">
        <v>240</v>
      </c>
      <c r="G2303" s="98" t="s">
        <v>374</v>
      </c>
      <c r="H2303" s="98" t="s">
        <v>516</v>
      </c>
      <c r="I2303" s="98" t="s">
        <v>245</v>
      </c>
    </row>
    <row r="2304" spans="2:9" s="98" customFormat="1">
      <c r="B2304" s="99" t="s">
        <v>476</v>
      </c>
      <c r="C2304" s="109">
        <v>45736.972222222219</v>
      </c>
      <c r="D2304" s="98" t="s">
        <v>104</v>
      </c>
      <c r="E2304" s="103">
        <v>2750</v>
      </c>
      <c r="F2304" s="98" t="s">
        <v>240</v>
      </c>
      <c r="G2304" s="98" t="s">
        <v>374</v>
      </c>
      <c r="H2304" s="98" t="s">
        <v>516</v>
      </c>
      <c r="I2304" s="98" t="s">
        <v>247</v>
      </c>
    </row>
    <row r="2305" spans="2:9" s="98" customFormat="1">
      <c r="B2305" s="99" t="s">
        <v>476</v>
      </c>
      <c r="C2305" s="109">
        <v>45736.953472222223</v>
      </c>
      <c r="D2305" s="98" t="s">
        <v>59</v>
      </c>
      <c r="E2305" s="103">
        <v>-55424</v>
      </c>
      <c r="F2305" s="98" t="s">
        <v>239</v>
      </c>
      <c r="I2305" s="98" t="s">
        <v>253</v>
      </c>
    </row>
    <row r="2306" spans="2:9" s="98" customFormat="1">
      <c r="B2306" s="99" t="s">
        <v>476</v>
      </c>
      <c r="C2306" s="109">
        <v>45736.802083333336</v>
      </c>
      <c r="D2306" s="98" t="s">
        <v>56</v>
      </c>
      <c r="E2306" s="103">
        <v>7270</v>
      </c>
      <c r="F2306" s="98" t="s">
        <v>240</v>
      </c>
      <c r="G2306" s="98" t="s">
        <v>374</v>
      </c>
      <c r="H2306" s="98" t="s">
        <v>516</v>
      </c>
      <c r="I2306" s="98" t="s">
        <v>247</v>
      </c>
    </row>
    <row r="2307" spans="2:9" s="98" customFormat="1">
      <c r="B2307" s="99" t="s">
        <v>476</v>
      </c>
      <c r="C2307" s="109">
        <v>45736.71597222222</v>
      </c>
      <c r="D2307" s="98" t="s">
        <v>187</v>
      </c>
      <c r="E2307" s="103">
        <v>7180</v>
      </c>
      <c r="F2307" s="98" t="s">
        <v>240</v>
      </c>
      <c r="G2307" s="98" t="s">
        <v>374</v>
      </c>
      <c r="H2307" s="98" t="s">
        <v>516</v>
      </c>
      <c r="I2307" s="98" t="s">
        <v>247</v>
      </c>
    </row>
    <row r="2308" spans="2:9" s="98" customFormat="1">
      <c r="B2308" s="99" t="s">
        <v>476</v>
      </c>
      <c r="C2308" s="109">
        <v>45736.55</v>
      </c>
      <c r="D2308" s="98" t="s">
        <v>134</v>
      </c>
      <c r="E2308" s="103">
        <v>10000</v>
      </c>
      <c r="F2308" s="98" t="s">
        <v>240</v>
      </c>
      <c r="G2308" s="98" t="s">
        <v>374</v>
      </c>
      <c r="H2308" s="98" t="s">
        <v>516</v>
      </c>
      <c r="I2308" s="98" t="s">
        <v>273</v>
      </c>
    </row>
    <row r="2309" spans="2:9" s="98" customFormat="1">
      <c r="B2309" s="99" t="s">
        <v>476</v>
      </c>
      <c r="C2309" s="109">
        <v>45736.35</v>
      </c>
      <c r="D2309" s="98" t="s">
        <v>155</v>
      </c>
      <c r="E2309" s="103">
        <v>3100</v>
      </c>
      <c r="F2309" s="98" t="s">
        <v>240</v>
      </c>
      <c r="G2309" s="98" t="s">
        <v>374</v>
      </c>
      <c r="H2309" s="98" t="s">
        <v>516</v>
      </c>
      <c r="I2309" s="98" t="s">
        <v>242</v>
      </c>
    </row>
    <row r="2310" spans="2:9" s="98" customFormat="1">
      <c r="B2310" s="99" t="s">
        <v>476</v>
      </c>
      <c r="C2310" s="109">
        <v>45736.348611111112</v>
      </c>
      <c r="D2310" s="98" t="s">
        <v>51</v>
      </c>
      <c r="E2310" s="103">
        <v>20000</v>
      </c>
      <c r="F2310" s="98" t="s">
        <v>240</v>
      </c>
      <c r="G2310" s="98" t="s">
        <v>374</v>
      </c>
      <c r="H2310" s="98" t="s">
        <v>516</v>
      </c>
      <c r="I2310" s="98" t="s">
        <v>270</v>
      </c>
    </row>
    <row r="2311" spans="2:9" s="98" customFormat="1">
      <c r="B2311" s="99" t="s">
        <v>476</v>
      </c>
      <c r="C2311" s="109">
        <v>45735.975694444445</v>
      </c>
      <c r="D2311" s="98" t="s">
        <v>59</v>
      </c>
      <c r="E2311" s="103">
        <v>-21183</v>
      </c>
      <c r="F2311" s="98" t="s">
        <v>239</v>
      </c>
      <c r="I2311" s="98" t="s">
        <v>253</v>
      </c>
    </row>
    <row r="2312" spans="2:9" s="98" customFormat="1">
      <c r="B2312" s="99" t="s">
        <v>476</v>
      </c>
      <c r="C2312" s="109">
        <v>45735.541666666664</v>
      </c>
      <c r="D2312" s="98" t="s">
        <v>162</v>
      </c>
      <c r="E2312" s="103">
        <v>890</v>
      </c>
      <c r="F2312" s="98" t="s">
        <v>240</v>
      </c>
      <c r="G2312" s="98" t="s">
        <v>374</v>
      </c>
      <c r="H2312" s="98" t="s">
        <v>516</v>
      </c>
      <c r="I2312" s="98" t="s">
        <v>242</v>
      </c>
    </row>
    <row r="2313" spans="2:9" s="98" customFormat="1">
      <c r="B2313" s="99" t="s">
        <v>476</v>
      </c>
      <c r="C2313" s="109">
        <v>45735.306944444441</v>
      </c>
      <c r="D2313" s="98" t="s">
        <v>156</v>
      </c>
      <c r="E2313" s="103">
        <v>300</v>
      </c>
      <c r="F2313" s="98" t="s">
        <v>240</v>
      </c>
      <c r="G2313" s="98" t="s">
        <v>374</v>
      </c>
      <c r="H2313" s="98" t="s">
        <v>516</v>
      </c>
      <c r="I2313" s="98" t="s">
        <v>241</v>
      </c>
    </row>
    <row r="2314" spans="2:9" s="98" customFormat="1">
      <c r="B2314" s="99" t="s">
        <v>476</v>
      </c>
      <c r="C2314" s="109">
        <v>45734.895138888889</v>
      </c>
      <c r="D2314" s="98" t="s">
        <v>96</v>
      </c>
      <c r="E2314" s="103">
        <v>250</v>
      </c>
      <c r="F2314" s="98" t="s">
        <v>240</v>
      </c>
      <c r="G2314" s="98" t="s">
        <v>374</v>
      </c>
      <c r="H2314" s="98" t="s">
        <v>516</v>
      </c>
      <c r="I2314" s="98" t="s">
        <v>242</v>
      </c>
    </row>
    <row r="2315" spans="2:9" s="98" customFormat="1">
      <c r="B2315" s="99" t="s">
        <v>476</v>
      </c>
      <c r="C2315" s="109">
        <v>45734.781944444447</v>
      </c>
      <c r="D2315" s="98" t="s">
        <v>151</v>
      </c>
      <c r="E2315" s="103">
        <v>2724</v>
      </c>
      <c r="F2315" s="98" t="s">
        <v>240</v>
      </c>
      <c r="G2315" s="98" t="s">
        <v>374</v>
      </c>
      <c r="H2315" s="98" t="s">
        <v>516</v>
      </c>
      <c r="I2315" s="98" t="s">
        <v>247</v>
      </c>
    </row>
    <row r="2316" spans="2:9" s="98" customFormat="1">
      <c r="B2316" s="99" t="s">
        <v>476</v>
      </c>
      <c r="C2316" s="109">
        <v>45734.767361111109</v>
      </c>
      <c r="D2316" s="98" t="s">
        <v>138</v>
      </c>
      <c r="E2316" s="103">
        <v>5000</v>
      </c>
      <c r="F2316" s="98" t="s">
        <v>240</v>
      </c>
      <c r="G2316" s="98" t="s">
        <v>374</v>
      </c>
      <c r="H2316" s="98" t="s">
        <v>516</v>
      </c>
      <c r="I2316" s="98" t="s">
        <v>263</v>
      </c>
    </row>
    <row r="2317" spans="2:9" s="98" customFormat="1">
      <c r="B2317" s="99" t="s">
        <v>476</v>
      </c>
      <c r="C2317" s="109">
        <v>45734.76666666667</v>
      </c>
      <c r="D2317" s="98" t="s">
        <v>160</v>
      </c>
      <c r="E2317" s="103">
        <v>1000</v>
      </c>
      <c r="F2317" s="98" t="s">
        <v>240</v>
      </c>
      <c r="G2317" s="98" t="s">
        <v>374</v>
      </c>
      <c r="H2317" s="98" t="s">
        <v>516</v>
      </c>
      <c r="I2317" s="98" t="s">
        <v>242</v>
      </c>
    </row>
    <row r="2318" spans="2:9" s="98" customFormat="1">
      <c r="B2318" s="99" t="s">
        <v>476</v>
      </c>
      <c r="C2318" s="109">
        <v>45734.548611111109</v>
      </c>
      <c r="D2318" s="98" t="s">
        <v>162</v>
      </c>
      <c r="E2318" s="103">
        <v>890</v>
      </c>
      <c r="F2318" s="98" t="s">
        <v>240</v>
      </c>
      <c r="G2318" s="98" t="s">
        <v>374</v>
      </c>
      <c r="H2318" s="98" t="s">
        <v>516</v>
      </c>
      <c r="I2318" s="98" t="s">
        <v>242</v>
      </c>
    </row>
    <row r="2319" spans="2:9" s="98" customFormat="1">
      <c r="B2319" s="99" t="s">
        <v>476</v>
      </c>
      <c r="C2319" s="109">
        <v>45733.495833333334</v>
      </c>
      <c r="D2319" s="98" t="s">
        <v>115</v>
      </c>
      <c r="E2319" s="103">
        <v>15850</v>
      </c>
      <c r="F2319" s="98" t="s">
        <v>240</v>
      </c>
      <c r="G2319" s="98" t="s">
        <v>374</v>
      </c>
      <c r="H2319" s="98" t="s">
        <v>516</v>
      </c>
      <c r="I2319" s="98" t="s">
        <v>245</v>
      </c>
    </row>
    <row r="2320" spans="2:9" s="98" customFormat="1">
      <c r="B2320" s="99" t="s">
        <v>476</v>
      </c>
      <c r="C2320" s="109">
        <v>45733.427083333336</v>
      </c>
      <c r="D2320" s="98" t="s">
        <v>75</v>
      </c>
      <c r="E2320" s="103">
        <v>2358</v>
      </c>
      <c r="F2320" s="98" t="s">
        <v>240</v>
      </c>
      <c r="G2320" s="98" t="s">
        <v>374</v>
      </c>
      <c r="H2320" s="98" t="s">
        <v>516</v>
      </c>
      <c r="I2320" s="98" t="s">
        <v>242</v>
      </c>
    </row>
    <row r="2321" spans="2:9" s="98" customFormat="1">
      <c r="B2321" s="99" t="s">
        <v>476</v>
      </c>
      <c r="C2321" s="109">
        <v>45733.332638888889</v>
      </c>
      <c r="D2321" s="98" t="s">
        <v>30</v>
      </c>
      <c r="E2321" s="103">
        <v>2500</v>
      </c>
      <c r="F2321" s="98" t="s">
        <v>240</v>
      </c>
      <c r="G2321" s="98" t="s">
        <v>374</v>
      </c>
      <c r="H2321" s="98" t="s">
        <v>516</v>
      </c>
      <c r="I2321" s="98" t="s">
        <v>247</v>
      </c>
    </row>
    <row r="2322" spans="2:9" s="98" customFormat="1">
      <c r="B2322" s="99" t="s">
        <v>476</v>
      </c>
      <c r="C2322" s="109">
        <v>45732.827777777777</v>
      </c>
      <c r="D2322" s="98" t="s">
        <v>49</v>
      </c>
      <c r="E2322" s="103">
        <v>16840</v>
      </c>
      <c r="F2322" s="98" t="s">
        <v>240</v>
      </c>
      <c r="G2322" s="98" t="s">
        <v>374</v>
      </c>
      <c r="H2322" s="98" t="s">
        <v>516</v>
      </c>
      <c r="I2322" s="98" t="s">
        <v>245</v>
      </c>
    </row>
    <row r="2323" spans="2:9" s="98" customFormat="1">
      <c r="B2323" s="99" t="s">
        <v>476</v>
      </c>
      <c r="C2323" s="109">
        <v>45732.809027777781</v>
      </c>
      <c r="D2323" s="98" t="s">
        <v>9</v>
      </c>
      <c r="E2323" s="103">
        <v>9532</v>
      </c>
      <c r="F2323" s="98" t="s">
        <v>240</v>
      </c>
      <c r="G2323" s="98" t="s">
        <v>374</v>
      </c>
      <c r="H2323" s="98" t="s">
        <v>516</v>
      </c>
      <c r="I2323" s="98" t="s">
        <v>242</v>
      </c>
    </row>
    <row r="2324" spans="2:9" s="98" customFormat="1">
      <c r="B2324" s="99" t="s">
        <v>476</v>
      </c>
      <c r="C2324" s="109">
        <v>45732.640277777777</v>
      </c>
      <c r="D2324" s="98" t="s">
        <v>206</v>
      </c>
      <c r="E2324" s="103">
        <v>6000</v>
      </c>
      <c r="F2324" s="98" t="s">
        <v>240</v>
      </c>
      <c r="G2324" s="98" t="s">
        <v>374</v>
      </c>
      <c r="H2324" s="98" t="s">
        <v>516</v>
      </c>
      <c r="I2324" s="98" t="s">
        <v>248</v>
      </c>
    </row>
    <row r="2325" spans="2:9" s="98" customFormat="1">
      <c r="B2325" s="99" t="s">
        <v>476</v>
      </c>
      <c r="C2325" s="109">
        <v>45732.618750000001</v>
      </c>
      <c r="D2325" s="98" t="s">
        <v>206</v>
      </c>
      <c r="E2325" s="103">
        <v>17200</v>
      </c>
      <c r="F2325" s="98" t="s">
        <v>240</v>
      </c>
      <c r="G2325" s="98" t="s">
        <v>374</v>
      </c>
      <c r="H2325" s="98" t="s">
        <v>516</v>
      </c>
      <c r="I2325" s="98" t="s">
        <v>248</v>
      </c>
    </row>
    <row r="2326" spans="2:9" s="98" customFormat="1">
      <c r="B2326" s="99" t="s">
        <v>476</v>
      </c>
      <c r="C2326" s="109">
        <v>45732.581944444442</v>
      </c>
      <c r="D2326" s="98" t="s">
        <v>115</v>
      </c>
      <c r="E2326" s="103">
        <v>7950</v>
      </c>
      <c r="F2326" s="98" t="s">
        <v>240</v>
      </c>
      <c r="G2326" s="98" t="s">
        <v>374</v>
      </c>
      <c r="H2326" s="98" t="s">
        <v>516</v>
      </c>
      <c r="I2326" s="98" t="s">
        <v>245</v>
      </c>
    </row>
    <row r="2327" spans="2:9" s="98" customFormat="1">
      <c r="B2327" s="99" t="s">
        <v>476</v>
      </c>
      <c r="C2327" s="109">
        <v>45732.397916666669</v>
      </c>
      <c r="D2327" s="98" t="s">
        <v>47</v>
      </c>
      <c r="E2327" s="103">
        <v>1400</v>
      </c>
      <c r="F2327" s="98" t="s">
        <v>240</v>
      </c>
      <c r="G2327" s="98" t="s">
        <v>374</v>
      </c>
      <c r="H2327" s="98" t="s">
        <v>516</v>
      </c>
      <c r="I2327" s="98" t="s">
        <v>268</v>
      </c>
    </row>
    <row r="2328" spans="2:9" s="98" customFormat="1">
      <c r="B2328" s="99" t="s">
        <v>476</v>
      </c>
      <c r="C2328" s="109">
        <v>45731.879861111112</v>
      </c>
      <c r="D2328" s="98" t="s">
        <v>96</v>
      </c>
      <c r="E2328" s="103">
        <v>1650</v>
      </c>
      <c r="F2328" s="98" t="s">
        <v>240</v>
      </c>
      <c r="G2328" s="98" t="s">
        <v>374</v>
      </c>
      <c r="H2328" s="98" t="s">
        <v>516</v>
      </c>
      <c r="I2328" s="98" t="s">
        <v>242</v>
      </c>
    </row>
    <row r="2329" spans="2:9" s="98" customFormat="1">
      <c r="B2329" s="99" t="s">
        <v>476</v>
      </c>
      <c r="C2329" s="109">
        <v>45731.853472222225</v>
      </c>
      <c r="D2329" s="98" t="s">
        <v>207</v>
      </c>
      <c r="E2329" s="103">
        <v>11970</v>
      </c>
      <c r="F2329" s="98" t="s">
        <v>240</v>
      </c>
      <c r="G2329" s="98" t="s">
        <v>374</v>
      </c>
      <c r="H2329" s="98" t="s">
        <v>516</v>
      </c>
      <c r="I2329" s="98" t="s">
        <v>248</v>
      </c>
    </row>
    <row r="2330" spans="2:9" s="98" customFormat="1">
      <c r="B2330" s="99" t="s">
        <v>476</v>
      </c>
      <c r="C2330" s="109">
        <v>45731.839583333334</v>
      </c>
      <c r="D2330" s="98" t="s">
        <v>186</v>
      </c>
      <c r="E2330" s="103">
        <v>6000</v>
      </c>
      <c r="F2330" s="98" t="s">
        <v>240</v>
      </c>
      <c r="G2330" s="98" t="s">
        <v>374</v>
      </c>
      <c r="H2330" s="98" t="s">
        <v>516</v>
      </c>
      <c r="I2330" s="98" t="s">
        <v>248</v>
      </c>
    </row>
    <row r="2331" spans="2:9" s="98" customFormat="1">
      <c r="B2331" s="99" t="s">
        <v>476</v>
      </c>
      <c r="C2331" s="109">
        <v>45731.563888888886</v>
      </c>
      <c r="D2331" s="98" t="s">
        <v>190</v>
      </c>
      <c r="E2331" s="103">
        <v>2000</v>
      </c>
      <c r="F2331" s="98" t="s">
        <v>240</v>
      </c>
      <c r="G2331" s="98" t="s">
        <v>374</v>
      </c>
      <c r="H2331" s="98" t="s">
        <v>516</v>
      </c>
      <c r="I2331" s="98" t="s">
        <v>247</v>
      </c>
    </row>
    <row r="2332" spans="2:9" s="98" customFormat="1">
      <c r="B2332" s="99" t="s">
        <v>476</v>
      </c>
      <c r="C2332" s="109">
        <v>45731.498611111114</v>
      </c>
      <c r="D2332" s="98" t="s">
        <v>64</v>
      </c>
      <c r="E2332" s="103">
        <v>30000</v>
      </c>
      <c r="F2332" s="98" t="s">
        <v>240</v>
      </c>
      <c r="G2332" s="98" t="s">
        <v>374</v>
      </c>
      <c r="H2332" s="98" t="s">
        <v>516</v>
      </c>
      <c r="I2332" s="98" t="s">
        <v>263</v>
      </c>
    </row>
    <row r="2333" spans="2:9" s="98" customFormat="1">
      <c r="B2333" s="99" t="s">
        <v>476</v>
      </c>
      <c r="C2333" s="109">
        <v>45730.94027777778</v>
      </c>
      <c r="D2333" s="98" t="s">
        <v>96</v>
      </c>
      <c r="E2333" s="103">
        <v>500</v>
      </c>
      <c r="F2333" s="98" t="s">
        <v>240</v>
      </c>
      <c r="G2333" s="98" t="s">
        <v>374</v>
      </c>
      <c r="H2333" s="98" t="s">
        <v>516</v>
      </c>
      <c r="I2333" s="98" t="s">
        <v>242</v>
      </c>
    </row>
    <row r="2334" spans="2:9" s="98" customFormat="1">
      <c r="B2334" s="99" t="s">
        <v>476</v>
      </c>
      <c r="C2334" s="109">
        <v>45730.881944444445</v>
      </c>
      <c r="D2334" s="98" t="s">
        <v>28</v>
      </c>
      <c r="E2334" s="103">
        <v>44525</v>
      </c>
      <c r="F2334" s="98" t="s">
        <v>240</v>
      </c>
      <c r="G2334" s="98" t="s">
        <v>374</v>
      </c>
      <c r="H2334" s="98" t="s">
        <v>516</v>
      </c>
      <c r="I2334" s="98" t="s">
        <v>245</v>
      </c>
    </row>
    <row r="2335" spans="2:9" s="98" customFormat="1">
      <c r="B2335" s="99" t="s">
        <v>476</v>
      </c>
      <c r="C2335" s="109">
        <v>45730.862500000003</v>
      </c>
      <c r="D2335" s="98" t="s">
        <v>208</v>
      </c>
      <c r="E2335" s="103">
        <v>4900</v>
      </c>
      <c r="F2335" s="98" t="s">
        <v>240</v>
      </c>
      <c r="G2335" s="98" t="s">
        <v>374</v>
      </c>
      <c r="H2335" s="98" t="s">
        <v>516</v>
      </c>
      <c r="I2335" s="98" t="s">
        <v>247</v>
      </c>
    </row>
    <row r="2336" spans="2:9" s="98" customFormat="1">
      <c r="B2336" s="99" t="s">
        <v>476</v>
      </c>
      <c r="C2336" s="109">
        <v>45730.711111111108</v>
      </c>
      <c r="D2336" s="98" t="s">
        <v>190</v>
      </c>
      <c r="E2336" s="103">
        <v>4790</v>
      </c>
      <c r="F2336" s="98" t="s">
        <v>240</v>
      </c>
      <c r="G2336" s="98" t="s">
        <v>374</v>
      </c>
      <c r="H2336" s="98" t="s">
        <v>516</v>
      </c>
      <c r="I2336" s="98" t="s">
        <v>247</v>
      </c>
    </row>
    <row r="2337" spans="2:9" s="98" customFormat="1">
      <c r="B2337" s="99" t="s">
        <v>476</v>
      </c>
      <c r="C2337" s="109">
        <v>45730.563888888886</v>
      </c>
      <c r="D2337" s="98" t="s">
        <v>30</v>
      </c>
      <c r="E2337" s="103">
        <v>3600</v>
      </c>
      <c r="F2337" s="98" t="s">
        <v>240</v>
      </c>
      <c r="G2337" s="98" t="s">
        <v>374</v>
      </c>
      <c r="H2337" s="98" t="s">
        <v>516</v>
      </c>
      <c r="I2337" s="98" t="s">
        <v>247</v>
      </c>
    </row>
    <row r="2338" spans="2:9" s="98" customFormat="1">
      <c r="B2338" s="99" t="s">
        <v>476</v>
      </c>
      <c r="C2338" s="109">
        <v>45730.560416666667</v>
      </c>
      <c r="D2338" s="98" t="s">
        <v>46</v>
      </c>
      <c r="E2338" s="103">
        <v>2600</v>
      </c>
      <c r="F2338" s="98" t="s">
        <v>240</v>
      </c>
      <c r="G2338" s="98" t="s">
        <v>374</v>
      </c>
      <c r="H2338" s="98" t="s">
        <v>516</v>
      </c>
      <c r="I2338" s="98" t="s">
        <v>247</v>
      </c>
    </row>
    <row r="2339" spans="2:9" s="98" customFormat="1">
      <c r="B2339" s="99" t="s">
        <v>476</v>
      </c>
      <c r="C2339" s="109">
        <v>45730.336805555555</v>
      </c>
      <c r="D2339" s="98" t="s">
        <v>30</v>
      </c>
      <c r="E2339" s="103">
        <v>3200</v>
      </c>
      <c r="F2339" s="98" t="s">
        <v>240</v>
      </c>
      <c r="G2339" s="98" t="s">
        <v>374</v>
      </c>
      <c r="H2339" s="98" t="s">
        <v>516</v>
      </c>
      <c r="I2339" s="98" t="s">
        <v>247</v>
      </c>
    </row>
    <row r="2340" spans="2:9" s="98" customFormat="1">
      <c r="B2340" s="99" t="s">
        <v>476</v>
      </c>
      <c r="C2340" s="109">
        <v>45729.95416666667</v>
      </c>
      <c r="D2340" s="98" t="s">
        <v>179</v>
      </c>
      <c r="E2340" s="103">
        <v>-150000</v>
      </c>
      <c r="F2340" s="98" t="s">
        <v>239</v>
      </c>
      <c r="I2340" s="98" t="s">
        <v>246</v>
      </c>
    </row>
    <row r="2341" spans="2:9" s="98" customFormat="1">
      <c r="B2341" s="99" t="s">
        <v>476</v>
      </c>
      <c r="C2341" s="109">
        <v>45729.948611111111</v>
      </c>
      <c r="D2341" s="98" t="s">
        <v>59</v>
      </c>
      <c r="E2341" s="103">
        <v>-56014</v>
      </c>
      <c r="F2341" s="98" t="s">
        <v>239</v>
      </c>
      <c r="I2341" s="98" t="s">
        <v>253</v>
      </c>
    </row>
    <row r="2342" spans="2:9" s="98" customFormat="1">
      <c r="B2342" s="99" t="s">
        <v>476</v>
      </c>
      <c r="C2342" s="109">
        <v>45729.777777777781</v>
      </c>
      <c r="D2342" s="98" t="s">
        <v>187</v>
      </c>
      <c r="E2342" s="103">
        <v>3390</v>
      </c>
      <c r="F2342" s="98" t="s">
        <v>240</v>
      </c>
      <c r="G2342" s="98" t="s">
        <v>374</v>
      </c>
      <c r="H2342" s="98" t="s">
        <v>516</v>
      </c>
      <c r="I2342" s="98" t="s">
        <v>247</v>
      </c>
    </row>
    <row r="2343" spans="2:9" s="98" customFormat="1">
      <c r="B2343" s="99" t="s">
        <v>476</v>
      </c>
      <c r="C2343" s="109">
        <v>45729.559027777781</v>
      </c>
      <c r="D2343" s="98" t="s">
        <v>152</v>
      </c>
      <c r="E2343" s="103">
        <v>3990</v>
      </c>
      <c r="F2343" s="98" t="s">
        <v>240</v>
      </c>
      <c r="G2343" s="98" t="s">
        <v>374</v>
      </c>
      <c r="H2343" s="98" t="s">
        <v>516</v>
      </c>
      <c r="I2343" s="98" t="s">
        <v>242</v>
      </c>
    </row>
    <row r="2344" spans="2:9" s="98" customFormat="1">
      <c r="B2344" s="99" t="s">
        <v>476</v>
      </c>
      <c r="C2344" s="109">
        <v>45729.345833333333</v>
      </c>
      <c r="D2344" s="98" t="s">
        <v>155</v>
      </c>
      <c r="E2344" s="103">
        <v>3100</v>
      </c>
      <c r="F2344" s="98" t="s">
        <v>240</v>
      </c>
      <c r="G2344" s="98" t="s">
        <v>374</v>
      </c>
      <c r="H2344" s="98" t="s">
        <v>516</v>
      </c>
      <c r="I2344" s="98" t="s">
        <v>242</v>
      </c>
    </row>
    <row r="2345" spans="2:9" s="98" customFormat="1">
      <c r="B2345" s="99" t="s">
        <v>476</v>
      </c>
      <c r="C2345" s="109">
        <v>45729.345138888886</v>
      </c>
      <c r="D2345" s="98" t="s">
        <v>40</v>
      </c>
      <c r="E2345" s="103">
        <v>5000</v>
      </c>
      <c r="F2345" s="98" t="s">
        <v>240</v>
      </c>
      <c r="G2345" s="98" t="s">
        <v>374</v>
      </c>
      <c r="H2345" s="98" t="s">
        <v>516</v>
      </c>
      <c r="I2345" s="98" t="s">
        <v>263</v>
      </c>
    </row>
    <row r="2346" spans="2:9" s="98" customFormat="1">
      <c r="B2346" s="99" t="s">
        <v>476</v>
      </c>
      <c r="C2346" s="109">
        <v>45729.344444444447</v>
      </c>
      <c r="D2346" s="98" t="s">
        <v>27</v>
      </c>
      <c r="E2346" s="103">
        <v>20000</v>
      </c>
      <c r="F2346" s="98" t="s">
        <v>240</v>
      </c>
      <c r="G2346" s="98" t="s">
        <v>374</v>
      </c>
      <c r="H2346" s="98" t="s">
        <v>516</v>
      </c>
      <c r="I2346" s="98" t="s">
        <v>270</v>
      </c>
    </row>
    <row r="2347" spans="2:9" s="98" customFormat="1">
      <c r="B2347" s="99" t="s">
        <v>476</v>
      </c>
      <c r="C2347" s="109">
        <v>45728.857638888891</v>
      </c>
      <c r="D2347" s="98" t="s">
        <v>56</v>
      </c>
      <c r="E2347" s="103">
        <v>10590</v>
      </c>
      <c r="F2347" s="98" t="s">
        <v>240</v>
      </c>
      <c r="G2347" s="98" t="s">
        <v>374</v>
      </c>
      <c r="H2347" s="98" t="s">
        <v>516</v>
      </c>
      <c r="I2347" s="98" t="s">
        <v>247</v>
      </c>
    </row>
    <row r="2348" spans="2:9" s="98" customFormat="1">
      <c r="B2348" s="99" t="s">
        <v>476</v>
      </c>
      <c r="C2348" s="109">
        <v>45728.542361111111</v>
      </c>
      <c r="D2348" s="98" t="s">
        <v>162</v>
      </c>
      <c r="E2348" s="103">
        <v>890</v>
      </c>
      <c r="F2348" s="98" t="s">
        <v>240</v>
      </c>
      <c r="G2348" s="98" t="s">
        <v>374</v>
      </c>
      <c r="H2348" s="98" t="s">
        <v>516</v>
      </c>
      <c r="I2348" s="98" t="s">
        <v>242</v>
      </c>
    </row>
    <row r="2349" spans="2:9" s="98" customFormat="1">
      <c r="B2349" s="99" t="s">
        <v>476</v>
      </c>
      <c r="C2349" s="109">
        <v>45728.515972222223</v>
      </c>
      <c r="D2349" s="98" t="s">
        <v>200</v>
      </c>
      <c r="E2349" s="103">
        <v>9500</v>
      </c>
      <c r="F2349" s="98" t="s">
        <v>240</v>
      </c>
      <c r="G2349" s="98" t="s">
        <v>374</v>
      </c>
      <c r="H2349" s="98" t="s">
        <v>516</v>
      </c>
      <c r="I2349" s="98" t="s">
        <v>251</v>
      </c>
    </row>
    <row r="2350" spans="2:9" s="98" customFormat="1">
      <c r="B2350" s="99" t="s">
        <v>476</v>
      </c>
      <c r="C2350" s="109">
        <v>45728.513888888891</v>
      </c>
      <c r="D2350" s="98" t="s">
        <v>209</v>
      </c>
      <c r="E2350" s="103">
        <v>12000</v>
      </c>
      <c r="F2350" s="98" t="s">
        <v>240</v>
      </c>
      <c r="G2350" s="98" t="s">
        <v>374</v>
      </c>
      <c r="H2350" s="98" t="s">
        <v>516</v>
      </c>
      <c r="I2350" s="98" t="s">
        <v>251</v>
      </c>
    </row>
    <row r="2351" spans="2:9" s="98" customFormat="1">
      <c r="B2351" s="99" t="s">
        <v>476</v>
      </c>
      <c r="C2351" s="109">
        <v>45728.486111111109</v>
      </c>
      <c r="D2351" s="98" t="s">
        <v>167</v>
      </c>
      <c r="E2351" s="103">
        <v>919</v>
      </c>
      <c r="F2351" s="98" t="s">
        <v>240</v>
      </c>
      <c r="G2351" s="98" t="s">
        <v>374</v>
      </c>
      <c r="H2351" s="98" t="s">
        <v>516</v>
      </c>
      <c r="I2351" s="98" t="s">
        <v>242</v>
      </c>
    </row>
    <row r="2352" spans="2:9" s="98" customFormat="1">
      <c r="B2352" s="99" t="s">
        <v>476</v>
      </c>
      <c r="C2352" s="109">
        <v>45728.012499999997</v>
      </c>
      <c r="D2352" s="98" t="s">
        <v>154</v>
      </c>
      <c r="E2352" s="103">
        <v>36867</v>
      </c>
      <c r="F2352" s="98" t="s">
        <v>240</v>
      </c>
      <c r="G2352" s="98" t="s">
        <v>374</v>
      </c>
      <c r="H2352" s="98" t="s">
        <v>516</v>
      </c>
      <c r="I2352" s="98" t="s">
        <v>245</v>
      </c>
    </row>
    <row r="2353" spans="2:9" s="98" customFormat="1">
      <c r="B2353" s="99" t="s">
        <v>476</v>
      </c>
      <c r="C2353" s="109">
        <v>45727.702777777777</v>
      </c>
      <c r="D2353" s="98" t="s">
        <v>210</v>
      </c>
      <c r="E2353" s="103">
        <v>9180</v>
      </c>
      <c r="F2353" s="98" t="s">
        <v>240</v>
      </c>
      <c r="G2353" s="98" t="s">
        <v>374</v>
      </c>
      <c r="H2353" s="98" t="s">
        <v>516</v>
      </c>
      <c r="I2353" s="98" t="s">
        <v>247</v>
      </c>
    </row>
    <row r="2354" spans="2:9" s="98" customFormat="1">
      <c r="B2354" s="99" t="s">
        <v>476</v>
      </c>
      <c r="C2354" s="109">
        <v>45727.548611111109</v>
      </c>
      <c r="D2354" s="98" t="s">
        <v>162</v>
      </c>
      <c r="E2354" s="103">
        <v>1790</v>
      </c>
      <c r="F2354" s="98" t="s">
        <v>240</v>
      </c>
      <c r="G2354" s="98" t="s">
        <v>374</v>
      </c>
      <c r="H2354" s="98" t="s">
        <v>516</v>
      </c>
      <c r="I2354" s="98" t="s">
        <v>242</v>
      </c>
    </row>
    <row r="2355" spans="2:9" s="98" customFormat="1">
      <c r="B2355" s="99" t="s">
        <v>476</v>
      </c>
      <c r="C2355" s="109">
        <v>45727.388194444444</v>
      </c>
      <c r="D2355" s="98" t="s">
        <v>139</v>
      </c>
      <c r="E2355" s="103">
        <v>1900</v>
      </c>
      <c r="F2355" s="98" t="s">
        <v>240</v>
      </c>
      <c r="G2355" s="98" t="s">
        <v>374</v>
      </c>
      <c r="H2355" s="98" t="s">
        <v>516</v>
      </c>
      <c r="I2355" s="98" t="s">
        <v>242</v>
      </c>
    </row>
    <row r="2356" spans="2:9" s="98" customFormat="1">
      <c r="B2356" s="99" t="s">
        <v>476</v>
      </c>
      <c r="C2356" s="109">
        <v>45726.942361111112</v>
      </c>
      <c r="D2356" s="98" t="s">
        <v>63</v>
      </c>
      <c r="E2356" s="103">
        <v>4600</v>
      </c>
      <c r="F2356" s="98" t="s">
        <v>240</v>
      </c>
      <c r="G2356" s="98" t="s">
        <v>374</v>
      </c>
      <c r="H2356" s="98" t="s">
        <v>516</v>
      </c>
      <c r="I2356" s="98" t="s">
        <v>241</v>
      </c>
    </row>
    <row r="2357" spans="2:9" s="98" customFormat="1">
      <c r="B2357" s="99" t="s">
        <v>476</v>
      </c>
      <c r="C2357" s="109">
        <v>45726.476388888892</v>
      </c>
      <c r="D2357" s="98" t="s">
        <v>115</v>
      </c>
      <c r="E2357" s="103">
        <v>40385</v>
      </c>
      <c r="F2357" s="98" t="s">
        <v>240</v>
      </c>
      <c r="G2357" s="98" t="s">
        <v>374</v>
      </c>
      <c r="H2357" s="98" t="s">
        <v>516</v>
      </c>
      <c r="I2357" s="98" t="s">
        <v>245</v>
      </c>
    </row>
    <row r="2358" spans="2:9" s="98" customFormat="1">
      <c r="B2358" s="99" t="s">
        <v>476</v>
      </c>
      <c r="C2358" s="109">
        <v>45725.47152777778</v>
      </c>
      <c r="D2358" s="98" t="s">
        <v>51</v>
      </c>
      <c r="E2358" s="103">
        <v>10000</v>
      </c>
      <c r="F2358" s="98" t="s">
        <v>240</v>
      </c>
      <c r="G2358" s="98" t="s">
        <v>374</v>
      </c>
      <c r="H2358" s="98" t="s">
        <v>516</v>
      </c>
      <c r="I2358" s="98" t="s">
        <v>270</v>
      </c>
    </row>
    <row r="2359" spans="2:9" s="98" customFormat="1">
      <c r="B2359" s="99" t="s">
        <v>476</v>
      </c>
      <c r="C2359" s="109">
        <v>45724.888194444444</v>
      </c>
      <c r="D2359" s="98" t="s">
        <v>49</v>
      </c>
      <c r="E2359" s="103">
        <v>30166</v>
      </c>
      <c r="F2359" s="98" t="s">
        <v>240</v>
      </c>
      <c r="G2359" s="98" t="s">
        <v>374</v>
      </c>
      <c r="H2359" s="98" t="s">
        <v>516</v>
      </c>
      <c r="I2359" s="98" t="s">
        <v>245</v>
      </c>
    </row>
    <row r="2360" spans="2:9" s="98" customFormat="1">
      <c r="B2360" s="99" t="s">
        <v>476</v>
      </c>
      <c r="C2360" s="109">
        <v>45724.595138888886</v>
      </c>
      <c r="D2360" s="98" t="s">
        <v>16</v>
      </c>
      <c r="E2360" s="103">
        <v>10600</v>
      </c>
      <c r="F2360" s="98" t="s">
        <v>240</v>
      </c>
      <c r="G2360" s="98" t="s">
        <v>374</v>
      </c>
      <c r="H2360" s="98" t="s">
        <v>516</v>
      </c>
      <c r="I2360" s="98" t="s">
        <v>248</v>
      </c>
    </row>
    <row r="2361" spans="2:9" s="98" customFormat="1">
      <c r="B2361" s="99" t="s">
        <v>476</v>
      </c>
      <c r="C2361" s="109">
        <v>45724.52847222222</v>
      </c>
      <c r="D2361" s="98" t="s">
        <v>64</v>
      </c>
      <c r="E2361" s="103">
        <v>30000</v>
      </c>
      <c r="F2361" s="98" t="s">
        <v>240</v>
      </c>
      <c r="G2361" s="98" t="s">
        <v>374</v>
      </c>
      <c r="H2361" s="98" t="s">
        <v>516</v>
      </c>
      <c r="I2361" s="98" t="s">
        <v>263</v>
      </c>
    </row>
    <row r="2362" spans="2:9" s="98" customFormat="1">
      <c r="B2362" s="99" t="s">
        <v>476</v>
      </c>
      <c r="C2362" s="109">
        <v>45723.925000000003</v>
      </c>
      <c r="D2362" s="98" t="s">
        <v>59</v>
      </c>
      <c r="E2362" s="103">
        <v>-52122</v>
      </c>
      <c r="F2362" s="98" t="s">
        <v>239</v>
      </c>
      <c r="I2362" s="98" t="s">
        <v>253</v>
      </c>
    </row>
    <row r="2363" spans="2:9" s="98" customFormat="1">
      <c r="B2363" s="99" t="s">
        <v>476</v>
      </c>
      <c r="C2363" s="109">
        <v>45723.835416666669</v>
      </c>
      <c r="D2363" s="98" t="s">
        <v>115</v>
      </c>
      <c r="E2363" s="103">
        <v>41590</v>
      </c>
      <c r="F2363" s="98" t="s">
        <v>240</v>
      </c>
      <c r="G2363" s="98" t="s">
        <v>374</v>
      </c>
      <c r="H2363" s="98" t="s">
        <v>516</v>
      </c>
      <c r="I2363" s="98" t="s">
        <v>245</v>
      </c>
    </row>
    <row r="2364" spans="2:9" s="98" customFormat="1">
      <c r="B2364" s="99" t="s">
        <v>476</v>
      </c>
      <c r="C2364" s="109">
        <v>45723.57708333333</v>
      </c>
      <c r="D2364" s="98" t="s">
        <v>190</v>
      </c>
      <c r="E2364" s="103">
        <v>12220</v>
      </c>
      <c r="F2364" s="98" t="s">
        <v>240</v>
      </c>
      <c r="G2364" s="98" t="s">
        <v>374</v>
      </c>
      <c r="H2364" s="98" t="s">
        <v>516</v>
      </c>
      <c r="I2364" s="98" t="s">
        <v>247</v>
      </c>
    </row>
    <row r="2365" spans="2:9" s="98" customFormat="1">
      <c r="B2365" s="99" t="s">
        <v>476</v>
      </c>
      <c r="C2365" s="109">
        <v>45723.542361111111</v>
      </c>
      <c r="D2365" s="98" t="s">
        <v>154</v>
      </c>
      <c r="E2365" s="103">
        <v>-1077</v>
      </c>
      <c r="F2365" s="98" t="s">
        <v>239</v>
      </c>
      <c r="I2365" s="98" t="s">
        <v>253</v>
      </c>
    </row>
    <row r="2366" spans="2:9" s="98" customFormat="1">
      <c r="B2366" s="99" t="s">
        <v>476</v>
      </c>
      <c r="C2366" s="109">
        <v>45722.743750000001</v>
      </c>
      <c r="D2366" s="98" t="s">
        <v>134</v>
      </c>
      <c r="E2366" s="103">
        <v>10000</v>
      </c>
      <c r="F2366" s="98" t="s">
        <v>240</v>
      </c>
      <c r="G2366" s="98" t="s">
        <v>374</v>
      </c>
      <c r="H2366" s="98" t="s">
        <v>516</v>
      </c>
      <c r="I2366" s="98" t="s">
        <v>273</v>
      </c>
    </row>
    <row r="2367" spans="2:9" s="98" customFormat="1">
      <c r="B2367" s="99" t="s">
        <v>476</v>
      </c>
      <c r="C2367" s="109">
        <v>45722.709722222222</v>
      </c>
      <c r="D2367" s="98" t="s">
        <v>211</v>
      </c>
      <c r="E2367" s="103">
        <v>13358</v>
      </c>
      <c r="F2367" s="98" t="s">
        <v>240</v>
      </c>
      <c r="G2367" s="98" t="s">
        <v>374</v>
      </c>
      <c r="H2367" s="98" t="s">
        <v>516</v>
      </c>
      <c r="I2367" s="98" t="s">
        <v>270</v>
      </c>
    </row>
    <row r="2368" spans="2:9" s="98" customFormat="1">
      <c r="B2368" s="99" t="s">
        <v>476</v>
      </c>
      <c r="C2368" s="109">
        <v>45722.617361111108</v>
      </c>
      <c r="D2368" s="98" t="s">
        <v>212</v>
      </c>
      <c r="E2368" s="103">
        <v>3700</v>
      </c>
      <c r="F2368" s="98" t="s">
        <v>240</v>
      </c>
      <c r="G2368" s="98" t="s">
        <v>374</v>
      </c>
      <c r="H2368" s="98" t="s">
        <v>516</v>
      </c>
      <c r="I2368" s="98" t="s">
        <v>242</v>
      </c>
    </row>
    <row r="2369" spans="2:9" s="98" customFormat="1">
      <c r="B2369" s="99" t="s">
        <v>476</v>
      </c>
      <c r="C2369" s="109">
        <v>45722.607638888891</v>
      </c>
      <c r="D2369" s="98" t="s">
        <v>213</v>
      </c>
      <c r="E2369" s="103">
        <v>15400</v>
      </c>
      <c r="F2369" s="98" t="s">
        <v>240</v>
      </c>
      <c r="G2369" s="98" t="s">
        <v>374</v>
      </c>
      <c r="H2369" s="98" t="s">
        <v>516</v>
      </c>
      <c r="I2369" s="98" t="s">
        <v>242</v>
      </c>
    </row>
    <row r="2370" spans="2:9" s="98" customFormat="1">
      <c r="B2370" s="99" t="s">
        <v>476</v>
      </c>
      <c r="C2370" s="109">
        <v>45722.506249999999</v>
      </c>
      <c r="D2370" s="98" t="s">
        <v>59</v>
      </c>
      <c r="E2370" s="103">
        <v>-13834</v>
      </c>
      <c r="F2370" s="98" t="s">
        <v>239</v>
      </c>
      <c r="I2370" s="98" t="s">
        <v>253</v>
      </c>
    </row>
    <row r="2371" spans="2:9" s="98" customFormat="1">
      <c r="B2371" s="99" t="s">
        <v>476</v>
      </c>
      <c r="C2371" s="109">
        <v>45722.429861111108</v>
      </c>
      <c r="D2371" s="98" t="s">
        <v>214</v>
      </c>
      <c r="E2371" s="103">
        <v>1025</v>
      </c>
      <c r="F2371" s="98" t="s">
        <v>240</v>
      </c>
      <c r="G2371" s="98" t="s">
        <v>374</v>
      </c>
      <c r="H2371" s="98" t="s">
        <v>516</v>
      </c>
      <c r="I2371" s="98" t="s">
        <v>241</v>
      </c>
    </row>
    <row r="2372" spans="2:9" s="98" customFormat="1">
      <c r="B2372" s="99" t="s">
        <v>476</v>
      </c>
      <c r="C2372" s="109">
        <v>45722.405555555553</v>
      </c>
      <c r="D2372" s="98" t="s">
        <v>215</v>
      </c>
      <c r="E2372" s="103">
        <v>3100</v>
      </c>
      <c r="F2372" s="98" t="s">
        <v>240</v>
      </c>
      <c r="G2372" s="98" t="s">
        <v>374</v>
      </c>
      <c r="H2372" s="98" t="s">
        <v>516</v>
      </c>
      <c r="I2372" s="98" t="s">
        <v>247</v>
      </c>
    </row>
    <row r="2373" spans="2:9" s="98" customFormat="1">
      <c r="B2373" s="99" t="s">
        <v>476</v>
      </c>
      <c r="C2373" s="109">
        <v>45722.136111111111</v>
      </c>
      <c r="D2373" s="98" t="s">
        <v>216</v>
      </c>
      <c r="E2373" s="103">
        <v>2490</v>
      </c>
      <c r="F2373" s="98" t="s">
        <v>240</v>
      </c>
      <c r="G2373" s="98" t="s">
        <v>374</v>
      </c>
      <c r="H2373" s="98" t="s">
        <v>516</v>
      </c>
      <c r="I2373" s="98" t="s">
        <v>242</v>
      </c>
    </row>
    <row r="2374" spans="2:9" s="98" customFormat="1">
      <c r="B2374" s="99" t="s">
        <v>476</v>
      </c>
      <c r="C2374" s="109">
        <v>45722.111805555556</v>
      </c>
      <c r="D2374" s="98" t="s">
        <v>278</v>
      </c>
      <c r="E2374" s="103">
        <v>40984</v>
      </c>
      <c r="F2374" s="98" t="s">
        <v>240</v>
      </c>
      <c r="G2374" s="98" t="s">
        <v>374</v>
      </c>
      <c r="H2374" s="98" t="s">
        <v>513</v>
      </c>
      <c r="I2374" s="98" t="s">
        <v>271</v>
      </c>
    </row>
    <row r="2375" spans="2:9" s="98" customFormat="1">
      <c r="B2375" s="99" t="s">
        <v>476</v>
      </c>
      <c r="C2375" s="109">
        <v>45721.845833333333</v>
      </c>
      <c r="D2375" s="98" t="s">
        <v>6</v>
      </c>
      <c r="E2375" s="103">
        <v>15330</v>
      </c>
      <c r="F2375" s="98" t="s">
        <v>240</v>
      </c>
      <c r="G2375" s="98" t="s">
        <v>374</v>
      </c>
      <c r="H2375" s="98" t="s">
        <v>516</v>
      </c>
      <c r="I2375" s="98" t="s">
        <v>245</v>
      </c>
    </row>
    <row r="2376" spans="2:9" s="98" customFormat="1">
      <c r="B2376" s="99" t="s">
        <v>476</v>
      </c>
      <c r="C2376" s="109">
        <v>45721.740972222222</v>
      </c>
      <c r="D2376" s="98" t="s">
        <v>217</v>
      </c>
      <c r="E2376" s="103">
        <v>4030</v>
      </c>
      <c r="F2376" s="98" t="s">
        <v>240</v>
      </c>
      <c r="G2376" s="98" t="s">
        <v>374</v>
      </c>
      <c r="H2376" s="98" t="s">
        <v>516</v>
      </c>
      <c r="I2376" s="98" t="s">
        <v>242</v>
      </c>
    </row>
    <row r="2377" spans="2:9" s="98" customFormat="1">
      <c r="B2377" s="99" t="s">
        <v>476</v>
      </c>
      <c r="C2377" s="109">
        <v>45721.676388888889</v>
      </c>
      <c r="D2377" s="98" t="s">
        <v>22</v>
      </c>
      <c r="E2377" s="103">
        <v>5000</v>
      </c>
      <c r="F2377" s="98" t="s">
        <v>240</v>
      </c>
      <c r="G2377" s="98" t="s">
        <v>374</v>
      </c>
      <c r="H2377" s="98" t="s">
        <v>516</v>
      </c>
      <c r="I2377" s="98" t="s">
        <v>247</v>
      </c>
    </row>
    <row r="2378" spans="2:9" s="98" customFormat="1">
      <c r="B2378" s="99" t="s">
        <v>476</v>
      </c>
      <c r="C2378" s="109">
        <v>45721.558333333334</v>
      </c>
      <c r="D2378" s="98" t="s">
        <v>152</v>
      </c>
      <c r="E2378" s="103">
        <v>6380</v>
      </c>
      <c r="F2378" s="98" t="s">
        <v>240</v>
      </c>
      <c r="G2378" s="98" t="s">
        <v>374</v>
      </c>
      <c r="H2378" s="98" t="s">
        <v>516</v>
      </c>
      <c r="I2378" s="98" t="s">
        <v>242</v>
      </c>
    </row>
    <row r="2379" spans="2:9" s="98" customFormat="1">
      <c r="B2379" s="99" t="s">
        <v>476</v>
      </c>
      <c r="C2379" s="109">
        <v>45721.533333333333</v>
      </c>
      <c r="D2379" s="98" t="s">
        <v>134</v>
      </c>
      <c r="E2379" s="103">
        <v>10000</v>
      </c>
      <c r="F2379" s="98" t="s">
        <v>240</v>
      </c>
      <c r="G2379" s="98" t="s">
        <v>374</v>
      </c>
      <c r="H2379" s="98" t="s">
        <v>516</v>
      </c>
      <c r="I2379" s="98" t="s">
        <v>273</v>
      </c>
    </row>
    <row r="2380" spans="2:9" s="98" customFormat="1">
      <c r="B2380" s="99" t="s">
        <v>476</v>
      </c>
      <c r="C2380" s="109">
        <v>45721.381249999999</v>
      </c>
      <c r="D2380" s="98" t="s">
        <v>155</v>
      </c>
      <c r="E2380" s="103">
        <v>3800</v>
      </c>
      <c r="F2380" s="98" t="s">
        <v>240</v>
      </c>
      <c r="G2380" s="98" t="s">
        <v>374</v>
      </c>
      <c r="H2380" s="98" t="s">
        <v>516</v>
      </c>
      <c r="I2380" s="98" t="s">
        <v>242</v>
      </c>
    </row>
    <row r="2381" spans="2:9" s="98" customFormat="1">
      <c r="B2381" s="99" t="s">
        <v>476</v>
      </c>
      <c r="C2381" s="109">
        <v>45721.376388888886</v>
      </c>
      <c r="D2381" s="98" t="s">
        <v>51</v>
      </c>
      <c r="E2381" s="103">
        <v>25000</v>
      </c>
      <c r="F2381" s="98" t="s">
        <v>240</v>
      </c>
      <c r="G2381" s="98" t="s">
        <v>374</v>
      </c>
      <c r="H2381" s="98" t="s">
        <v>516</v>
      </c>
      <c r="I2381" s="98" t="s">
        <v>270</v>
      </c>
    </row>
    <row r="2382" spans="2:9" s="98" customFormat="1">
      <c r="B2382" s="99" t="s">
        <v>476</v>
      </c>
      <c r="C2382" s="109">
        <v>45721.36041666667</v>
      </c>
      <c r="D2382" s="98" t="s">
        <v>154</v>
      </c>
      <c r="E2382" s="103">
        <v>34696</v>
      </c>
      <c r="F2382" s="98" t="s">
        <v>240</v>
      </c>
      <c r="G2382" s="98" t="s">
        <v>374</v>
      </c>
      <c r="H2382" s="98" t="s">
        <v>516</v>
      </c>
      <c r="I2382" s="98" t="s">
        <v>245</v>
      </c>
    </row>
    <row r="2383" spans="2:9" s="98" customFormat="1">
      <c r="B2383" s="99" t="s">
        <v>476</v>
      </c>
      <c r="C2383" s="109">
        <v>45721.351388888892</v>
      </c>
      <c r="D2383" s="98" t="s">
        <v>22</v>
      </c>
      <c r="E2383" s="103">
        <v>730000</v>
      </c>
      <c r="F2383" s="98" t="s">
        <v>240</v>
      </c>
      <c r="G2383" s="98" t="s">
        <v>374</v>
      </c>
      <c r="H2383" s="98" t="s">
        <v>513</v>
      </c>
      <c r="I2383" s="98" t="s">
        <v>252</v>
      </c>
    </row>
    <row r="2384" spans="2:9" s="98" customFormat="1">
      <c r="B2384" s="99" t="s">
        <v>476</v>
      </c>
      <c r="C2384" s="109">
        <v>45721.351388888892</v>
      </c>
      <c r="D2384" s="98" t="s">
        <v>22</v>
      </c>
      <c r="E2384" s="103">
        <v>220000</v>
      </c>
      <c r="F2384" s="98" t="s">
        <v>240</v>
      </c>
      <c r="G2384" s="98" t="s">
        <v>374</v>
      </c>
      <c r="H2384" s="98" t="s">
        <v>513</v>
      </c>
      <c r="I2384" s="98" t="s">
        <v>251</v>
      </c>
    </row>
    <row r="2385" spans="2:9" s="98" customFormat="1">
      <c r="B2385" s="99" t="s">
        <v>476</v>
      </c>
      <c r="C2385" s="109">
        <v>45720.838888888888</v>
      </c>
      <c r="D2385" s="98" t="s">
        <v>96</v>
      </c>
      <c r="E2385" s="103">
        <v>3150</v>
      </c>
      <c r="F2385" s="98" t="s">
        <v>240</v>
      </c>
      <c r="G2385" s="98" t="s">
        <v>374</v>
      </c>
      <c r="H2385" s="98" t="s">
        <v>516</v>
      </c>
      <c r="I2385" s="98" t="s">
        <v>242</v>
      </c>
    </row>
    <row r="2386" spans="2:9" s="98" customFormat="1">
      <c r="B2386" s="99" t="s">
        <v>476</v>
      </c>
      <c r="C2386" s="109">
        <v>45720.821527777778</v>
      </c>
      <c r="D2386" s="98" t="s">
        <v>218</v>
      </c>
      <c r="E2386" s="103">
        <v>22980</v>
      </c>
      <c r="F2386" s="98" t="s">
        <v>240</v>
      </c>
      <c r="G2386" s="98" t="s">
        <v>374</v>
      </c>
      <c r="H2386" s="98" t="s">
        <v>516</v>
      </c>
      <c r="I2386" s="98" t="s">
        <v>243</v>
      </c>
    </row>
    <row r="2387" spans="2:9" s="98" customFormat="1">
      <c r="B2387" s="99" t="s">
        <v>476</v>
      </c>
      <c r="C2387" s="109">
        <v>45720.673611111109</v>
      </c>
      <c r="D2387" s="98" t="s">
        <v>161</v>
      </c>
      <c r="E2387" s="103">
        <v>1156</v>
      </c>
      <c r="F2387" s="98" t="s">
        <v>240</v>
      </c>
      <c r="G2387" s="98" t="s">
        <v>374</v>
      </c>
      <c r="H2387" s="98" t="s">
        <v>516</v>
      </c>
      <c r="I2387" s="98" t="s">
        <v>247</v>
      </c>
    </row>
    <row r="2388" spans="2:9" s="98" customFormat="1">
      <c r="B2388" s="99" t="s">
        <v>476</v>
      </c>
      <c r="C2388" s="109">
        <v>45720.551388888889</v>
      </c>
      <c r="D2388" s="98" t="s">
        <v>162</v>
      </c>
      <c r="E2388" s="103">
        <v>890</v>
      </c>
      <c r="F2388" s="98" t="s">
        <v>240</v>
      </c>
      <c r="G2388" s="98" t="s">
        <v>374</v>
      </c>
      <c r="H2388" s="98" t="s">
        <v>516</v>
      </c>
      <c r="I2388" s="98" t="s">
        <v>242</v>
      </c>
    </row>
    <row r="2389" spans="2:9" s="98" customFormat="1">
      <c r="B2389" s="99" t="s">
        <v>476</v>
      </c>
      <c r="C2389" s="109">
        <v>45720.410416666666</v>
      </c>
      <c r="D2389" s="98" t="s">
        <v>219</v>
      </c>
      <c r="E2389" s="103">
        <v>14127</v>
      </c>
      <c r="F2389" s="98" t="s">
        <v>240</v>
      </c>
      <c r="G2389" s="98" t="s">
        <v>374</v>
      </c>
      <c r="H2389" s="98" t="s">
        <v>516</v>
      </c>
      <c r="I2389" s="98" t="s">
        <v>269</v>
      </c>
    </row>
    <row r="2390" spans="2:9" s="98" customFormat="1">
      <c r="B2390" s="99" t="s">
        <v>476</v>
      </c>
      <c r="C2390" s="109">
        <v>45720.390972222223</v>
      </c>
      <c r="D2390" s="98" t="s">
        <v>139</v>
      </c>
      <c r="E2390" s="103">
        <v>1700</v>
      </c>
      <c r="F2390" s="98" t="s">
        <v>240</v>
      </c>
      <c r="G2390" s="98" t="s">
        <v>374</v>
      </c>
      <c r="H2390" s="98" t="s">
        <v>516</v>
      </c>
      <c r="I2390" s="98" t="s">
        <v>242</v>
      </c>
    </row>
    <row r="2391" spans="2:9" s="98" customFormat="1">
      <c r="B2391" s="99" t="s">
        <v>476</v>
      </c>
      <c r="C2391" s="109">
        <v>45719.990972222222</v>
      </c>
      <c r="D2391" s="98" t="s">
        <v>220</v>
      </c>
      <c r="E2391" s="103">
        <v>19990</v>
      </c>
      <c r="F2391" s="98" t="s">
        <v>240</v>
      </c>
      <c r="G2391" s="98" t="s">
        <v>374</v>
      </c>
      <c r="H2391" s="98" t="s">
        <v>516</v>
      </c>
      <c r="I2391" s="98" t="s">
        <v>243</v>
      </c>
    </row>
    <row r="2392" spans="2:9" s="98" customFormat="1">
      <c r="B2392" s="99" t="s">
        <v>476</v>
      </c>
      <c r="C2392" s="109">
        <v>45719.942361111112</v>
      </c>
      <c r="D2392" s="98" t="s">
        <v>59</v>
      </c>
      <c r="E2392" s="103">
        <v>-59202</v>
      </c>
      <c r="F2392" s="98" t="s">
        <v>239</v>
      </c>
      <c r="I2392" s="98" t="s">
        <v>253</v>
      </c>
    </row>
    <row r="2393" spans="2:9" s="98" customFormat="1">
      <c r="B2393" s="99" t="s">
        <v>476</v>
      </c>
      <c r="C2393" s="109">
        <v>45719.875</v>
      </c>
      <c r="D2393" s="98" t="s">
        <v>221</v>
      </c>
      <c r="E2393" s="103">
        <v>25990</v>
      </c>
      <c r="F2393" s="98" t="s">
        <v>240</v>
      </c>
      <c r="G2393" s="98" t="s">
        <v>374</v>
      </c>
      <c r="H2393" s="98" t="s">
        <v>516</v>
      </c>
      <c r="I2393" s="98" t="s">
        <v>244</v>
      </c>
    </row>
    <row r="2394" spans="2:9" s="98" customFormat="1">
      <c r="B2394" s="99" t="s">
        <v>476</v>
      </c>
      <c r="C2394" s="109">
        <v>45719.807638888888</v>
      </c>
      <c r="D2394" s="98" t="s">
        <v>7</v>
      </c>
      <c r="E2394" s="103">
        <v>3990</v>
      </c>
      <c r="F2394" s="98" t="s">
        <v>240</v>
      </c>
      <c r="G2394" s="98" t="s">
        <v>374</v>
      </c>
      <c r="H2394" s="98" t="s">
        <v>516</v>
      </c>
      <c r="I2394" s="98" t="s">
        <v>244</v>
      </c>
    </row>
    <row r="2395" spans="2:9" s="98" customFormat="1">
      <c r="B2395" s="99" t="s">
        <v>476</v>
      </c>
      <c r="C2395" s="109">
        <v>45719.795138888891</v>
      </c>
      <c r="D2395" s="98" t="s">
        <v>51</v>
      </c>
      <c r="E2395" s="103">
        <v>10000</v>
      </c>
      <c r="F2395" s="98" t="s">
        <v>240</v>
      </c>
      <c r="G2395" s="98" t="s">
        <v>374</v>
      </c>
      <c r="H2395" s="98" t="s">
        <v>516</v>
      </c>
      <c r="I2395" s="98" t="s">
        <v>270</v>
      </c>
    </row>
    <row r="2396" spans="2:9" s="98" customFormat="1">
      <c r="B2396" s="99" t="s">
        <v>476</v>
      </c>
      <c r="C2396" s="109">
        <v>45719.621527777781</v>
      </c>
      <c r="D2396" s="98" t="s">
        <v>115</v>
      </c>
      <c r="E2396" s="103">
        <v>42711</v>
      </c>
      <c r="F2396" s="98" t="s">
        <v>240</v>
      </c>
      <c r="G2396" s="98" t="s">
        <v>374</v>
      </c>
      <c r="H2396" s="98" t="s">
        <v>516</v>
      </c>
      <c r="I2396" s="98" t="s">
        <v>245</v>
      </c>
    </row>
    <row r="2397" spans="2:9" s="98" customFormat="1">
      <c r="B2397" s="99" t="s">
        <v>476</v>
      </c>
      <c r="C2397" s="109">
        <v>45718.879861111112</v>
      </c>
      <c r="D2397" s="98" t="s">
        <v>49</v>
      </c>
      <c r="E2397" s="103">
        <v>44546</v>
      </c>
      <c r="F2397" s="98" t="s">
        <v>240</v>
      </c>
      <c r="G2397" s="98" t="s">
        <v>374</v>
      </c>
      <c r="H2397" s="98" t="s">
        <v>516</v>
      </c>
      <c r="I2397" s="98" t="s">
        <v>245</v>
      </c>
    </row>
    <row r="2398" spans="2:9" s="98" customFormat="1">
      <c r="B2398" s="99" t="s">
        <v>476</v>
      </c>
      <c r="C2398" s="109">
        <v>45718.68472222222</v>
      </c>
      <c r="D2398" s="98" t="s">
        <v>222</v>
      </c>
      <c r="E2398" s="103">
        <v>9600</v>
      </c>
      <c r="F2398" s="98" t="s">
        <v>240</v>
      </c>
      <c r="G2398" s="98" t="s">
        <v>374</v>
      </c>
      <c r="H2398" s="98" t="s">
        <v>516</v>
      </c>
      <c r="I2398" s="98" t="s">
        <v>242</v>
      </c>
    </row>
    <row r="2399" spans="2:9" s="98" customFormat="1">
      <c r="B2399" s="99" t="s">
        <v>476</v>
      </c>
      <c r="C2399" s="109">
        <v>45718.584027777775</v>
      </c>
      <c r="D2399" s="98" t="s">
        <v>223</v>
      </c>
      <c r="E2399" s="103">
        <v>7400</v>
      </c>
      <c r="F2399" s="98" t="s">
        <v>240</v>
      </c>
      <c r="G2399" s="98" t="s">
        <v>374</v>
      </c>
      <c r="H2399" s="98" t="s">
        <v>516</v>
      </c>
      <c r="I2399" s="98" t="s">
        <v>248</v>
      </c>
    </row>
    <row r="2400" spans="2:9" s="98" customFormat="1">
      <c r="B2400" s="99" t="s">
        <v>476</v>
      </c>
      <c r="C2400" s="109">
        <v>45717.96875</v>
      </c>
      <c r="D2400" s="98" t="s">
        <v>41</v>
      </c>
      <c r="E2400" s="103">
        <v>9480</v>
      </c>
      <c r="F2400" s="98" t="s">
        <v>240</v>
      </c>
      <c r="G2400" s="98" t="s">
        <v>374</v>
      </c>
      <c r="H2400" s="98" t="s">
        <v>516</v>
      </c>
      <c r="I2400" s="98" t="s">
        <v>247</v>
      </c>
    </row>
    <row r="2401" spans="2:9" s="98" customFormat="1">
      <c r="B2401" s="99" t="s">
        <v>476</v>
      </c>
      <c r="C2401" s="109">
        <v>45717.835416666669</v>
      </c>
      <c r="D2401" s="98" t="s">
        <v>224</v>
      </c>
      <c r="E2401" s="103">
        <v>9990</v>
      </c>
      <c r="F2401" s="98" t="s">
        <v>240</v>
      </c>
      <c r="G2401" s="98" t="s">
        <v>374</v>
      </c>
      <c r="H2401" s="98" t="s">
        <v>516</v>
      </c>
      <c r="I2401" s="98" t="s">
        <v>264</v>
      </c>
    </row>
    <row r="2402" spans="2:9" s="98" customFormat="1">
      <c r="B2402" s="99" t="s">
        <v>476</v>
      </c>
      <c r="C2402" s="109">
        <v>45717.67083333333</v>
      </c>
      <c r="D2402" s="98" t="s">
        <v>115</v>
      </c>
      <c r="E2402" s="103">
        <v>86290</v>
      </c>
      <c r="F2402" s="98" t="s">
        <v>240</v>
      </c>
      <c r="G2402" s="98" t="s">
        <v>374</v>
      </c>
      <c r="H2402" s="98" t="s">
        <v>516</v>
      </c>
      <c r="I2402" s="98" t="s">
        <v>245</v>
      </c>
    </row>
    <row r="2403" spans="2:9" s="98" customFormat="1">
      <c r="B2403" s="99" t="s">
        <v>476</v>
      </c>
      <c r="C2403" s="109">
        <v>45717.624305555553</v>
      </c>
      <c r="D2403" s="98" t="s">
        <v>225</v>
      </c>
      <c r="E2403" s="103">
        <v>47980</v>
      </c>
      <c r="F2403" s="98" t="s">
        <v>240</v>
      </c>
      <c r="G2403" s="98" t="s">
        <v>374</v>
      </c>
      <c r="H2403" s="98" t="s">
        <v>516</v>
      </c>
      <c r="I2403" s="98" t="s">
        <v>264</v>
      </c>
    </row>
    <row r="2404" spans="2:9" s="98" customFormat="1">
      <c r="B2404" s="99" t="s">
        <v>476</v>
      </c>
      <c r="C2404" s="109">
        <v>45717.602777777778</v>
      </c>
      <c r="D2404" s="98" t="s">
        <v>226</v>
      </c>
      <c r="E2404" s="103">
        <v>3890</v>
      </c>
      <c r="F2404" s="98" t="s">
        <v>240</v>
      </c>
      <c r="G2404" s="98" t="s">
        <v>374</v>
      </c>
      <c r="H2404" s="98" t="s">
        <v>516</v>
      </c>
      <c r="I2404" s="98" t="s">
        <v>247</v>
      </c>
    </row>
    <row r="2405" spans="2:9" s="98" customFormat="1">
      <c r="B2405" s="99" t="s">
        <v>476</v>
      </c>
      <c r="C2405" s="109">
        <v>45717.585416666669</v>
      </c>
      <c r="D2405" s="98" t="s">
        <v>227</v>
      </c>
      <c r="E2405" s="103">
        <v>25000</v>
      </c>
      <c r="F2405" s="98" t="s">
        <v>240</v>
      </c>
      <c r="G2405" s="98" t="s">
        <v>374</v>
      </c>
      <c r="H2405" s="98" t="s">
        <v>516</v>
      </c>
      <c r="I2405" s="98" t="s">
        <v>264</v>
      </c>
    </row>
    <row r="2406" spans="2:9" s="98" customFormat="1">
      <c r="B2406" s="99" t="s">
        <v>476</v>
      </c>
      <c r="C2406" s="109">
        <v>45717.579861111109</v>
      </c>
      <c r="D2406" s="98" t="s">
        <v>86</v>
      </c>
      <c r="E2406" s="103">
        <v>60000</v>
      </c>
      <c r="F2406" s="98" t="s">
        <v>240</v>
      </c>
      <c r="G2406" s="98" t="s">
        <v>374</v>
      </c>
      <c r="H2406" s="98" t="s">
        <v>516</v>
      </c>
      <c r="I2406" s="98" t="s">
        <v>263</v>
      </c>
    </row>
    <row r="2407" spans="2:9" s="98" customFormat="1">
      <c r="B2407" s="99" t="s">
        <v>476</v>
      </c>
      <c r="C2407" s="109">
        <v>45717.490972222222</v>
      </c>
      <c r="D2407" s="98" t="s">
        <v>30</v>
      </c>
      <c r="E2407" s="103">
        <v>4080</v>
      </c>
      <c r="F2407" s="98" t="s">
        <v>240</v>
      </c>
      <c r="G2407" s="98" t="s">
        <v>374</v>
      </c>
      <c r="H2407" s="98" t="s">
        <v>516</v>
      </c>
      <c r="I2407" s="98" t="s">
        <v>247</v>
      </c>
    </row>
    <row r="2408" spans="2:9" s="98" customFormat="1">
      <c r="B2408" s="99" t="s">
        <v>476</v>
      </c>
      <c r="C2408" s="109">
        <v>45717.474305555559</v>
      </c>
      <c r="D2408" s="98" t="s">
        <v>30</v>
      </c>
      <c r="E2408" s="103">
        <v>2900</v>
      </c>
      <c r="F2408" s="98" t="s">
        <v>240</v>
      </c>
      <c r="G2408" s="98" t="s">
        <v>374</v>
      </c>
      <c r="H2408" s="98" t="s">
        <v>516</v>
      </c>
      <c r="I2408" s="98" t="s">
        <v>247</v>
      </c>
    </row>
    <row r="2409" spans="2:9" s="98" customFormat="1">
      <c r="B2409" s="99" t="s">
        <v>476</v>
      </c>
      <c r="C2409" s="109">
        <v>45717.466666666667</v>
      </c>
      <c r="D2409" s="98" t="s">
        <v>228</v>
      </c>
      <c r="E2409" s="103">
        <v>3990</v>
      </c>
      <c r="F2409" s="98" t="s">
        <v>240</v>
      </c>
      <c r="G2409" s="98" t="s">
        <v>374</v>
      </c>
      <c r="H2409" s="98" t="s">
        <v>516</v>
      </c>
      <c r="I2409" s="98" t="s">
        <v>243</v>
      </c>
    </row>
    <row r="2410" spans="2:9" s="98" customFormat="1">
      <c r="B2410" s="99" t="s">
        <v>476</v>
      </c>
      <c r="C2410" s="109">
        <v>45717.459722222222</v>
      </c>
      <c r="D2410" s="98" t="s">
        <v>229</v>
      </c>
      <c r="E2410" s="103">
        <v>50634</v>
      </c>
      <c r="F2410" s="98" t="s">
        <v>240</v>
      </c>
      <c r="G2410" s="98" t="s">
        <v>374</v>
      </c>
      <c r="H2410" s="98" t="s">
        <v>516</v>
      </c>
      <c r="I2410" s="98" t="s">
        <v>251</v>
      </c>
    </row>
    <row r="2411" spans="2:9" s="98" customFormat="1">
      <c r="B2411" s="99" t="s">
        <v>476</v>
      </c>
      <c r="C2411" s="109">
        <v>45717.407638888886</v>
      </c>
      <c r="D2411" s="98" t="s">
        <v>51</v>
      </c>
      <c r="E2411" s="103">
        <v>15000</v>
      </c>
      <c r="F2411" s="98" t="s">
        <v>240</v>
      </c>
      <c r="G2411" s="98" t="s">
        <v>374</v>
      </c>
      <c r="H2411" s="98" t="s">
        <v>516</v>
      </c>
      <c r="I2411" s="98" t="s">
        <v>270</v>
      </c>
    </row>
    <row r="2412" spans="2:9" s="98" customFormat="1">
      <c r="B2412" s="99" t="s">
        <v>476</v>
      </c>
      <c r="C2412" s="109">
        <v>45717.001388888886</v>
      </c>
      <c r="D2412" s="98" t="s">
        <v>230</v>
      </c>
      <c r="E2412" s="103">
        <v>2740</v>
      </c>
      <c r="F2412" s="98" t="s">
        <v>240</v>
      </c>
      <c r="G2412" s="98" t="s">
        <v>374</v>
      </c>
      <c r="H2412" s="98" t="s">
        <v>516</v>
      </c>
      <c r="I2412" s="98" t="s">
        <v>251</v>
      </c>
    </row>
    <row r="2413" spans="2:9" s="98" customFormat="1">
      <c r="B2413" s="99" t="s">
        <v>476</v>
      </c>
      <c r="C2413" s="109">
        <v>45716.982638888891</v>
      </c>
      <c r="D2413" s="98" t="s">
        <v>173</v>
      </c>
      <c r="E2413" s="103">
        <v>13280</v>
      </c>
      <c r="F2413" s="98" t="s">
        <v>240</v>
      </c>
      <c r="G2413" s="98" t="s">
        <v>374</v>
      </c>
      <c r="H2413" s="98" t="s">
        <v>516</v>
      </c>
      <c r="I2413" s="98" t="s">
        <v>248</v>
      </c>
    </row>
    <row r="2414" spans="2:9" s="98" customFormat="1">
      <c r="B2414" s="99" t="s">
        <v>476</v>
      </c>
      <c r="C2414" s="109">
        <v>45716.815972222219</v>
      </c>
      <c r="D2414" s="98" t="s">
        <v>231</v>
      </c>
      <c r="E2414" s="103">
        <v>10800</v>
      </c>
      <c r="F2414" s="98" t="s">
        <v>240</v>
      </c>
      <c r="G2414" s="98" t="s">
        <v>374</v>
      </c>
      <c r="H2414" s="98" t="s">
        <v>516</v>
      </c>
      <c r="I2414" s="98" t="s">
        <v>247</v>
      </c>
    </row>
    <row r="2415" spans="2:9" s="98" customFormat="1">
      <c r="B2415" s="99" t="s">
        <v>476</v>
      </c>
      <c r="C2415" s="109">
        <v>45716.801388888889</v>
      </c>
      <c r="D2415" s="98" t="s">
        <v>232</v>
      </c>
      <c r="E2415" s="103">
        <v>7864</v>
      </c>
      <c r="F2415" s="98" t="s">
        <v>240</v>
      </c>
      <c r="G2415" s="98" t="s">
        <v>374</v>
      </c>
      <c r="H2415" s="98" t="s">
        <v>516</v>
      </c>
      <c r="I2415" s="98" t="s">
        <v>242</v>
      </c>
    </row>
    <row r="2416" spans="2:9" s="98" customFormat="1">
      <c r="B2416" s="99" t="s">
        <v>476</v>
      </c>
      <c r="C2416" s="109">
        <v>45716.786805555559</v>
      </c>
      <c r="D2416" s="98" t="s">
        <v>156</v>
      </c>
      <c r="E2416" s="103">
        <v>1100</v>
      </c>
      <c r="F2416" s="98" t="s">
        <v>240</v>
      </c>
      <c r="G2416" s="98" t="s">
        <v>374</v>
      </c>
      <c r="H2416" s="98" t="s">
        <v>516</v>
      </c>
      <c r="I2416" s="98" t="s">
        <v>241</v>
      </c>
    </row>
    <row r="2417" spans="2:12" s="98" customFormat="1">
      <c r="B2417" s="99" t="s">
        <v>476</v>
      </c>
      <c r="C2417" s="109">
        <v>45716.782638888886</v>
      </c>
      <c r="D2417" s="98" t="s">
        <v>233</v>
      </c>
      <c r="E2417" s="103">
        <v>59071</v>
      </c>
      <c r="F2417" s="98" t="s">
        <v>240</v>
      </c>
      <c r="G2417" s="98" t="s">
        <v>374</v>
      </c>
      <c r="H2417" s="98" t="s">
        <v>516</v>
      </c>
      <c r="I2417" s="98" t="s">
        <v>245</v>
      </c>
    </row>
    <row r="2418" spans="2:12" s="98" customFormat="1">
      <c r="B2418" s="99" t="s">
        <v>476</v>
      </c>
      <c r="C2418" s="109">
        <v>45716.713888888888</v>
      </c>
      <c r="D2418" s="98" t="s">
        <v>234</v>
      </c>
      <c r="E2418" s="103">
        <v>30000</v>
      </c>
      <c r="F2418" s="98" t="s">
        <v>240</v>
      </c>
      <c r="G2418" s="98" t="s">
        <v>374</v>
      </c>
      <c r="H2418" s="98" t="s">
        <v>516</v>
      </c>
      <c r="I2418" s="98" t="s">
        <v>263</v>
      </c>
    </row>
    <row r="2419" spans="2:12" s="98" customFormat="1">
      <c r="B2419" s="99" t="s">
        <v>476</v>
      </c>
      <c r="C2419" s="109">
        <v>45716.70208333333</v>
      </c>
      <c r="D2419" s="98" t="s">
        <v>235</v>
      </c>
      <c r="E2419" s="103">
        <v>20500</v>
      </c>
      <c r="F2419" s="98" t="s">
        <v>240</v>
      </c>
      <c r="G2419" s="98" t="s">
        <v>374</v>
      </c>
      <c r="H2419" s="98" t="s">
        <v>516</v>
      </c>
      <c r="I2419" s="98" t="s">
        <v>243</v>
      </c>
    </row>
    <row r="2420" spans="2:12" s="98" customFormat="1">
      <c r="B2420" s="99" t="s">
        <v>476</v>
      </c>
      <c r="C2420" s="109">
        <v>45716.690972222219</v>
      </c>
      <c r="D2420" s="98" t="s">
        <v>103</v>
      </c>
      <c r="E2420" s="103">
        <v>25193</v>
      </c>
      <c r="F2420" s="98" t="s">
        <v>240</v>
      </c>
      <c r="G2420" s="98" t="s">
        <v>374</v>
      </c>
      <c r="H2420" s="98" t="s">
        <v>516</v>
      </c>
      <c r="I2420" s="98" t="s">
        <v>243</v>
      </c>
    </row>
    <row r="2421" spans="2:12" s="98" customFormat="1">
      <c r="B2421" s="99" t="s">
        <v>476</v>
      </c>
      <c r="C2421" s="109">
        <v>45716.666666666664</v>
      </c>
      <c r="D2421" s="98" t="s">
        <v>228</v>
      </c>
      <c r="E2421" s="103">
        <v>8080</v>
      </c>
      <c r="F2421" s="98" t="s">
        <v>240</v>
      </c>
      <c r="G2421" s="98" t="s">
        <v>374</v>
      </c>
      <c r="H2421" s="98" t="s">
        <v>516</v>
      </c>
      <c r="I2421" s="98" t="s">
        <v>243</v>
      </c>
    </row>
    <row r="2422" spans="2:12" s="98" customFormat="1">
      <c r="B2422" s="99" t="s">
        <v>476</v>
      </c>
      <c r="C2422" s="109">
        <v>45716.660416666666</v>
      </c>
      <c r="D2422" s="98" t="s">
        <v>228</v>
      </c>
      <c r="E2422" s="103">
        <v>3990</v>
      </c>
      <c r="F2422" s="98" t="s">
        <v>240</v>
      </c>
      <c r="G2422" s="98" t="s">
        <v>374</v>
      </c>
      <c r="H2422" s="98" t="s">
        <v>516</v>
      </c>
      <c r="I2422" s="98" t="s">
        <v>243</v>
      </c>
    </row>
    <row r="2423" spans="2:12" s="98" customFormat="1">
      <c r="B2423" s="99" t="s">
        <v>476</v>
      </c>
      <c r="C2423" s="109">
        <v>45716.647916666669</v>
      </c>
      <c r="D2423" s="98" t="s">
        <v>283</v>
      </c>
      <c r="E2423" s="103">
        <v>20000</v>
      </c>
      <c r="F2423" s="98" t="s">
        <v>240</v>
      </c>
      <c r="G2423" s="98" t="s">
        <v>374</v>
      </c>
      <c r="H2423" s="98" t="s">
        <v>516</v>
      </c>
      <c r="I2423" s="98" t="s">
        <v>264</v>
      </c>
    </row>
    <row r="2424" spans="2:12" s="98" customFormat="1">
      <c r="B2424" s="99" t="s">
        <v>476</v>
      </c>
      <c r="C2424" s="109">
        <v>45716.631944444445</v>
      </c>
      <c r="D2424" s="98" t="s">
        <v>236</v>
      </c>
      <c r="E2424" s="103">
        <v>12180</v>
      </c>
      <c r="F2424" s="98" t="s">
        <v>240</v>
      </c>
      <c r="G2424" s="98" t="s">
        <v>374</v>
      </c>
      <c r="H2424" s="98" t="s">
        <v>516</v>
      </c>
      <c r="I2424" s="98" t="s">
        <v>247</v>
      </c>
    </row>
    <row r="2425" spans="2:12" s="98" customFormat="1">
      <c r="B2425" s="99" t="s">
        <v>476</v>
      </c>
      <c r="C2425" s="109">
        <v>45716.628472222219</v>
      </c>
      <c r="D2425" s="98" t="s">
        <v>237</v>
      </c>
      <c r="E2425" s="103">
        <v>2400</v>
      </c>
      <c r="F2425" s="98" t="s">
        <v>240</v>
      </c>
      <c r="G2425" s="98" t="s">
        <v>374</v>
      </c>
      <c r="H2425" s="98" t="s">
        <v>516</v>
      </c>
      <c r="I2425" s="98" t="s">
        <v>242</v>
      </c>
    </row>
    <row r="2426" spans="2:12" s="98" customFormat="1">
      <c r="B2426" s="99"/>
      <c r="C2426" s="109"/>
      <c r="E2426" s="103">
        <f>SUBTOTAL(109,Tabla1[MONTO ($)])</f>
        <v>1206204</v>
      </c>
    </row>
    <row r="2427" spans="2:12" s="98" customFormat="1">
      <c r="B2427" s="99"/>
      <c r="C2427" s="109"/>
    </row>
    <row r="2428" spans="2:12" s="98" customFormat="1">
      <c r="B2428" s="99"/>
      <c r="C2428" s="109"/>
      <c r="E2428" s="114"/>
    </row>
    <row r="2429" spans="2:12" s="98" customFormat="1">
      <c r="B2429" s="99"/>
      <c r="C2429" s="109"/>
      <c r="E2429" s="103"/>
    </row>
    <row r="2430" spans="2:12" s="98" customFormat="1">
      <c r="B2430" s="99"/>
      <c r="E2430" s="103"/>
    </row>
    <row r="2431" spans="2:12" s="98" customFormat="1">
      <c r="B2431" s="99"/>
      <c r="C2431" s="98">
        <v>1</v>
      </c>
      <c r="D2431" s="98">
        <v>1</v>
      </c>
      <c r="E2431" s="98">
        <v>1</v>
      </c>
      <c r="F2431" s="98">
        <v>1</v>
      </c>
      <c r="G2431" s="98">
        <v>1</v>
      </c>
      <c r="H2431" s="98" t="s">
        <v>865</v>
      </c>
      <c r="L2431" s="115">
        <v>52560</v>
      </c>
    </row>
    <row r="2432" spans="2:12" s="98" customFormat="1">
      <c r="B2432" s="99"/>
      <c r="C2432" s="109">
        <v>45932</v>
      </c>
      <c r="D2432" s="111" t="s">
        <v>677</v>
      </c>
      <c r="E2432" s="114">
        <v>1450</v>
      </c>
      <c r="G2432" s="98" t="s">
        <v>374</v>
      </c>
    </row>
    <row r="2433" spans="2:5" s="98" customFormat="1">
      <c r="B2433" s="99"/>
      <c r="C2433" s="109">
        <v>45930</v>
      </c>
      <c r="D2433" s="111" t="s">
        <v>678</v>
      </c>
      <c r="E2433" s="114">
        <v>1800</v>
      </c>
    </row>
    <row r="2434" spans="2:5" s="98" customFormat="1">
      <c r="B2434" s="99"/>
      <c r="C2434" s="109">
        <v>45930</v>
      </c>
      <c r="D2434" s="111" t="s">
        <v>679</v>
      </c>
      <c r="E2434" s="114">
        <v>1400</v>
      </c>
    </row>
    <row r="2435" spans="2:5" s="98" customFormat="1">
      <c r="B2435" s="99"/>
      <c r="C2435" s="109">
        <v>45930</v>
      </c>
      <c r="D2435" s="111" t="s">
        <v>680</v>
      </c>
      <c r="E2435" s="114">
        <v>10000</v>
      </c>
    </row>
    <row r="2436" spans="2:5" s="98" customFormat="1">
      <c r="B2436" s="99"/>
      <c r="C2436" s="109">
        <v>45930</v>
      </c>
      <c r="D2436" s="111" t="s">
        <v>681</v>
      </c>
      <c r="E2436" s="114">
        <v>4500</v>
      </c>
    </row>
    <row r="2437" spans="2:5" s="98" customFormat="1">
      <c r="B2437" s="99"/>
      <c r="C2437" s="109">
        <v>45930</v>
      </c>
      <c r="D2437" s="111" t="s">
        <v>682</v>
      </c>
      <c r="E2437" s="114">
        <v>3100</v>
      </c>
    </row>
    <row r="2438" spans="2:5" s="98" customFormat="1">
      <c r="B2438" s="99"/>
      <c r="C2438" s="109">
        <v>45930</v>
      </c>
      <c r="D2438" s="111" t="s">
        <v>683</v>
      </c>
      <c r="E2438" s="114">
        <v>2016</v>
      </c>
    </row>
    <row r="2439" spans="2:5" s="98" customFormat="1">
      <c r="B2439" s="99"/>
      <c r="C2439" s="109">
        <v>45929</v>
      </c>
      <c r="D2439" s="111" t="s">
        <v>435</v>
      </c>
      <c r="E2439" s="114">
        <v>24843</v>
      </c>
    </row>
    <row r="2440" spans="2:5" s="98" customFormat="1">
      <c r="B2440" s="99"/>
      <c r="C2440" s="109">
        <v>45929</v>
      </c>
      <c r="D2440" s="111" t="s">
        <v>677</v>
      </c>
      <c r="E2440" s="114">
        <v>850</v>
      </c>
    </row>
    <row r="2441" spans="2:5" s="98" customFormat="1">
      <c r="B2441" s="99"/>
      <c r="C2441" s="109">
        <v>45929</v>
      </c>
      <c r="D2441" s="111" t="s">
        <v>684</v>
      </c>
      <c r="E2441" s="114">
        <v>-77746</v>
      </c>
    </row>
    <row r="2442" spans="2:5" s="98" customFormat="1">
      <c r="B2442" s="99"/>
      <c r="C2442" s="109">
        <v>45930</v>
      </c>
      <c r="D2442" s="111" t="s">
        <v>676</v>
      </c>
      <c r="E2442" s="103">
        <v>18429</v>
      </c>
    </row>
    <row r="2443" spans="2:5" s="98" customFormat="1">
      <c r="B2443" s="99"/>
      <c r="E2443" s="103">
        <f>SUM(E2431:E2442)+E5</f>
        <v>0</v>
      </c>
    </row>
  </sheetData>
  <autoFilter ref="C2431:G2431">
    <sortState ref="C1372:G1393">
      <sortCondition descending="1" ref="C1371"/>
    </sortState>
  </autoFilter>
  <phoneticPr fontId="2" type="noConversion"/>
  <conditionalFormatting sqref="E1046:E2425 E994:E1044 E786:E898 E653:E783 E11:E514">
    <cfRule type="cellIs" dxfId="101" priority="22" operator="lessThan">
      <formula>0</formula>
    </cfRule>
  </conditionalFormatting>
  <conditionalFormatting sqref="E1254">
    <cfRule type="cellIs" dxfId="100" priority="18" operator="lessThan">
      <formula>0</formula>
    </cfRule>
  </conditionalFormatting>
  <conditionalFormatting sqref="E1163">
    <cfRule type="cellIs" dxfId="99" priority="17" operator="lessThan">
      <formula>0</formula>
    </cfRule>
  </conditionalFormatting>
  <conditionalFormatting sqref="E1167:E1176">
    <cfRule type="cellIs" dxfId="98" priority="16" operator="lessThan">
      <formula>0</formula>
    </cfRule>
  </conditionalFormatting>
  <conditionalFormatting sqref="E1122:E1141">
    <cfRule type="cellIs" dxfId="97" priority="15" operator="lessThan">
      <formula>0</formula>
    </cfRule>
  </conditionalFormatting>
  <conditionalFormatting sqref="E1045">
    <cfRule type="cellIs" dxfId="96" priority="13" operator="lessThan">
      <formula>0</formula>
    </cfRule>
  </conditionalFormatting>
  <conditionalFormatting sqref="E959:E993">
    <cfRule type="cellIs" dxfId="95" priority="12" operator="lessThan">
      <formula>0</formula>
    </cfRule>
  </conditionalFormatting>
  <conditionalFormatting sqref="E899:E958">
    <cfRule type="cellIs" dxfId="94" priority="11" operator="lessThan">
      <formula>0</formula>
    </cfRule>
  </conditionalFormatting>
  <conditionalFormatting sqref="E785">
    <cfRule type="cellIs" dxfId="93" priority="9" operator="lessThan">
      <formula>0</formula>
    </cfRule>
  </conditionalFormatting>
  <conditionalFormatting sqref="E784">
    <cfRule type="cellIs" dxfId="92" priority="8" operator="lessThan">
      <formula>0</formula>
    </cfRule>
  </conditionalFormatting>
  <conditionalFormatting sqref="E598:E652">
    <cfRule type="cellIs" dxfId="91" priority="7" operator="lessThan">
      <formula>0</formula>
    </cfRule>
  </conditionalFormatting>
  <conditionalFormatting sqref="E570:E597">
    <cfRule type="cellIs" dxfId="90" priority="6" operator="lessThan">
      <formula>0</formula>
    </cfRule>
  </conditionalFormatting>
  <conditionalFormatting sqref="E515:E569">
    <cfRule type="cellIs" dxfId="89" priority="5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53" orientation="portrait" r:id="rId1"/>
  <colBreaks count="1" manualBreakCount="1">
    <brk id="10" max="1624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/>
  <dimension ref="A1:DO637"/>
  <sheetViews>
    <sheetView tabSelected="1" zoomScale="130" zoomScaleNormal="130" workbookViewId="0">
      <selection activeCell="E42" sqref="E42"/>
    </sheetView>
  </sheetViews>
  <sheetFormatPr baseColWidth="10" defaultColWidth="11.5703125" defaultRowHeight="10.5"/>
  <cols>
    <col min="1" max="1" width="23" style="43" customWidth="1"/>
    <col min="2" max="2" width="16.42578125" style="43" customWidth="1"/>
    <col min="3" max="3" width="11.7109375" style="50" bestFit="1" customWidth="1"/>
    <col min="4" max="4" width="13" style="50" bestFit="1" customWidth="1"/>
    <col min="5" max="5" width="13.7109375" style="50" customWidth="1"/>
    <col min="6" max="6" width="7.7109375" style="50" customWidth="1"/>
    <col min="7" max="7" width="16.140625" style="43" customWidth="1"/>
    <col min="8" max="8" width="1.28515625" style="43" customWidth="1"/>
    <col min="9" max="9" width="15.85546875" style="43" customWidth="1"/>
    <col min="10" max="10" width="14.28515625" style="43" customWidth="1"/>
    <col min="11" max="11" width="9.85546875" style="43" customWidth="1"/>
    <col min="12" max="12" width="16.140625" style="43" customWidth="1"/>
    <col min="13" max="14" width="8.28515625" style="43" bestFit="1" customWidth="1"/>
    <col min="15" max="15" width="7" style="43" bestFit="1" customWidth="1"/>
    <col min="16" max="16" width="8.28515625" style="43" bestFit="1" customWidth="1"/>
    <col min="17" max="17" width="6.85546875" style="43" bestFit="1" customWidth="1"/>
    <col min="18" max="19" width="6.42578125" style="43" bestFit="1" customWidth="1"/>
    <col min="20" max="20" width="6.7109375" style="43" bestFit="1" customWidth="1"/>
    <col min="21" max="22" width="6.5703125" style="43" bestFit="1" customWidth="1"/>
    <col min="23" max="23" width="7" style="43" bestFit="1" customWidth="1"/>
    <col min="24" max="25" width="6.85546875" style="43" bestFit="1" customWidth="1"/>
    <col min="26" max="26" width="8" style="43" bestFit="1" customWidth="1"/>
    <col min="27" max="27" width="6.85546875" style="43" bestFit="1" customWidth="1"/>
    <col min="28" max="29" width="7" style="43" bestFit="1" customWidth="1"/>
    <col min="30" max="30" width="6.42578125" style="43" bestFit="1" customWidth="1"/>
    <col min="31" max="31" width="6.5703125" style="43" bestFit="1" customWidth="1"/>
    <col min="32" max="32" width="6.7109375" style="43" bestFit="1" customWidth="1"/>
    <col min="33" max="33" width="6.85546875" style="43" bestFit="1" customWidth="1"/>
    <col min="34" max="34" width="6.7109375" style="43" bestFit="1" customWidth="1"/>
    <col min="35" max="35" width="7" style="43" bestFit="1" customWidth="1"/>
    <col min="36" max="36" width="6.85546875" style="43" bestFit="1" customWidth="1"/>
    <col min="37" max="37" width="7.7109375" style="43" bestFit="1" customWidth="1"/>
    <col min="38" max="38" width="6.7109375" style="43" bestFit="1" customWidth="1"/>
    <col min="39" max="39" width="7" style="43" bestFit="1" customWidth="1"/>
    <col min="40" max="40" width="6.85546875" style="43" bestFit="1" customWidth="1"/>
    <col min="41" max="41" width="6.7109375" style="43" bestFit="1" customWidth="1"/>
    <col min="42" max="43" width="7" style="43" bestFit="1" customWidth="1"/>
    <col min="44" max="44" width="7.140625" style="43" bestFit="1" customWidth="1"/>
    <col min="45" max="45" width="7.7109375" style="43" bestFit="1" customWidth="1"/>
    <col min="46" max="47" width="6.7109375" style="43" bestFit="1" customWidth="1"/>
    <col min="48" max="48" width="6.85546875" style="43" bestFit="1" customWidth="1"/>
    <col min="49" max="49" width="7.5703125" style="43" bestFit="1" customWidth="1"/>
    <col min="50" max="51" width="6.7109375" style="43" bestFit="1" customWidth="1"/>
    <col min="52" max="52" width="7.5703125" style="43" bestFit="1" customWidth="1"/>
    <col min="53" max="53" width="7" style="43" bestFit="1" customWidth="1"/>
    <col min="54" max="54" width="6.85546875" style="43" bestFit="1" customWidth="1"/>
    <col min="55" max="55" width="6.7109375" style="43" bestFit="1" customWidth="1"/>
    <col min="56" max="56" width="7" style="43" bestFit="1" customWidth="1"/>
    <col min="57" max="57" width="6.7109375" style="43" bestFit="1" customWidth="1"/>
    <col min="58" max="58" width="6.85546875" style="43" bestFit="1" customWidth="1"/>
    <col min="59" max="59" width="6.7109375" style="43" bestFit="1" customWidth="1"/>
    <col min="60" max="60" width="7.140625" style="43" bestFit="1" customWidth="1"/>
    <col min="61" max="61" width="6.7109375" style="43" bestFit="1" customWidth="1"/>
    <col min="62" max="62" width="6.85546875" style="43" bestFit="1" customWidth="1"/>
    <col min="63" max="63" width="6.7109375" style="43" bestFit="1" customWidth="1"/>
    <col min="64" max="64" width="6.85546875" style="43" bestFit="1" customWidth="1"/>
    <col min="65" max="65" width="6.7109375" style="43" bestFit="1" customWidth="1"/>
    <col min="66" max="66" width="6.28515625" style="43" bestFit="1" customWidth="1"/>
    <col min="67" max="67" width="6.7109375" style="43" bestFit="1" customWidth="1"/>
    <col min="68" max="68" width="6.85546875" style="43" bestFit="1" customWidth="1"/>
    <col min="69" max="69" width="8.140625" style="43" bestFit="1" customWidth="1"/>
    <col min="70" max="71" width="7.5703125" style="43" bestFit="1" customWidth="1"/>
    <col min="72" max="73" width="7.28515625" style="43" bestFit="1" customWidth="1"/>
    <col min="74" max="74" width="7.5703125" style="43" bestFit="1" customWidth="1"/>
    <col min="75" max="75" width="7" style="43" bestFit="1" customWidth="1"/>
    <col min="76" max="76" width="7.5703125" style="43" bestFit="1" customWidth="1"/>
    <col min="77" max="78" width="7.42578125" style="43" bestFit="1" customWidth="1"/>
    <col min="79" max="79" width="7" style="43" bestFit="1" customWidth="1"/>
    <col min="80" max="81" width="7.28515625" style="43" bestFit="1" customWidth="1"/>
    <col min="82" max="82" width="7.5703125" style="43" bestFit="1" customWidth="1"/>
    <col min="83" max="84" width="7.28515625" style="43" bestFit="1" customWidth="1"/>
    <col min="85" max="85" width="8" style="43" bestFit="1" customWidth="1"/>
    <col min="86" max="86" width="7.85546875" style="43" bestFit="1" customWidth="1"/>
    <col min="87" max="94" width="7.7109375" style="43" bestFit="1" customWidth="1"/>
    <col min="95" max="95" width="7.85546875" style="43" bestFit="1" customWidth="1"/>
    <col min="96" max="97" width="7.5703125" style="43" bestFit="1" customWidth="1"/>
    <col min="98" max="98" width="8" style="43" bestFit="1" customWidth="1"/>
    <col min="99" max="99" width="7.85546875" style="43" bestFit="1" customWidth="1"/>
    <col min="100" max="101" width="7.7109375" style="43" bestFit="1" customWidth="1"/>
    <col min="102" max="102" width="7.42578125" style="43" bestFit="1" customWidth="1"/>
    <col min="103" max="103" width="8" style="43" bestFit="1" customWidth="1"/>
    <col min="104" max="104" width="7.7109375" style="43" bestFit="1" customWidth="1"/>
    <col min="105" max="105" width="8" style="43" bestFit="1" customWidth="1"/>
    <col min="106" max="106" width="7.28515625" style="43" bestFit="1" customWidth="1"/>
    <col min="107" max="109" width="7.7109375" style="43" bestFit="1" customWidth="1"/>
    <col min="110" max="110" width="7.42578125" style="43" bestFit="1" customWidth="1"/>
    <col min="111" max="111" width="8.28515625" style="43" bestFit="1" customWidth="1"/>
    <col min="112" max="112" width="7.7109375" style="43" bestFit="1" customWidth="1"/>
    <col min="113" max="113" width="8.42578125" style="43" bestFit="1" customWidth="1"/>
    <col min="114" max="114" width="7.85546875" style="43" bestFit="1" customWidth="1"/>
    <col min="115" max="115" width="8.28515625" style="43" bestFit="1" customWidth="1"/>
    <col min="116" max="116" width="8.5703125" style="43" bestFit="1" customWidth="1"/>
    <col min="117" max="117" width="8.42578125" style="43" bestFit="1" customWidth="1"/>
    <col min="118" max="118" width="10.5703125" style="43" bestFit="1" customWidth="1"/>
    <col min="119" max="16384" width="11.5703125" style="43"/>
  </cols>
  <sheetData>
    <row r="1" spans="1:16">
      <c r="A1" s="42" t="s">
        <v>575</v>
      </c>
      <c r="B1" s="42"/>
      <c r="C1" s="42"/>
      <c r="D1" s="42" t="s">
        <v>576</v>
      </c>
      <c r="E1" s="42"/>
      <c r="F1" s="42"/>
      <c r="G1" s="42"/>
      <c r="I1" s="44">
        <v>9336</v>
      </c>
      <c r="J1" s="43" t="s">
        <v>738</v>
      </c>
      <c r="K1" s="44">
        <f ca="1">+(O1-1)*N4</f>
        <v>199500</v>
      </c>
      <c r="L1" s="43" t="s">
        <v>769</v>
      </c>
      <c r="M1" s="45">
        <v>46325</v>
      </c>
      <c r="N1" s="45">
        <f ca="1">+TODAY()</f>
        <v>46316</v>
      </c>
      <c r="O1" s="46">
        <f ca="1">+M1-N1-1</f>
        <v>8</v>
      </c>
    </row>
    <row r="2" spans="1:16">
      <c r="A2" s="41" t="s">
        <v>514</v>
      </c>
      <c r="B2" s="47">
        <f>+SUMIF(A46:A90,A2,B46:B90)</f>
        <v>1277460</v>
      </c>
      <c r="C2" s="48">
        <f>+B2/B6</f>
        <v>0.32673299234385</v>
      </c>
      <c r="D2" s="49" t="s">
        <v>513</v>
      </c>
      <c r="E2" s="50">
        <f>+SUMIF(G9:G37,D2,E9:E37)</f>
        <v>1335938</v>
      </c>
      <c r="G2" s="48">
        <f>+E2/$E$6</f>
        <v>0.31228199437772819</v>
      </c>
      <c r="I2" s="44">
        <v>585</v>
      </c>
      <c r="J2" s="43" t="s">
        <v>776</v>
      </c>
      <c r="K2" s="44">
        <f ca="1">+B39+I4+I3+I2+I1+K1</f>
        <v>4287807</v>
      </c>
      <c r="L2" s="43" t="str">
        <f>+'Dashboard Familiar'!F5</f>
        <v>Ingreso esperado ($)</v>
      </c>
    </row>
    <row r="3" spans="1:16">
      <c r="A3" s="41" t="s">
        <v>515</v>
      </c>
      <c r="B3" s="47">
        <f>+SUMIF(A46:A91,A3,B46:B91)</f>
        <v>2235338</v>
      </c>
      <c r="C3" s="48">
        <f>+B3/B6</f>
        <v>0.57172723501316436</v>
      </c>
      <c r="D3" s="51" t="s">
        <v>516</v>
      </c>
      <c r="E3" s="50">
        <f>+SUMIF(G9:G37,D3,E9:E37)</f>
        <v>2116127</v>
      </c>
      <c r="G3" s="48">
        <f t="shared" ref="G3:G5" si="0">+E3/$E$6</f>
        <v>0.49465496147018712</v>
      </c>
      <c r="I3" s="44">
        <f>3000+76492</f>
        <v>79492</v>
      </c>
      <c r="J3" s="43" t="s">
        <v>591</v>
      </c>
      <c r="K3" s="44"/>
      <c r="N3" s="52">
        <f>+N4*7</f>
        <v>199500</v>
      </c>
      <c r="O3" s="52" t="s">
        <v>989</v>
      </c>
      <c r="P3" s="52"/>
    </row>
    <row r="4" spans="1:16">
      <c r="A4" s="41" t="s">
        <v>546</v>
      </c>
      <c r="B4" s="47">
        <f>+SUMIF(A47:A92,A4,B47:B92)</f>
        <v>397000</v>
      </c>
      <c r="C4" s="48">
        <f>+B4/B6</f>
        <v>0.10153977264298565</v>
      </c>
      <c r="D4" s="51" t="s">
        <v>777</v>
      </c>
      <c r="E4" s="50">
        <f>+SUMIF(G9:G37,D4,E9:E37)</f>
        <v>428921</v>
      </c>
      <c r="G4" s="48">
        <f t="shared" si="0"/>
        <v>0.10026236645000708</v>
      </c>
      <c r="I4" s="44">
        <v>89096</v>
      </c>
      <c r="J4" s="43" t="s">
        <v>577</v>
      </c>
      <c r="L4" s="53">
        <f>+E39-B39</f>
        <v>368188</v>
      </c>
      <c r="N4" s="52">
        <v>28500</v>
      </c>
      <c r="O4" s="52" t="s">
        <v>999</v>
      </c>
      <c r="P4" s="52"/>
    </row>
    <row r="5" spans="1:16">
      <c r="B5" s="47"/>
      <c r="C5" s="48"/>
      <c r="D5" s="51" t="s">
        <v>546</v>
      </c>
      <c r="E5" s="50">
        <f>+SUMIF(G10:G38,D5,E10:E38)</f>
        <v>397000</v>
      </c>
      <c r="G5" s="48">
        <f t="shared" si="0"/>
        <v>9.2800677702077561E-2</v>
      </c>
      <c r="I5" s="53">
        <f>+B39+I2+I4+I1+I3-E39</f>
        <v>-189679</v>
      </c>
      <c r="K5" s="54">
        <f ca="1">+L4/O1</f>
        <v>46023.5</v>
      </c>
      <c r="L5" s="53">
        <f ca="1">+I5+K1</f>
        <v>9821</v>
      </c>
      <c r="N5" s="55"/>
      <c r="O5" s="55"/>
      <c r="P5" s="55"/>
    </row>
    <row r="6" spans="1:16">
      <c r="A6" s="56" t="s">
        <v>267</v>
      </c>
      <c r="B6" s="57">
        <f>SUM(B2:B4)</f>
        <v>3909798</v>
      </c>
      <c r="C6" s="58">
        <f>SUM(C2:C4)</f>
        <v>1</v>
      </c>
      <c r="D6" s="59"/>
      <c r="E6" s="57">
        <f>SUM(E2:E5)</f>
        <v>4277986</v>
      </c>
      <c r="F6" s="57"/>
      <c r="G6" s="58">
        <f>SUM(G2:G4)</f>
        <v>0.90719932229792244</v>
      </c>
      <c r="M6" s="60"/>
    </row>
    <row r="7" spans="1:16" ht="6.6" customHeight="1">
      <c r="A7" s="61"/>
      <c r="B7" s="61"/>
      <c r="C7" s="59"/>
      <c r="D7" s="59"/>
      <c r="E7" s="59"/>
      <c r="F7" s="59"/>
    </row>
    <row r="8" spans="1:16">
      <c r="A8" s="56" t="s">
        <v>547</v>
      </c>
      <c r="B8" s="56" t="s">
        <v>548</v>
      </c>
      <c r="C8" s="56" t="s">
        <v>549</v>
      </c>
      <c r="D8" s="56" t="s">
        <v>574</v>
      </c>
      <c r="E8" s="56" t="s">
        <v>573</v>
      </c>
      <c r="F8" s="56" t="s">
        <v>639</v>
      </c>
      <c r="G8" s="56" t="s">
        <v>777</v>
      </c>
    </row>
    <row r="9" spans="1:16">
      <c r="A9" s="62" t="s">
        <v>252</v>
      </c>
      <c r="B9" s="63">
        <f t="shared" ref="B9:B37" si="1">+SUMIF($A$45:$A$90,A9,$B$45:$B$90)</f>
        <v>758000</v>
      </c>
      <c r="C9" s="64">
        <v>758000</v>
      </c>
      <c r="D9" s="65">
        <f t="shared" ref="D9:D37" si="2">+C9-B9</f>
        <v>0</v>
      </c>
      <c r="E9" s="65">
        <f t="shared" ref="E9:E37" si="3">+MAX(B9:D9)</f>
        <v>758000</v>
      </c>
      <c r="F9" s="66">
        <f t="shared" ref="F9:F37" si="4">+E9/$E$39</f>
        <v>0.17718618059993652</v>
      </c>
      <c r="G9" s="67" t="s">
        <v>513</v>
      </c>
    </row>
    <row r="10" spans="1:16">
      <c r="A10" s="41" t="s">
        <v>245</v>
      </c>
      <c r="B10" s="47">
        <f t="shared" si="1"/>
        <v>466965</v>
      </c>
      <c r="C10" s="68">
        <v>600000</v>
      </c>
      <c r="D10" s="69">
        <f t="shared" si="2"/>
        <v>133035</v>
      </c>
      <c r="E10" s="69">
        <f t="shared" si="3"/>
        <v>600000</v>
      </c>
      <c r="F10" s="70">
        <f t="shared" si="4"/>
        <v>0.14025291340364368</v>
      </c>
      <c r="G10" s="43" t="s">
        <v>516</v>
      </c>
    </row>
    <row r="11" spans="1:16">
      <c r="A11" s="41" t="s">
        <v>270</v>
      </c>
      <c r="B11" s="47">
        <f t="shared" si="1"/>
        <v>507685</v>
      </c>
      <c r="C11" s="43">
        <v>580000</v>
      </c>
      <c r="D11" s="69">
        <f t="shared" si="2"/>
        <v>72315</v>
      </c>
      <c r="E11" s="69">
        <f t="shared" si="3"/>
        <v>580000</v>
      </c>
      <c r="F11" s="70">
        <f t="shared" si="4"/>
        <v>0.13557781629018889</v>
      </c>
      <c r="G11" s="43" t="s">
        <v>516</v>
      </c>
    </row>
    <row r="12" spans="1:16">
      <c r="A12" s="62" t="s">
        <v>983</v>
      </c>
      <c r="B12" s="64">
        <f t="shared" si="1"/>
        <v>397000</v>
      </c>
      <c r="C12" s="64">
        <f>+B12</f>
        <v>397000</v>
      </c>
      <c r="D12" s="65">
        <f t="shared" si="2"/>
        <v>0</v>
      </c>
      <c r="E12" s="65">
        <f t="shared" si="3"/>
        <v>397000</v>
      </c>
      <c r="F12" s="66">
        <f t="shared" si="4"/>
        <v>9.2800677702077561E-2</v>
      </c>
      <c r="G12" s="67" t="s">
        <v>546</v>
      </c>
    </row>
    <row r="13" spans="1:16">
      <c r="A13" s="71" t="s">
        <v>273</v>
      </c>
      <c r="B13" s="72">
        <f t="shared" si="1"/>
        <v>332091</v>
      </c>
      <c r="C13" s="73">
        <f>+B13</f>
        <v>332091</v>
      </c>
      <c r="D13" s="74">
        <f t="shared" si="2"/>
        <v>0</v>
      </c>
      <c r="E13" s="74">
        <f t="shared" si="3"/>
        <v>332091</v>
      </c>
      <c r="F13" s="75">
        <f t="shared" si="4"/>
        <v>7.762788377521572E-2</v>
      </c>
      <c r="G13" s="76" t="s">
        <v>777</v>
      </c>
    </row>
    <row r="14" spans="1:16">
      <c r="A14" s="62" t="s">
        <v>284</v>
      </c>
      <c r="B14" s="63">
        <f t="shared" si="1"/>
        <v>206427</v>
      </c>
      <c r="C14" s="63">
        <v>206427</v>
      </c>
      <c r="D14" s="65">
        <f t="shared" si="2"/>
        <v>0</v>
      </c>
      <c r="E14" s="65">
        <f t="shared" si="3"/>
        <v>206427</v>
      </c>
      <c r="F14" s="66">
        <f t="shared" si="4"/>
        <v>4.8253313591956587E-2</v>
      </c>
      <c r="G14" s="67" t="s">
        <v>513</v>
      </c>
    </row>
    <row r="15" spans="1:16">
      <c r="A15" s="41" t="s">
        <v>243</v>
      </c>
      <c r="B15" s="47">
        <f t="shared" si="1"/>
        <v>205195</v>
      </c>
      <c r="C15" s="68">
        <v>205195</v>
      </c>
      <c r="D15" s="69">
        <f t="shared" si="2"/>
        <v>0</v>
      </c>
      <c r="E15" s="69">
        <f t="shared" si="3"/>
        <v>205195</v>
      </c>
      <c r="F15" s="70">
        <f t="shared" si="4"/>
        <v>4.7965327609767773E-2</v>
      </c>
      <c r="G15" s="43" t="s">
        <v>516</v>
      </c>
    </row>
    <row r="16" spans="1:16">
      <c r="A16" s="62" t="s">
        <v>271</v>
      </c>
      <c r="B16" s="63">
        <f t="shared" si="1"/>
        <v>184929</v>
      </c>
      <c r="C16" s="63">
        <v>184929</v>
      </c>
      <c r="D16" s="65">
        <f t="shared" si="2"/>
        <v>0</v>
      </c>
      <c r="E16" s="65">
        <f t="shared" si="3"/>
        <v>184929</v>
      </c>
      <c r="F16" s="66">
        <f t="shared" si="4"/>
        <v>4.3228051704704035E-2</v>
      </c>
      <c r="G16" s="67" t="s">
        <v>513</v>
      </c>
    </row>
    <row r="17" spans="1:7">
      <c r="A17" s="41" t="s">
        <v>247</v>
      </c>
      <c r="B17" s="47">
        <f t="shared" si="1"/>
        <v>131977</v>
      </c>
      <c r="C17" s="47">
        <v>180000</v>
      </c>
      <c r="D17" s="69">
        <f t="shared" si="2"/>
        <v>48023</v>
      </c>
      <c r="E17" s="69">
        <f t="shared" si="3"/>
        <v>180000</v>
      </c>
      <c r="F17" s="70">
        <f t="shared" si="4"/>
        <v>4.2075874021093106E-2</v>
      </c>
      <c r="G17" s="43" t="s">
        <v>516</v>
      </c>
    </row>
    <row r="18" spans="1:7">
      <c r="A18" s="41" t="s">
        <v>268</v>
      </c>
      <c r="B18" s="47">
        <f t="shared" si="1"/>
        <v>135825</v>
      </c>
      <c r="C18" s="68">
        <v>135825</v>
      </c>
      <c r="D18" s="69">
        <f t="shared" si="2"/>
        <v>0</v>
      </c>
      <c r="E18" s="69">
        <f t="shared" si="3"/>
        <v>135825</v>
      </c>
      <c r="F18" s="70">
        <f t="shared" si="4"/>
        <v>3.1749753271749837E-2</v>
      </c>
      <c r="G18" s="43" t="s">
        <v>516</v>
      </c>
    </row>
    <row r="19" spans="1:7">
      <c r="A19" s="41" t="s">
        <v>248</v>
      </c>
      <c r="B19" s="47">
        <f t="shared" si="1"/>
        <v>144857</v>
      </c>
      <c r="C19" s="68">
        <f>+B19</f>
        <v>144857</v>
      </c>
      <c r="D19" s="69">
        <f t="shared" si="2"/>
        <v>0</v>
      </c>
      <c r="E19" s="69">
        <f t="shared" si="3"/>
        <v>144857</v>
      </c>
      <c r="F19" s="70">
        <f t="shared" si="4"/>
        <v>3.3861027128186019E-2</v>
      </c>
      <c r="G19" s="43" t="s">
        <v>516</v>
      </c>
    </row>
    <row r="20" spans="1:7">
      <c r="A20" s="62" t="s">
        <v>272</v>
      </c>
      <c r="B20" s="63">
        <f t="shared" si="1"/>
        <v>92800</v>
      </c>
      <c r="C20" s="63">
        <v>92800</v>
      </c>
      <c r="D20" s="65">
        <f t="shared" si="2"/>
        <v>0</v>
      </c>
      <c r="E20" s="65">
        <f t="shared" si="3"/>
        <v>92800</v>
      </c>
      <c r="F20" s="66">
        <f t="shared" si="4"/>
        <v>2.1692450606430221E-2</v>
      </c>
      <c r="G20" s="67" t="s">
        <v>513</v>
      </c>
    </row>
    <row r="21" spans="1:7">
      <c r="A21" s="71" t="s">
        <v>242</v>
      </c>
      <c r="B21" s="72">
        <f t="shared" si="1"/>
        <v>51154</v>
      </c>
      <c r="C21" s="73">
        <v>83000</v>
      </c>
      <c r="D21" s="74">
        <f t="shared" si="2"/>
        <v>31846</v>
      </c>
      <c r="E21" s="74">
        <f t="shared" si="3"/>
        <v>83000</v>
      </c>
      <c r="F21" s="75">
        <f t="shared" si="4"/>
        <v>1.9401653020837375E-2</v>
      </c>
      <c r="G21" s="76" t="s">
        <v>777</v>
      </c>
    </row>
    <row r="22" spans="1:7">
      <c r="A22" s="41" t="s">
        <v>244</v>
      </c>
      <c r="B22" s="47">
        <f t="shared" si="1"/>
        <v>43101</v>
      </c>
      <c r="C22" s="68">
        <v>80000</v>
      </c>
      <c r="D22" s="69">
        <f t="shared" si="2"/>
        <v>36899</v>
      </c>
      <c r="E22" s="69">
        <f t="shared" si="3"/>
        <v>80000</v>
      </c>
      <c r="F22" s="70">
        <f t="shared" si="4"/>
        <v>1.8700388453819158E-2</v>
      </c>
      <c r="G22" s="43" t="s">
        <v>516</v>
      </c>
    </row>
    <row r="23" spans="1:7">
      <c r="A23" s="41" t="s">
        <v>269</v>
      </c>
      <c r="B23" s="47">
        <f t="shared" si="1"/>
        <v>58032</v>
      </c>
      <c r="C23" s="68">
        <v>58032</v>
      </c>
      <c r="D23" s="69">
        <f t="shared" si="2"/>
        <v>0</v>
      </c>
      <c r="E23" s="69">
        <f t="shared" si="3"/>
        <v>58032</v>
      </c>
      <c r="F23" s="70">
        <f t="shared" si="4"/>
        <v>1.3565261784400416E-2</v>
      </c>
      <c r="G23" s="43" t="s">
        <v>516</v>
      </c>
    </row>
    <row r="24" spans="1:7">
      <c r="A24" s="62" t="s">
        <v>545</v>
      </c>
      <c r="B24" s="63">
        <f t="shared" si="1"/>
        <v>27589</v>
      </c>
      <c r="C24" s="63">
        <v>55178</v>
      </c>
      <c r="D24" s="65">
        <f t="shared" si="2"/>
        <v>27589</v>
      </c>
      <c r="E24" s="65">
        <f t="shared" si="3"/>
        <v>55178</v>
      </c>
      <c r="F24" s="66">
        <f t="shared" si="4"/>
        <v>1.2898125426310417E-2</v>
      </c>
      <c r="G24" s="67" t="s">
        <v>513</v>
      </c>
    </row>
    <row r="25" spans="1:7">
      <c r="A25" s="41" t="s">
        <v>736</v>
      </c>
      <c r="B25" s="47">
        <f t="shared" si="1"/>
        <v>43028</v>
      </c>
      <c r="C25" s="68">
        <v>43028</v>
      </c>
      <c r="D25" s="69">
        <f t="shared" si="2"/>
        <v>0</v>
      </c>
      <c r="E25" s="69">
        <f t="shared" si="3"/>
        <v>43028</v>
      </c>
      <c r="F25" s="70">
        <f t="shared" si="4"/>
        <v>1.0058003929886634E-2</v>
      </c>
      <c r="G25" s="43" t="s">
        <v>516</v>
      </c>
    </row>
    <row r="26" spans="1:7">
      <c r="A26" s="41" t="s">
        <v>263</v>
      </c>
      <c r="B26" s="47">
        <f t="shared" si="1"/>
        <v>30000</v>
      </c>
      <c r="C26" s="68">
        <v>30000</v>
      </c>
      <c r="D26" s="69">
        <f t="shared" si="2"/>
        <v>0</v>
      </c>
      <c r="E26" s="69">
        <f t="shared" si="3"/>
        <v>30000</v>
      </c>
      <c r="F26" s="70">
        <f t="shared" si="4"/>
        <v>7.0126456701821837E-3</v>
      </c>
      <c r="G26" s="43" t="s">
        <v>516</v>
      </c>
    </row>
    <row r="27" spans="1:7">
      <c r="A27" s="41" t="s">
        <v>609</v>
      </c>
      <c r="B27" s="47">
        <f t="shared" si="1"/>
        <v>29200</v>
      </c>
      <c r="C27" s="68">
        <v>29200</v>
      </c>
      <c r="D27" s="69">
        <f t="shared" si="2"/>
        <v>0</v>
      </c>
      <c r="E27" s="69">
        <f t="shared" si="3"/>
        <v>29200</v>
      </c>
      <c r="F27" s="70">
        <f t="shared" si="4"/>
        <v>6.8256417856439921E-3</v>
      </c>
      <c r="G27" s="43" t="s">
        <v>516</v>
      </c>
    </row>
    <row r="28" spans="1:7">
      <c r="A28" s="62" t="s">
        <v>544</v>
      </c>
      <c r="B28" s="63">
        <f t="shared" si="1"/>
        <v>11319</v>
      </c>
      <c r="C28" s="64">
        <v>25000</v>
      </c>
      <c r="D28" s="65">
        <f t="shared" si="2"/>
        <v>13681</v>
      </c>
      <c r="E28" s="65">
        <f t="shared" si="3"/>
        <v>25000</v>
      </c>
      <c r="F28" s="66">
        <f t="shared" si="4"/>
        <v>5.8438713918184861E-3</v>
      </c>
      <c r="G28" s="67" t="s">
        <v>513</v>
      </c>
    </row>
    <row r="29" spans="1:7">
      <c r="A29" s="41" t="s">
        <v>264</v>
      </c>
      <c r="B29" s="47">
        <f t="shared" si="1"/>
        <v>19990</v>
      </c>
      <c r="C29" s="47">
        <v>19990</v>
      </c>
      <c r="D29" s="69">
        <f t="shared" si="2"/>
        <v>0</v>
      </c>
      <c r="E29" s="69">
        <f t="shared" si="3"/>
        <v>19990</v>
      </c>
      <c r="F29" s="70">
        <f t="shared" si="4"/>
        <v>4.6727595648980618E-3</v>
      </c>
      <c r="G29" s="43" t="s">
        <v>516</v>
      </c>
    </row>
    <row r="30" spans="1:7">
      <c r="A30" s="41" t="s">
        <v>241</v>
      </c>
      <c r="B30" s="47">
        <f t="shared" si="1"/>
        <v>5200</v>
      </c>
      <c r="C30" s="68">
        <v>10000</v>
      </c>
      <c r="D30" s="69">
        <f t="shared" si="2"/>
        <v>4800</v>
      </c>
      <c r="E30" s="69">
        <f t="shared" si="3"/>
        <v>10000</v>
      </c>
      <c r="F30" s="70">
        <f t="shared" si="4"/>
        <v>2.3375485567273947E-3</v>
      </c>
      <c r="G30" s="43" t="s">
        <v>516</v>
      </c>
    </row>
    <row r="31" spans="1:7" s="3" customFormat="1" ht="11.25" hidden="1">
      <c r="A31" s="4" t="s">
        <v>619</v>
      </c>
      <c r="B31" s="2">
        <f t="shared" si="1"/>
        <v>0</v>
      </c>
      <c r="C31" s="2">
        <v>0</v>
      </c>
      <c r="D31" s="11">
        <f t="shared" si="2"/>
        <v>0</v>
      </c>
      <c r="E31" s="11">
        <f t="shared" si="3"/>
        <v>0</v>
      </c>
      <c r="F31" s="13">
        <f t="shared" si="4"/>
        <v>0</v>
      </c>
      <c r="G31" s="3" t="s">
        <v>516</v>
      </c>
    </row>
    <row r="32" spans="1:7" s="3" customFormat="1" ht="11.25" hidden="1">
      <c r="A32" s="4" t="s">
        <v>638</v>
      </c>
      <c r="B32" s="2">
        <f t="shared" si="1"/>
        <v>0</v>
      </c>
      <c r="C32" s="10">
        <v>0</v>
      </c>
      <c r="D32" s="11">
        <f t="shared" si="2"/>
        <v>0</v>
      </c>
      <c r="E32" s="11">
        <f t="shared" si="3"/>
        <v>0</v>
      </c>
      <c r="F32" s="13">
        <f t="shared" si="4"/>
        <v>0</v>
      </c>
      <c r="G32" s="3" t="s">
        <v>516</v>
      </c>
    </row>
    <row r="33" spans="1:119" s="3" customFormat="1" ht="11.25" hidden="1">
      <c r="A33" s="4" t="s">
        <v>471</v>
      </c>
      <c r="B33" s="2">
        <f t="shared" si="1"/>
        <v>0</v>
      </c>
      <c r="C33" s="10">
        <v>0</v>
      </c>
      <c r="D33" s="11">
        <f t="shared" si="2"/>
        <v>0</v>
      </c>
      <c r="E33" s="11">
        <f t="shared" si="3"/>
        <v>0</v>
      </c>
      <c r="F33" s="13">
        <f t="shared" si="4"/>
        <v>0</v>
      </c>
      <c r="G33" s="3" t="s">
        <v>516</v>
      </c>
    </row>
    <row r="34" spans="1:119" s="3" customFormat="1" ht="11.25" hidden="1">
      <c r="A34" s="5" t="s">
        <v>282</v>
      </c>
      <c r="B34" s="6">
        <f t="shared" si="1"/>
        <v>0</v>
      </c>
      <c r="C34" s="7">
        <v>0</v>
      </c>
      <c r="D34" s="8">
        <f t="shared" si="2"/>
        <v>0</v>
      </c>
      <c r="E34" s="8">
        <f t="shared" si="3"/>
        <v>0</v>
      </c>
      <c r="F34" s="12">
        <f t="shared" si="4"/>
        <v>0</v>
      </c>
      <c r="G34" s="9" t="s">
        <v>513</v>
      </c>
    </row>
    <row r="35" spans="1:119" s="3" customFormat="1" ht="11.25" hidden="1">
      <c r="A35" s="4" t="s">
        <v>739</v>
      </c>
      <c r="B35" s="2">
        <f t="shared" si="1"/>
        <v>0</v>
      </c>
      <c r="C35" s="10">
        <v>0</v>
      </c>
      <c r="D35" s="11">
        <f t="shared" si="2"/>
        <v>0</v>
      </c>
      <c r="E35" s="11">
        <f t="shared" si="3"/>
        <v>0</v>
      </c>
      <c r="F35" s="13">
        <f t="shared" si="4"/>
        <v>0</v>
      </c>
      <c r="G35" s="3" t="s">
        <v>516</v>
      </c>
    </row>
    <row r="36" spans="1:119">
      <c r="A36" s="77" t="s">
        <v>370</v>
      </c>
      <c r="B36" s="64">
        <f t="shared" si="1"/>
        <v>13604</v>
      </c>
      <c r="C36" s="64">
        <v>13604</v>
      </c>
      <c r="D36" s="65">
        <f t="shared" si="2"/>
        <v>0</v>
      </c>
      <c r="E36" s="65">
        <f t="shared" si="3"/>
        <v>13604</v>
      </c>
      <c r="F36" s="66">
        <f t="shared" si="4"/>
        <v>3.1800010565719477E-3</v>
      </c>
      <c r="G36" s="67" t="s">
        <v>513</v>
      </c>
    </row>
    <row r="37" spans="1:119">
      <c r="A37" s="71" t="s">
        <v>251</v>
      </c>
      <c r="B37" s="72">
        <f t="shared" si="1"/>
        <v>13830</v>
      </c>
      <c r="C37" s="72">
        <f>+B37</f>
        <v>13830</v>
      </c>
      <c r="D37" s="74">
        <f t="shared" si="2"/>
        <v>0</v>
      </c>
      <c r="E37" s="74">
        <f t="shared" si="3"/>
        <v>13830</v>
      </c>
      <c r="F37" s="75">
        <f t="shared" si="4"/>
        <v>3.2328296539539869E-3</v>
      </c>
      <c r="G37" s="76" t="s">
        <v>777</v>
      </c>
    </row>
    <row r="38" spans="1:119" ht="4.9000000000000004" customHeight="1">
      <c r="A38" s="41"/>
      <c r="B38" s="47"/>
      <c r="C38" s="59"/>
      <c r="D38" s="59"/>
      <c r="E38" s="59"/>
      <c r="F38" s="59"/>
    </row>
    <row r="39" spans="1:119">
      <c r="A39" s="56" t="s">
        <v>267</v>
      </c>
      <c r="B39" s="57">
        <f>SUM(B9:B37)</f>
        <v>3909798</v>
      </c>
      <c r="C39" s="57">
        <f>SUM(C9:C37)</f>
        <v>4277986</v>
      </c>
      <c r="D39" s="57">
        <f>SUM(D9:D37)</f>
        <v>368188</v>
      </c>
      <c r="E39" s="57">
        <f>SUM(E9:E37)</f>
        <v>4277986</v>
      </c>
      <c r="F39" s="43"/>
      <c r="H39" s="43">
        <v>2770340</v>
      </c>
    </row>
    <row r="40" spans="1:119" ht="16.5">
      <c r="A40" s="78"/>
      <c r="B40" s="78"/>
      <c r="C40" s="59"/>
      <c r="D40" s="69"/>
      <c r="E40" s="69"/>
      <c r="F40" s="69"/>
    </row>
    <row r="41" spans="1:119">
      <c r="A41" s="79" t="s">
        <v>261</v>
      </c>
      <c r="B41" s="80" t="s">
        <v>240</v>
      </c>
      <c r="H41" s="61"/>
      <c r="I41" s="81" t="s">
        <v>546</v>
      </c>
      <c r="J41" s="61" t="s">
        <v>987</v>
      </c>
      <c r="K41" s="61" t="s">
        <v>988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</row>
    <row r="42" spans="1:119">
      <c r="A42" s="79" t="s">
        <v>517</v>
      </c>
      <c r="B42" s="80" t="s">
        <v>519</v>
      </c>
      <c r="H42" s="61"/>
      <c r="I42" s="82" t="s">
        <v>983</v>
      </c>
      <c r="J42" s="82">
        <v>267123</v>
      </c>
      <c r="K42" s="82">
        <f>160000+225000+12000-97725</f>
        <v>299275</v>
      </c>
      <c r="L42" s="61"/>
      <c r="M42" s="83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84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</row>
    <row r="43" spans="1:119">
      <c r="A43" s="79" t="s">
        <v>256</v>
      </c>
      <c r="B43" s="80" t="s">
        <v>982</v>
      </c>
      <c r="H43" s="61"/>
      <c r="I43" s="61"/>
      <c r="J43" s="85">
        <f>+J42-K42</f>
        <v>-32152</v>
      </c>
      <c r="K43" s="86">
        <f>+J43/K42</f>
        <v>-0.10743296299390193</v>
      </c>
      <c r="L43" s="86"/>
      <c r="M43" s="87"/>
      <c r="N43" s="87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</row>
    <row r="44" spans="1:119">
      <c r="A44" s="61"/>
      <c r="B44" s="61"/>
      <c r="H44" s="61"/>
      <c r="I44" s="82" t="s">
        <v>1009</v>
      </c>
      <c r="J44" s="82"/>
      <c r="K44" s="82">
        <v>8698.4528999999893</v>
      </c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</row>
    <row r="45" spans="1:119">
      <c r="A45" s="79" t="s">
        <v>266</v>
      </c>
      <c r="B45" s="80" t="s">
        <v>265</v>
      </c>
      <c r="C45" s="88" t="s">
        <v>499</v>
      </c>
      <c r="D45" s="88"/>
      <c r="E45" s="88"/>
      <c r="F45" s="88"/>
      <c r="G45" s="61"/>
      <c r="H45" s="61"/>
      <c r="I45" s="43" t="s">
        <v>1010</v>
      </c>
      <c r="J45" s="85">
        <f>+J43+K44</f>
        <v>-23453.547100000011</v>
      </c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</row>
    <row r="46" spans="1:119">
      <c r="A46" s="41" t="s">
        <v>516</v>
      </c>
      <c r="B46" s="47">
        <v>2235338</v>
      </c>
      <c r="C46" s="48">
        <v>0.57172723501316436</v>
      </c>
      <c r="D46" s="48"/>
      <c r="E46" s="89"/>
      <c r="F46" s="89"/>
      <c r="G46" s="90"/>
      <c r="H46" s="61"/>
      <c r="I46" s="61"/>
      <c r="J46" s="87"/>
      <c r="K46" s="61"/>
      <c r="L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</row>
    <row r="47" spans="1:119">
      <c r="A47" s="91" t="s">
        <v>270</v>
      </c>
      <c r="B47" s="47">
        <v>507685</v>
      </c>
      <c r="C47" s="48">
        <v>0.12984941933061503</v>
      </c>
      <c r="D47" s="48"/>
      <c r="E47" s="92"/>
      <c r="F47" s="92"/>
      <c r="G47" s="93"/>
      <c r="H47" s="61"/>
      <c r="L47" s="61"/>
      <c r="N47" s="87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</row>
    <row r="48" spans="1:119">
      <c r="A48" s="91" t="s">
        <v>245</v>
      </c>
      <c r="B48" s="47">
        <v>466965</v>
      </c>
      <c r="C48" s="48">
        <v>0.11943455902325388</v>
      </c>
      <c r="D48" s="48"/>
      <c r="E48" s="92"/>
      <c r="F48" s="92"/>
      <c r="G48" s="93"/>
      <c r="H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</row>
    <row r="49" spans="1:118">
      <c r="A49" s="91" t="s">
        <v>273</v>
      </c>
      <c r="B49" s="47">
        <v>332091</v>
      </c>
      <c r="C49" s="48">
        <v>8.4938147699702135E-2</v>
      </c>
      <c r="D49" s="48"/>
      <c r="E49" s="92"/>
      <c r="F49" s="92"/>
      <c r="G49" s="93"/>
      <c r="H49" s="61"/>
      <c r="I49" s="94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</row>
    <row r="50" spans="1:118">
      <c r="A50" s="91" t="s">
        <v>243</v>
      </c>
      <c r="B50" s="47">
        <v>205195</v>
      </c>
      <c r="C50" s="48">
        <v>5.2482251001202622E-2</v>
      </c>
      <c r="D50" s="48"/>
      <c r="E50" s="92"/>
      <c r="F50" s="92"/>
      <c r="G50" s="93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</row>
    <row r="51" spans="1:118">
      <c r="A51" s="91" t="s">
        <v>248</v>
      </c>
      <c r="B51" s="47">
        <v>144857</v>
      </c>
      <c r="C51" s="48">
        <v>3.7049740165604465E-2</v>
      </c>
      <c r="D51" s="48"/>
      <c r="E51" s="92"/>
      <c r="F51" s="92"/>
      <c r="G51" s="93"/>
      <c r="H51" s="61"/>
      <c r="I51" s="61"/>
      <c r="J51" s="61"/>
      <c r="K51" s="95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</row>
    <row r="52" spans="1:118">
      <c r="A52" s="91" t="s">
        <v>268</v>
      </c>
      <c r="B52" s="47">
        <v>135825</v>
      </c>
      <c r="C52" s="48">
        <v>3.4739646396054223E-2</v>
      </c>
      <c r="D52" s="48"/>
      <c r="E52" s="92"/>
      <c r="F52" s="92"/>
      <c r="G52" s="93"/>
      <c r="H52" s="61"/>
      <c r="I52" s="61"/>
      <c r="J52" s="61"/>
      <c r="K52" s="95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</row>
    <row r="53" spans="1:118">
      <c r="A53" s="91" t="s">
        <v>247</v>
      </c>
      <c r="B53" s="47">
        <v>130477</v>
      </c>
      <c r="C53" s="48">
        <v>3.3371800793800602E-2</v>
      </c>
      <c r="D53" s="48"/>
      <c r="E53" s="92"/>
      <c r="F53" s="92"/>
      <c r="G53" s="93"/>
      <c r="H53" s="61"/>
      <c r="I53" s="61"/>
      <c r="J53" s="61"/>
      <c r="K53" s="95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</row>
    <row r="54" spans="1:118">
      <c r="A54" s="91" t="s">
        <v>272</v>
      </c>
      <c r="B54" s="47">
        <v>92800</v>
      </c>
      <c r="C54" s="48">
        <v>2.3735241564909491E-2</v>
      </c>
      <c r="D54" s="48"/>
      <c r="E54" s="92"/>
      <c r="F54" s="92"/>
      <c r="G54" s="93"/>
      <c r="H54" s="61"/>
      <c r="I54" s="94"/>
      <c r="J54" s="61"/>
      <c r="K54" s="95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</row>
    <row r="55" spans="1:118">
      <c r="A55" s="91" t="s">
        <v>244</v>
      </c>
      <c r="B55" s="47">
        <v>43101</v>
      </c>
      <c r="C55" s="48">
        <v>1.1023843175529784E-2</v>
      </c>
      <c r="D55" s="48"/>
      <c r="E55" s="92"/>
      <c r="F55" s="92"/>
      <c r="G55" s="93"/>
      <c r="H55" s="61"/>
      <c r="I55" s="94"/>
      <c r="J55" s="61"/>
      <c r="K55" s="95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</row>
    <row r="56" spans="1:118">
      <c r="A56" s="91" t="s">
        <v>736</v>
      </c>
      <c r="B56" s="47">
        <v>43028</v>
      </c>
      <c r="C56" s="48">
        <v>1.100517213421256E-2</v>
      </c>
      <c r="D56" s="48"/>
      <c r="E56" s="92"/>
      <c r="F56" s="92"/>
      <c r="G56" s="93"/>
      <c r="H56" s="61"/>
      <c r="I56" s="61"/>
      <c r="J56" s="61"/>
      <c r="K56" s="95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</row>
    <row r="57" spans="1:118">
      <c r="A57" s="91" t="s">
        <v>263</v>
      </c>
      <c r="B57" s="47">
        <v>30000</v>
      </c>
      <c r="C57" s="48">
        <v>7.6730306783112578E-3</v>
      </c>
      <c r="D57" s="48"/>
      <c r="E57" s="92"/>
      <c r="F57" s="92"/>
      <c r="G57" s="93"/>
      <c r="H57" s="61"/>
      <c r="I57" s="61"/>
      <c r="J57" s="61"/>
      <c r="K57" s="95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</row>
    <row r="58" spans="1:118">
      <c r="A58" s="91" t="s">
        <v>609</v>
      </c>
      <c r="B58" s="47">
        <v>29200</v>
      </c>
      <c r="C58" s="48">
        <v>7.4684165268896242E-3</v>
      </c>
      <c r="D58" s="48"/>
      <c r="E58" s="92"/>
      <c r="F58" s="92"/>
      <c r="G58" s="93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</row>
    <row r="59" spans="1:118">
      <c r="A59" s="91" t="s">
        <v>269</v>
      </c>
      <c r="B59" s="47">
        <v>21490</v>
      </c>
      <c r="C59" s="48">
        <v>5.4964476425636314E-3</v>
      </c>
      <c r="D59" s="48"/>
      <c r="E59" s="92"/>
      <c r="F59" s="92"/>
      <c r="G59" s="93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</row>
    <row r="60" spans="1:118">
      <c r="A60" s="91" t="s">
        <v>264</v>
      </c>
      <c r="B60" s="47">
        <v>19990</v>
      </c>
      <c r="C60" s="48">
        <v>5.1127961086480682E-3</v>
      </c>
      <c r="D60" s="48"/>
      <c r="E60" s="92"/>
      <c r="F60" s="92"/>
      <c r="G60" s="93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</row>
    <row r="61" spans="1:118">
      <c r="A61" s="91" t="s">
        <v>251</v>
      </c>
      <c r="B61" s="47">
        <v>13830</v>
      </c>
      <c r="C61" s="48">
        <v>3.5372671427014901E-3</v>
      </c>
      <c r="D61" s="48"/>
      <c r="E61" s="92"/>
      <c r="F61" s="92"/>
      <c r="G61" s="93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</row>
    <row r="62" spans="1:118">
      <c r="A62" s="91" t="s">
        <v>370</v>
      </c>
      <c r="B62" s="47">
        <v>13604</v>
      </c>
      <c r="C62" s="48">
        <v>3.4794636449248786E-3</v>
      </c>
      <c r="D62" s="48"/>
      <c r="E62" s="92"/>
      <c r="F62" s="92"/>
      <c r="G62" s="93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</row>
    <row r="63" spans="1:118">
      <c r="A63" s="91" t="s">
        <v>241</v>
      </c>
      <c r="B63" s="47">
        <v>5200</v>
      </c>
      <c r="C63" s="48">
        <v>1.329991984240618E-3</v>
      </c>
      <c r="D63" s="48"/>
      <c r="E63" s="92"/>
      <c r="F63" s="92"/>
      <c r="G63" s="93"/>
    </row>
    <row r="64" spans="1:118">
      <c r="A64" s="41" t="s">
        <v>513</v>
      </c>
      <c r="B64" s="47">
        <v>1277460</v>
      </c>
      <c r="C64" s="48">
        <v>0.32673299234385</v>
      </c>
      <c r="D64" s="48"/>
      <c r="E64" s="92"/>
      <c r="F64" s="92"/>
      <c r="G64" s="93"/>
    </row>
    <row r="65" spans="1:7">
      <c r="A65" s="91" t="s">
        <v>252</v>
      </c>
      <c r="B65" s="47">
        <v>758000</v>
      </c>
      <c r="C65" s="48">
        <v>0.19387190847199778</v>
      </c>
      <c r="D65" s="48"/>
      <c r="E65" s="92"/>
      <c r="F65" s="92"/>
      <c r="G65" s="93"/>
    </row>
    <row r="66" spans="1:7">
      <c r="A66" s="91" t="s">
        <v>284</v>
      </c>
      <c r="B66" s="47">
        <v>206427</v>
      </c>
      <c r="C66" s="48">
        <v>5.2797356794391938E-2</v>
      </c>
      <c r="D66" s="48"/>
      <c r="E66" s="92"/>
      <c r="F66" s="92"/>
      <c r="G66" s="93"/>
    </row>
    <row r="67" spans="1:7">
      <c r="A67" s="91" t="s">
        <v>271</v>
      </c>
      <c r="B67" s="47">
        <v>184929</v>
      </c>
      <c r="C67" s="48">
        <v>4.7298863010314086E-2</v>
      </c>
      <c r="D67" s="48"/>
      <c r="E67" s="92"/>
      <c r="F67" s="92"/>
      <c r="G67" s="93"/>
    </row>
    <row r="68" spans="1:7">
      <c r="A68" s="91" t="s">
        <v>242</v>
      </c>
      <c r="B68" s="47">
        <v>51154</v>
      </c>
      <c r="C68" s="48">
        <v>1.3083540377277804E-2</v>
      </c>
      <c r="D68" s="48"/>
      <c r="E68" s="92"/>
      <c r="F68" s="92"/>
      <c r="G68" s="93"/>
    </row>
    <row r="69" spans="1:7">
      <c r="A69" s="91" t="s">
        <v>269</v>
      </c>
      <c r="B69" s="47">
        <v>36542</v>
      </c>
      <c r="C69" s="48">
        <v>9.3462629015616666E-3</v>
      </c>
      <c r="D69" s="48"/>
      <c r="E69" s="92"/>
      <c r="F69" s="92"/>
      <c r="G69" s="93"/>
    </row>
    <row r="70" spans="1:7">
      <c r="A70" s="91" t="s">
        <v>545</v>
      </c>
      <c r="B70" s="47">
        <v>27589</v>
      </c>
      <c r="C70" s="48">
        <v>7.0563747794643097E-3</v>
      </c>
      <c r="D70" s="48"/>
      <c r="E70" s="96"/>
      <c r="F70" s="97"/>
      <c r="G70" s="93"/>
    </row>
    <row r="71" spans="1:7">
      <c r="A71" s="91" t="s">
        <v>544</v>
      </c>
      <c r="B71" s="47">
        <v>11319</v>
      </c>
      <c r="C71" s="48">
        <v>2.8950344749268378E-3</v>
      </c>
      <c r="D71" s="48"/>
      <c r="E71" s="89"/>
      <c r="F71" s="89"/>
      <c r="G71" s="93"/>
    </row>
    <row r="72" spans="1:7">
      <c r="A72" s="91" t="s">
        <v>247</v>
      </c>
      <c r="B72" s="47">
        <v>1500</v>
      </c>
      <c r="C72" s="48">
        <v>3.836515339155629E-4</v>
      </c>
      <c r="D72" s="48"/>
      <c r="E72" s="48"/>
      <c r="F72" s="48"/>
    </row>
    <row r="73" spans="1:7">
      <c r="A73" s="41" t="s">
        <v>546</v>
      </c>
      <c r="B73" s="47">
        <v>397000</v>
      </c>
      <c r="C73" s="48">
        <v>0.10153977264298565</v>
      </c>
      <c r="D73" s="48"/>
      <c r="E73" s="48"/>
      <c r="F73" s="48"/>
    </row>
    <row r="74" spans="1:7">
      <c r="A74" s="91" t="s">
        <v>983</v>
      </c>
      <c r="B74" s="47">
        <v>397000</v>
      </c>
      <c r="C74" s="48">
        <v>0.10153977264298565</v>
      </c>
      <c r="D74" s="48"/>
      <c r="E74" s="48"/>
      <c r="F74" s="48"/>
    </row>
    <row r="75" spans="1:7">
      <c r="A75" s="41" t="s">
        <v>267</v>
      </c>
      <c r="B75" s="47">
        <v>3909798</v>
      </c>
      <c r="C75" s="48">
        <v>1</v>
      </c>
      <c r="D75" s="48"/>
      <c r="E75" s="48"/>
      <c r="F75" s="48"/>
    </row>
    <row r="76" spans="1:7" ht="16.5">
      <c r="A76" s="78"/>
      <c r="B76" s="78"/>
      <c r="C76" s="78"/>
      <c r="D76" s="48"/>
      <c r="E76" s="48"/>
      <c r="F76" s="48"/>
    </row>
    <row r="77" spans="1:7" ht="16.5">
      <c r="A77" s="78"/>
      <c r="B77" s="78"/>
      <c r="C77" s="78"/>
      <c r="D77" s="48"/>
      <c r="E77" s="48"/>
      <c r="F77" s="48"/>
    </row>
    <row r="78" spans="1:7" ht="16.5">
      <c r="A78" s="78"/>
      <c r="B78" s="78"/>
      <c r="C78" s="78"/>
      <c r="D78" s="48"/>
      <c r="E78" s="48"/>
      <c r="F78" s="48"/>
    </row>
    <row r="79" spans="1:7" ht="16.5">
      <c r="A79" s="78"/>
      <c r="B79" s="78"/>
      <c r="C79" s="78"/>
      <c r="D79" s="61"/>
      <c r="E79" s="61"/>
      <c r="F79" s="61"/>
    </row>
    <row r="80" spans="1:7" ht="16.5">
      <c r="A80" s="78"/>
      <c r="B80" s="78"/>
      <c r="C80" s="78"/>
      <c r="D80" s="61"/>
      <c r="E80" s="61"/>
      <c r="F80" s="61"/>
    </row>
    <row r="81" spans="1:6" ht="16.5">
      <c r="A81" s="78"/>
      <c r="B81" s="78"/>
      <c r="C81" s="78"/>
      <c r="D81" s="61"/>
      <c r="E81" s="61"/>
      <c r="F81" s="61"/>
    </row>
    <row r="82" spans="1:6" ht="16.5">
      <c r="A82" s="78"/>
      <c r="B82" s="78"/>
      <c r="C82" s="78"/>
      <c r="D82" s="61"/>
      <c r="E82" s="61"/>
      <c r="F82" s="61"/>
    </row>
    <row r="83" spans="1:6" ht="16.5">
      <c r="A83" s="78"/>
      <c r="B83" s="78"/>
      <c r="C83" s="78"/>
      <c r="D83" s="61"/>
      <c r="E83" s="61"/>
      <c r="F83" s="61"/>
    </row>
    <row r="84" spans="1:6" ht="16.5">
      <c r="A84" s="78"/>
      <c r="B84" s="78"/>
      <c r="C84" s="78"/>
      <c r="D84" s="61"/>
      <c r="E84" s="61"/>
      <c r="F84" s="61"/>
    </row>
    <row r="85" spans="1:6" ht="16.5">
      <c r="A85" s="78"/>
      <c r="B85" s="78"/>
      <c r="C85" s="78"/>
      <c r="D85" s="61"/>
      <c r="E85" s="61"/>
      <c r="F85" s="61"/>
    </row>
    <row r="86" spans="1:6" ht="16.5">
      <c r="A86" s="78"/>
      <c r="B86" s="78"/>
      <c r="C86" s="78"/>
      <c r="D86" s="61"/>
      <c r="E86" s="61"/>
      <c r="F86" s="61"/>
    </row>
    <row r="87" spans="1:6" ht="16.5">
      <c r="A87" s="78"/>
      <c r="B87" s="78"/>
      <c r="C87" s="78"/>
      <c r="D87" s="61"/>
      <c r="E87" s="61"/>
      <c r="F87" s="61"/>
    </row>
    <row r="88" spans="1:6" ht="16.5">
      <c r="A88" s="78"/>
      <c r="B88" s="78"/>
      <c r="C88" s="78"/>
      <c r="D88" s="61"/>
      <c r="E88" s="61"/>
      <c r="F88" s="61"/>
    </row>
    <row r="89" spans="1:6" ht="16.5">
      <c r="A89" s="78"/>
      <c r="B89" s="78"/>
      <c r="C89" s="78"/>
      <c r="D89" s="61"/>
      <c r="E89" s="61"/>
      <c r="F89" s="61"/>
    </row>
    <row r="90" spans="1:6" ht="16.5">
      <c r="A90" s="78"/>
      <c r="B90" s="78"/>
      <c r="C90" s="78"/>
      <c r="D90" s="61"/>
      <c r="E90" s="61"/>
      <c r="F90" s="61"/>
    </row>
    <row r="91" spans="1:6" ht="16.5">
      <c r="A91" s="78"/>
      <c r="B91" s="78"/>
      <c r="C91" s="78"/>
      <c r="D91" s="61"/>
      <c r="E91" s="61"/>
      <c r="F91" s="61"/>
    </row>
    <row r="92" spans="1:6" ht="16.5">
      <c r="A92" s="78"/>
      <c r="B92" s="78"/>
      <c r="C92" s="78"/>
      <c r="D92" s="61"/>
      <c r="E92" s="61"/>
      <c r="F92" s="61"/>
    </row>
    <row r="93" spans="1:6" ht="16.5">
      <c r="A93" s="78"/>
      <c r="B93" s="78"/>
      <c r="C93" s="78"/>
      <c r="D93" s="61"/>
      <c r="E93" s="61"/>
      <c r="F93" s="61"/>
    </row>
    <row r="94" spans="1:6" ht="16.5">
      <c r="A94" s="78"/>
      <c r="B94" s="78"/>
      <c r="C94" s="78"/>
      <c r="D94" s="61"/>
      <c r="E94" s="61"/>
      <c r="F94" s="61"/>
    </row>
    <row r="95" spans="1:6" ht="16.5">
      <c r="A95" s="78"/>
      <c r="B95" s="78"/>
      <c r="C95" s="78"/>
      <c r="D95" s="61"/>
      <c r="E95" s="61"/>
      <c r="F95" s="61"/>
    </row>
    <row r="96" spans="1:6" ht="16.5">
      <c r="A96" s="78"/>
      <c r="B96" s="78"/>
      <c r="C96" s="78"/>
      <c r="D96" s="61"/>
      <c r="E96" s="61"/>
      <c r="F96" s="61"/>
    </row>
    <row r="97" spans="1:6" ht="16.5">
      <c r="A97" s="78"/>
      <c r="B97" s="78"/>
      <c r="C97" s="78"/>
      <c r="D97" s="61"/>
      <c r="E97" s="61"/>
      <c r="F97" s="61"/>
    </row>
    <row r="98" spans="1:6" ht="16.5">
      <c r="A98" s="78"/>
      <c r="B98" s="78"/>
      <c r="C98" s="78"/>
      <c r="D98" s="61"/>
      <c r="E98" s="61"/>
      <c r="F98" s="61"/>
    </row>
    <row r="99" spans="1:6" ht="16.5">
      <c r="A99" s="78"/>
      <c r="B99" s="78"/>
      <c r="C99" s="78"/>
      <c r="D99" s="61"/>
      <c r="E99" s="61"/>
      <c r="F99" s="61"/>
    </row>
    <row r="100" spans="1:6" ht="16.5">
      <c r="A100" s="78"/>
      <c r="B100" s="78"/>
      <c r="C100" s="78"/>
      <c r="D100" s="61"/>
      <c r="E100" s="61"/>
      <c r="F100" s="61"/>
    </row>
    <row r="101" spans="1:6" ht="16.5">
      <c r="A101" s="78"/>
      <c r="B101" s="78"/>
      <c r="C101" s="78"/>
      <c r="D101" s="61"/>
      <c r="E101" s="61"/>
      <c r="F101" s="61"/>
    </row>
    <row r="102" spans="1:6" ht="16.5">
      <c r="A102" s="78"/>
      <c r="B102" s="78"/>
      <c r="C102" s="78"/>
      <c r="D102" s="61"/>
      <c r="E102" s="61"/>
      <c r="F102" s="61"/>
    </row>
    <row r="103" spans="1:6" ht="16.5">
      <c r="A103" s="78"/>
      <c r="B103" s="78"/>
      <c r="C103" s="78"/>
      <c r="D103" s="61"/>
      <c r="E103" s="61"/>
      <c r="F103" s="61"/>
    </row>
    <row r="104" spans="1:6" ht="16.5">
      <c r="A104" s="78"/>
      <c r="B104" s="78"/>
      <c r="C104" s="78"/>
      <c r="D104" s="61"/>
      <c r="E104" s="61"/>
      <c r="F104" s="61"/>
    </row>
    <row r="105" spans="1:6" ht="16.5">
      <c r="A105" s="78"/>
      <c r="B105" s="78"/>
      <c r="C105" s="78"/>
      <c r="D105" s="61"/>
      <c r="E105" s="61"/>
      <c r="F105" s="61"/>
    </row>
    <row r="106" spans="1:6" ht="16.5">
      <c r="A106" s="78"/>
      <c r="B106" s="78"/>
      <c r="C106" s="78"/>
      <c r="D106" s="61"/>
      <c r="E106" s="61"/>
      <c r="F106" s="61"/>
    </row>
    <row r="107" spans="1:6" ht="16.5">
      <c r="A107" s="78"/>
      <c r="B107" s="78"/>
      <c r="C107" s="78"/>
      <c r="D107" s="61"/>
      <c r="E107" s="61"/>
      <c r="F107" s="61"/>
    </row>
    <row r="108" spans="1:6" ht="16.5">
      <c r="A108" s="78"/>
      <c r="B108" s="78"/>
      <c r="C108" s="78"/>
      <c r="D108" s="61"/>
      <c r="E108" s="61"/>
      <c r="F108" s="61"/>
    </row>
    <row r="109" spans="1:6" ht="16.5">
      <c r="A109" s="78"/>
      <c r="B109" s="78"/>
      <c r="C109" s="78"/>
      <c r="D109" s="61"/>
      <c r="E109" s="61"/>
      <c r="F109" s="61"/>
    </row>
    <row r="110" spans="1:6" ht="16.5">
      <c r="A110" s="78"/>
      <c r="B110" s="78"/>
      <c r="C110" s="78"/>
      <c r="D110" s="61"/>
      <c r="E110" s="61"/>
      <c r="F110" s="61"/>
    </row>
    <row r="111" spans="1:6" ht="16.5">
      <c r="A111" s="78"/>
      <c r="B111" s="78"/>
      <c r="C111" s="78"/>
      <c r="D111" s="61"/>
      <c r="E111" s="61"/>
      <c r="F111" s="61"/>
    </row>
    <row r="112" spans="1:6" ht="16.5">
      <c r="A112" s="78"/>
      <c r="B112" s="78"/>
      <c r="C112" s="78"/>
      <c r="D112" s="61"/>
      <c r="E112" s="61"/>
      <c r="F112" s="61"/>
    </row>
    <row r="113" spans="1:6" ht="16.5">
      <c r="A113" s="78"/>
      <c r="B113" s="78"/>
      <c r="C113" s="78"/>
      <c r="D113" s="61"/>
      <c r="E113" s="61"/>
      <c r="F113" s="61"/>
    </row>
    <row r="114" spans="1:6" ht="16.5">
      <c r="A114" s="78"/>
      <c r="B114" s="78"/>
      <c r="C114" s="78"/>
      <c r="D114" s="61"/>
      <c r="E114" s="61"/>
      <c r="F114" s="61"/>
    </row>
    <row r="115" spans="1:6" ht="16.5">
      <c r="A115" s="78"/>
      <c r="B115" s="78"/>
      <c r="C115" s="78"/>
      <c r="D115" s="61"/>
      <c r="E115" s="61"/>
      <c r="F115" s="61"/>
    </row>
    <row r="116" spans="1:6" ht="16.5">
      <c r="A116" s="78"/>
      <c r="B116" s="78"/>
      <c r="C116" s="78"/>
      <c r="D116" s="61"/>
      <c r="E116" s="61"/>
      <c r="F116" s="61"/>
    </row>
    <row r="117" spans="1:6" ht="16.5">
      <c r="A117" s="78"/>
      <c r="B117" s="78"/>
      <c r="C117" s="78"/>
      <c r="D117" s="61"/>
      <c r="E117" s="61"/>
      <c r="F117" s="61"/>
    </row>
    <row r="118" spans="1:6" ht="16.5">
      <c r="A118" s="78"/>
      <c r="B118" s="78"/>
      <c r="C118" s="78"/>
      <c r="D118" s="61"/>
      <c r="E118" s="61"/>
      <c r="F118" s="61"/>
    </row>
    <row r="119" spans="1:6" ht="16.5">
      <c r="A119" s="78"/>
      <c r="B119" s="78"/>
      <c r="C119" s="78"/>
      <c r="D119" s="61"/>
      <c r="E119" s="61"/>
      <c r="F119" s="61"/>
    </row>
    <row r="120" spans="1:6" ht="16.5">
      <c r="A120" s="78"/>
      <c r="B120" s="78"/>
      <c r="C120" s="78"/>
      <c r="D120" s="61"/>
      <c r="E120" s="61"/>
      <c r="F120" s="61"/>
    </row>
    <row r="121" spans="1:6" ht="16.5">
      <c r="A121" s="78"/>
      <c r="B121" s="78"/>
      <c r="C121" s="78"/>
      <c r="D121" s="61"/>
      <c r="E121" s="61"/>
      <c r="F121" s="61"/>
    </row>
    <row r="122" spans="1:6" ht="16.5">
      <c r="A122" s="78"/>
      <c r="B122" s="78"/>
      <c r="C122" s="78"/>
      <c r="D122" s="61"/>
      <c r="E122" s="61"/>
      <c r="F122" s="61"/>
    </row>
    <row r="123" spans="1:6" ht="16.5">
      <c r="A123" s="78"/>
      <c r="B123" s="78"/>
      <c r="C123" s="78"/>
      <c r="D123" s="61"/>
      <c r="E123" s="61"/>
      <c r="F123" s="61"/>
    </row>
    <row r="124" spans="1:6" ht="16.5">
      <c r="A124" s="78"/>
      <c r="B124" s="78"/>
      <c r="C124" s="78"/>
      <c r="D124" s="61"/>
      <c r="E124" s="61"/>
      <c r="F124" s="61"/>
    </row>
    <row r="125" spans="1:6" ht="16.5">
      <c r="A125" s="78"/>
      <c r="B125" s="78"/>
      <c r="C125" s="78"/>
      <c r="D125" s="61"/>
      <c r="E125" s="61"/>
      <c r="F125" s="61"/>
    </row>
    <row r="126" spans="1:6" ht="16.5">
      <c r="A126" s="78"/>
      <c r="B126" s="78"/>
      <c r="C126" s="78"/>
      <c r="D126" s="61"/>
      <c r="E126" s="61"/>
      <c r="F126" s="61"/>
    </row>
    <row r="127" spans="1:6" ht="16.5">
      <c r="A127" s="78"/>
      <c r="B127" s="78"/>
      <c r="C127" s="78"/>
      <c r="D127" s="61"/>
      <c r="E127" s="61"/>
      <c r="F127" s="61"/>
    </row>
    <row r="128" spans="1:6" ht="16.5">
      <c r="A128" s="78"/>
      <c r="B128" s="78"/>
      <c r="C128" s="78"/>
      <c r="D128" s="61"/>
      <c r="E128" s="61"/>
      <c r="F128" s="61"/>
    </row>
    <row r="129" spans="1:6" ht="16.5">
      <c r="A129" s="78"/>
      <c r="B129" s="78"/>
      <c r="C129" s="78"/>
      <c r="D129" s="61"/>
      <c r="E129" s="61"/>
      <c r="F129" s="61"/>
    </row>
    <row r="130" spans="1:6" ht="16.5">
      <c r="A130" s="78"/>
      <c r="B130" s="78"/>
      <c r="C130" s="78"/>
      <c r="D130" s="61"/>
      <c r="E130" s="61"/>
      <c r="F130" s="61"/>
    </row>
    <row r="131" spans="1:6" ht="16.5">
      <c r="A131" s="78"/>
      <c r="B131" s="78"/>
      <c r="C131" s="78"/>
      <c r="D131" s="61"/>
      <c r="E131" s="61"/>
      <c r="F131" s="61"/>
    </row>
    <row r="132" spans="1:6" ht="16.5">
      <c r="A132" s="78"/>
      <c r="B132" s="78"/>
      <c r="C132" s="78"/>
      <c r="D132" s="61"/>
      <c r="E132" s="61"/>
      <c r="F132" s="61"/>
    </row>
    <row r="133" spans="1:6" ht="16.5">
      <c r="A133" s="78"/>
      <c r="B133" s="78"/>
      <c r="C133" s="78"/>
      <c r="D133" s="61"/>
      <c r="E133" s="61"/>
      <c r="F133" s="61"/>
    </row>
    <row r="134" spans="1:6" ht="16.5">
      <c r="A134" s="78"/>
      <c r="B134" s="78"/>
      <c r="C134" s="78"/>
      <c r="D134" s="61"/>
      <c r="E134" s="61"/>
      <c r="F134" s="61"/>
    </row>
    <row r="135" spans="1:6" ht="16.5">
      <c r="A135" s="78"/>
      <c r="B135" s="78"/>
      <c r="C135" s="78"/>
      <c r="D135" s="61"/>
      <c r="E135" s="61"/>
      <c r="F135" s="61"/>
    </row>
    <row r="136" spans="1:6" ht="16.5">
      <c r="A136" s="78"/>
      <c r="B136" s="78"/>
      <c r="C136" s="78"/>
      <c r="D136" s="61"/>
      <c r="E136" s="61"/>
      <c r="F136" s="61"/>
    </row>
    <row r="137" spans="1:6" ht="16.5">
      <c r="A137" s="78"/>
      <c r="B137" s="78"/>
      <c r="C137" s="78"/>
      <c r="D137" s="61"/>
      <c r="E137" s="61"/>
      <c r="F137" s="61"/>
    </row>
    <row r="138" spans="1:6" ht="16.5">
      <c r="A138" s="78"/>
      <c r="B138" s="78"/>
      <c r="C138" s="78"/>
      <c r="D138" s="61"/>
      <c r="E138" s="61"/>
      <c r="F138" s="61"/>
    </row>
    <row r="139" spans="1:6" ht="16.5">
      <c r="A139" s="78"/>
      <c r="B139" s="78"/>
      <c r="C139" s="78"/>
      <c r="D139" s="61"/>
      <c r="E139" s="61"/>
      <c r="F139" s="61"/>
    </row>
    <row r="140" spans="1:6" ht="16.5">
      <c r="A140" s="78"/>
      <c r="B140" s="78"/>
      <c r="C140" s="78"/>
      <c r="D140" s="61"/>
      <c r="E140" s="61"/>
      <c r="F140" s="61"/>
    </row>
    <row r="141" spans="1:6" ht="16.5">
      <c r="A141" s="78"/>
      <c r="B141" s="78"/>
      <c r="C141" s="78"/>
      <c r="D141" s="61"/>
      <c r="E141" s="61"/>
      <c r="F141" s="61"/>
    </row>
    <row r="142" spans="1:6" ht="16.5">
      <c r="A142" s="78"/>
      <c r="B142" s="78"/>
      <c r="C142" s="78"/>
      <c r="D142" s="61"/>
      <c r="E142" s="61"/>
      <c r="F142" s="61"/>
    </row>
    <row r="143" spans="1:6" ht="16.5">
      <c r="A143" s="78"/>
      <c r="B143" s="78"/>
      <c r="C143" s="78"/>
      <c r="D143" s="61"/>
      <c r="E143" s="61"/>
      <c r="F143" s="61"/>
    </row>
    <row r="144" spans="1:6" ht="16.5">
      <c r="A144" s="78"/>
      <c r="B144" s="78"/>
      <c r="C144" s="78"/>
      <c r="D144" s="61"/>
      <c r="E144" s="61"/>
      <c r="F144" s="61"/>
    </row>
    <row r="145" spans="1:6" ht="16.5">
      <c r="A145" s="78"/>
      <c r="B145" s="78"/>
      <c r="C145" s="78"/>
      <c r="D145" s="61"/>
      <c r="E145" s="61"/>
      <c r="F145" s="61"/>
    </row>
    <row r="146" spans="1:6" ht="16.5">
      <c r="A146" s="78"/>
      <c r="B146" s="78"/>
      <c r="C146" s="78"/>
      <c r="D146" s="61"/>
      <c r="E146" s="61"/>
      <c r="F146" s="61"/>
    </row>
    <row r="147" spans="1:6" ht="16.5">
      <c r="A147" s="78"/>
      <c r="B147" s="78"/>
      <c r="C147" s="78"/>
      <c r="D147" s="61"/>
      <c r="E147" s="61"/>
      <c r="F147" s="61"/>
    </row>
    <row r="148" spans="1:6" ht="16.5">
      <c r="A148" s="78"/>
      <c r="B148" s="78"/>
      <c r="C148" s="78"/>
      <c r="D148" s="61"/>
      <c r="E148" s="61"/>
      <c r="F148" s="61"/>
    </row>
    <row r="149" spans="1:6" ht="16.5">
      <c r="A149" s="78"/>
      <c r="B149" s="78"/>
      <c r="C149" s="78"/>
      <c r="D149" s="61"/>
      <c r="E149" s="61"/>
      <c r="F149" s="61"/>
    </row>
    <row r="150" spans="1:6" ht="16.5">
      <c r="A150" s="78"/>
      <c r="B150" s="78"/>
      <c r="C150" s="78"/>
      <c r="D150" s="61"/>
      <c r="E150" s="61"/>
      <c r="F150" s="61"/>
    </row>
    <row r="151" spans="1:6" ht="16.5">
      <c r="A151" s="78"/>
      <c r="B151" s="78"/>
      <c r="C151" s="78"/>
      <c r="D151" s="61"/>
      <c r="E151" s="61"/>
      <c r="F151" s="61"/>
    </row>
    <row r="152" spans="1:6" ht="16.5">
      <c r="A152" s="78"/>
      <c r="B152" s="78"/>
      <c r="C152" s="78"/>
      <c r="D152" s="61"/>
      <c r="E152" s="61"/>
      <c r="F152" s="61"/>
    </row>
    <row r="153" spans="1:6" ht="16.5">
      <c r="A153" s="78"/>
      <c r="B153" s="78"/>
      <c r="C153" s="78"/>
      <c r="D153" s="61"/>
      <c r="E153" s="61"/>
      <c r="F153" s="61"/>
    </row>
    <row r="154" spans="1:6" ht="16.5">
      <c r="A154" s="78"/>
      <c r="B154" s="78"/>
      <c r="C154" s="78"/>
      <c r="D154" s="61"/>
      <c r="E154" s="61"/>
      <c r="F154" s="61"/>
    </row>
    <row r="155" spans="1:6" ht="16.5">
      <c r="A155" s="78"/>
      <c r="B155" s="78"/>
      <c r="C155" s="78"/>
      <c r="D155" s="61"/>
      <c r="E155" s="61"/>
      <c r="F155" s="61"/>
    </row>
    <row r="156" spans="1:6" ht="16.5">
      <c r="A156" s="78"/>
      <c r="B156" s="78"/>
      <c r="C156" s="78"/>
      <c r="D156" s="61"/>
      <c r="E156" s="61"/>
      <c r="F156" s="61"/>
    </row>
    <row r="157" spans="1:6" ht="16.5">
      <c r="A157" s="78"/>
      <c r="B157" s="78"/>
      <c r="C157" s="78"/>
      <c r="D157" s="61"/>
      <c r="E157" s="61"/>
      <c r="F157" s="61"/>
    </row>
    <row r="158" spans="1:6" ht="16.5">
      <c r="A158" s="78"/>
      <c r="B158" s="78"/>
      <c r="C158" s="78"/>
      <c r="D158" s="61"/>
      <c r="E158" s="61"/>
      <c r="F158" s="61"/>
    </row>
    <row r="159" spans="1:6" ht="16.5">
      <c r="A159" s="78"/>
      <c r="B159" s="78"/>
      <c r="C159" s="78"/>
      <c r="D159" s="61"/>
      <c r="E159" s="61"/>
      <c r="F159" s="61"/>
    </row>
    <row r="160" spans="1:6" ht="16.5">
      <c r="A160" s="78"/>
      <c r="B160" s="78"/>
      <c r="C160" s="78"/>
      <c r="D160" s="61"/>
      <c r="E160" s="61"/>
      <c r="F160" s="61"/>
    </row>
    <row r="161" spans="1:6" ht="16.5">
      <c r="A161" s="78"/>
      <c r="B161" s="78"/>
      <c r="C161" s="78"/>
      <c r="D161" s="61"/>
      <c r="E161" s="61"/>
      <c r="F161" s="61"/>
    </row>
    <row r="162" spans="1:6" ht="16.5">
      <c r="A162" s="78"/>
      <c r="B162" s="78"/>
      <c r="C162" s="78"/>
      <c r="D162" s="61"/>
      <c r="E162" s="61"/>
      <c r="F162" s="61"/>
    </row>
    <row r="163" spans="1:6" ht="16.5">
      <c r="A163" s="78"/>
      <c r="B163" s="78"/>
      <c r="C163" s="78"/>
      <c r="D163" s="61"/>
      <c r="E163" s="61"/>
      <c r="F163" s="61"/>
    </row>
    <row r="164" spans="1:6" ht="16.5">
      <c r="A164" s="78"/>
      <c r="B164" s="78"/>
      <c r="C164" s="78"/>
      <c r="D164" s="61"/>
      <c r="E164" s="61"/>
      <c r="F164" s="61"/>
    </row>
    <row r="165" spans="1:6" ht="16.5">
      <c r="A165" s="78"/>
      <c r="B165" s="78"/>
      <c r="C165" s="78"/>
      <c r="D165" s="61"/>
      <c r="E165" s="61"/>
      <c r="F165" s="61"/>
    </row>
    <row r="166" spans="1:6" ht="16.5">
      <c r="A166" s="78"/>
      <c r="B166" s="78"/>
      <c r="C166" s="78"/>
      <c r="D166" s="61"/>
      <c r="E166" s="61"/>
      <c r="F166" s="61"/>
    </row>
    <row r="167" spans="1:6" ht="16.5">
      <c r="A167" s="78"/>
      <c r="B167" s="78"/>
      <c r="C167" s="78"/>
      <c r="D167" s="61"/>
      <c r="E167" s="61"/>
      <c r="F167" s="61"/>
    </row>
    <row r="168" spans="1:6" ht="16.5">
      <c r="A168" s="78"/>
      <c r="B168" s="78"/>
      <c r="C168" s="78"/>
      <c r="D168" s="61"/>
      <c r="E168" s="61"/>
      <c r="F168" s="61"/>
    </row>
    <row r="169" spans="1:6" ht="16.5">
      <c r="A169" s="78"/>
      <c r="B169" s="78"/>
      <c r="C169" s="78"/>
      <c r="D169" s="61"/>
      <c r="E169" s="61"/>
      <c r="F169" s="61"/>
    </row>
    <row r="170" spans="1:6" ht="16.5">
      <c r="A170" s="78"/>
      <c r="B170" s="78"/>
      <c r="C170" s="78"/>
      <c r="D170" s="61"/>
      <c r="E170" s="61"/>
      <c r="F170" s="61"/>
    </row>
    <row r="171" spans="1:6" ht="16.5">
      <c r="A171" s="78"/>
      <c r="B171" s="78"/>
      <c r="C171" s="78"/>
      <c r="D171" s="61"/>
      <c r="E171" s="61"/>
      <c r="F171" s="61"/>
    </row>
    <row r="172" spans="1:6" ht="16.5">
      <c r="A172" s="78"/>
      <c r="B172" s="78"/>
      <c r="C172" s="78"/>
      <c r="D172" s="61"/>
      <c r="E172" s="61"/>
      <c r="F172" s="61"/>
    </row>
    <row r="173" spans="1:6" ht="16.5">
      <c r="A173" s="78"/>
      <c r="B173" s="78"/>
      <c r="C173" s="78"/>
      <c r="D173" s="61"/>
      <c r="E173" s="61"/>
      <c r="F173" s="61"/>
    </row>
    <row r="174" spans="1:6" ht="16.5">
      <c r="A174" s="78"/>
      <c r="B174" s="78"/>
      <c r="C174" s="78"/>
      <c r="D174" s="61"/>
      <c r="E174" s="61"/>
      <c r="F174" s="61"/>
    </row>
    <row r="175" spans="1:6" ht="16.5">
      <c r="A175" s="78"/>
      <c r="B175" s="78"/>
      <c r="C175" s="78"/>
      <c r="D175" s="61"/>
      <c r="E175" s="61"/>
      <c r="F175" s="61"/>
    </row>
    <row r="176" spans="1:6" ht="16.5">
      <c r="A176" s="78"/>
      <c r="B176" s="78"/>
      <c r="C176" s="78"/>
      <c r="D176" s="61"/>
      <c r="E176" s="61"/>
      <c r="F176" s="61"/>
    </row>
    <row r="177" spans="1:6" ht="16.5">
      <c r="A177" s="78"/>
      <c r="B177" s="78"/>
      <c r="C177" s="78"/>
      <c r="D177" s="61"/>
      <c r="E177" s="61"/>
      <c r="F177" s="61"/>
    </row>
    <row r="178" spans="1:6" ht="16.5">
      <c r="A178" s="78"/>
      <c r="B178" s="78"/>
      <c r="C178" s="78"/>
      <c r="D178" s="61"/>
      <c r="E178" s="61"/>
      <c r="F178" s="61"/>
    </row>
    <row r="179" spans="1:6" ht="16.5">
      <c r="A179" s="78"/>
      <c r="B179" s="78"/>
      <c r="C179" s="78"/>
      <c r="D179" s="61"/>
      <c r="E179" s="61"/>
      <c r="F179" s="61"/>
    </row>
    <row r="180" spans="1:6" ht="16.5">
      <c r="A180" s="78"/>
      <c r="B180" s="78"/>
      <c r="C180" s="78"/>
      <c r="D180" s="61"/>
      <c r="E180" s="61"/>
      <c r="F180" s="61"/>
    </row>
    <row r="181" spans="1:6" ht="16.5">
      <c r="A181" s="78"/>
      <c r="B181" s="78"/>
      <c r="C181" s="78"/>
      <c r="D181" s="61"/>
      <c r="E181" s="61"/>
      <c r="F181" s="61"/>
    </row>
    <row r="182" spans="1:6" ht="16.5">
      <c r="A182" s="78"/>
      <c r="B182" s="78"/>
      <c r="C182" s="78"/>
      <c r="D182" s="61"/>
      <c r="E182" s="61"/>
      <c r="F182" s="61"/>
    </row>
    <row r="183" spans="1:6" ht="16.5">
      <c r="A183" s="78"/>
      <c r="B183" s="78"/>
      <c r="C183" s="78"/>
      <c r="D183" s="61"/>
      <c r="E183" s="61"/>
      <c r="F183" s="61"/>
    </row>
    <row r="184" spans="1:6" ht="16.5">
      <c r="A184" s="78"/>
      <c r="B184" s="78"/>
      <c r="C184" s="78"/>
      <c r="D184" s="61"/>
      <c r="E184" s="61"/>
      <c r="F184" s="61"/>
    </row>
    <row r="185" spans="1:6" ht="16.5">
      <c r="A185" s="78"/>
      <c r="B185" s="78"/>
      <c r="C185" s="78"/>
      <c r="D185" s="61"/>
      <c r="E185" s="61"/>
      <c r="F185" s="61"/>
    </row>
    <row r="186" spans="1:6" ht="16.5">
      <c r="A186" s="78"/>
      <c r="B186" s="78"/>
      <c r="C186" s="78"/>
      <c r="D186" s="61"/>
      <c r="E186" s="61"/>
      <c r="F186" s="61"/>
    </row>
    <row r="187" spans="1:6" ht="16.5">
      <c r="A187" s="78"/>
      <c r="B187" s="78"/>
      <c r="C187" s="78"/>
      <c r="D187" s="61"/>
      <c r="E187" s="61"/>
      <c r="F187" s="61"/>
    </row>
    <row r="188" spans="1:6" ht="16.5">
      <c r="A188" s="78"/>
      <c r="B188" s="78"/>
      <c r="C188" s="78"/>
      <c r="D188" s="61"/>
      <c r="E188" s="61"/>
      <c r="F188" s="61"/>
    </row>
    <row r="189" spans="1:6" ht="16.5">
      <c r="A189" s="78"/>
      <c r="B189" s="78"/>
      <c r="C189" s="78"/>
      <c r="D189" s="61"/>
      <c r="E189" s="61"/>
      <c r="F189" s="61"/>
    </row>
    <row r="190" spans="1:6" ht="16.5">
      <c r="A190" s="78"/>
      <c r="B190" s="78"/>
      <c r="C190" s="78"/>
      <c r="D190" s="61"/>
      <c r="E190" s="61"/>
      <c r="F190" s="61"/>
    </row>
    <row r="191" spans="1:6" ht="16.5">
      <c r="A191" s="78"/>
      <c r="B191" s="78"/>
      <c r="C191" s="78"/>
      <c r="D191" s="61"/>
      <c r="E191" s="61"/>
      <c r="F191" s="61"/>
    </row>
    <row r="192" spans="1:6" ht="16.5">
      <c r="A192" s="78"/>
      <c r="B192" s="78"/>
      <c r="C192" s="78"/>
      <c r="D192" s="61"/>
      <c r="E192" s="61"/>
      <c r="F192" s="61"/>
    </row>
    <row r="193" spans="1:6" ht="16.5">
      <c r="A193" s="78"/>
      <c r="B193" s="78"/>
      <c r="C193" s="78"/>
      <c r="D193" s="61"/>
      <c r="E193" s="61"/>
      <c r="F193" s="61"/>
    </row>
    <row r="194" spans="1:6" ht="16.5">
      <c r="A194" s="78"/>
      <c r="B194" s="78"/>
      <c r="C194" s="78"/>
      <c r="D194" s="61"/>
      <c r="E194" s="61"/>
      <c r="F194" s="61"/>
    </row>
    <row r="195" spans="1:6" ht="16.5">
      <c r="A195" s="78"/>
      <c r="B195" s="78"/>
      <c r="C195" s="78"/>
      <c r="D195" s="61"/>
      <c r="E195" s="61"/>
      <c r="F195" s="61"/>
    </row>
    <row r="196" spans="1:6" ht="16.5">
      <c r="A196" s="78"/>
      <c r="B196" s="78"/>
      <c r="C196" s="78"/>
      <c r="D196" s="61"/>
      <c r="E196" s="61"/>
      <c r="F196" s="61"/>
    </row>
    <row r="197" spans="1:6" ht="16.5">
      <c r="A197" s="78"/>
      <c r="B197" s="78"/>
      <c r="C197" s="78"/>
      <c r="D197" s="61"/>
      <c r="E197" s="61"/>
      <c r="F197" s="61"/>
    </row>
    <row r="198" spans="1:6" ht="16.5">
      <c r="A198" s="78"/>
      <c r="B198" s="78"/>
      <c r="C198" s="78"/>
      <c r="D198" s="61"/>
      <c r="E198" s="61"/>
      <c r="F198" s="61"/>
    </row>
    <row r="199" spans="1:6" ht="16.5">
      <c r="A199" s="78"/>
      <c r="B199" s="78"/>
      <c r="C199" s="78"/>
      <c r="D199" s="61"/>
      <c r="E199" s="61"/>
      <c r="F199" s="61"/>
    </row>
    <row r="200" spans="1:6" ht="16.5">
      <c r="A200" s="78"/>
      <c r="B200" s="78"/>
      <c r="C200" s="78"/>
      <c r="D200" s="61"/>
      <c r="E200" s="61"/>
      <c r="F200" s="61"/>
    </row>
    <row r="201" spans="1:6" ht="16.5">
      <c r="A201" s="78"/>
      <c r="B201" s="78"/>
      <c r="C201" s="78"/>
      <c r="D201" s="61"/>
      <c r="E201" s="61"/>
      <c r="F201" s="61"/>
    </row>
    <row r="202" spans="1:6" ht="16.5">
      <c r="A202" s="78"/>
      <c r="B202" s="78"/>
      <c r="C202" s="78"/>
      <c r="D202" s="61"/>
      <c r="E202" s="61"/>
      <c r="F202" s="61"/>
    </row>
    <row r="203" spans="1:6" ht="16.5">
      <c r="A203" s="78"/>
      <c r="B203" s="78"/>
      <c r="C203" s="78"/>
      <c r="D203" s="61"/>
      <c r="E203" s="61"/>
      <c r="F203" s="61"/>
    </row>
    <row r="204" spans="1:6" ht="16.5">
      <c r="A204" s="78"/>
      <c r="B204" s="78"/>
      <c r="C204" s="78"/>
      <c r="D204" s="61"/>
      <c r="E204" s="61"/>
      <c r="F204" s="61"/>
    </row>
    <row r="205" spans="1:6" ht="16.5">
      <c r="A205" s="78"/>
      <c r="B205" s="78"/>
      <c r="C205" s="78"/>
      <c r="D205" s="61"/>
      <c r="E205" s="61"/>
      <c r="F205" s="61"/>
    </row>
    <row r="206" spans="1:6" ht="16.5">
      <c r="A206" s="78"/>
      <c r="B206" s="78"/>
      <c r="C206" s="78"/>
      <c r="D206" s="61"/>
      <c r="E206" s="61"/>
      <c r="F206" s="61"/>
    </row>
    <row r="207" spans="1:6" ht="16.5">
      <c r="A207" s="78"/>
      <c r="B207" s="78"/>
      <c r="C207" s="78"/>
      <c r="D207" s="61"/>
      <c r="E207" s="61"/>
      <c r="F207" s="61"/>
    </row>
    <row r="208" spans="1:6" ht="16.5">
      <c r="A208" s="78"/>
      <c r="B208" s="78"/>
      <c r="C208" s="78"/>
      <c r="D208" s="61"/>
      <c r="E208" s="61"/>
      <c r="F208" s="61"/>
    </row>
    <row r="209" spans="1:6" ht="16.5">
      <c r="A209" s="78"/>
      <c r="B209" s="78"/>
      <c r="C209" s="78"/>
      <c r="D209" s="61"/>
      <c r="E209" s="61"/>
      <c r="F209" s="61"/>
    </row>
    <row r="210" spans="1:6" ht="16.5">
      <c r="A210" s="78"/>
      <c r="B210" s="78"/>
      <c r="C210" s="78"/>
      <c r="D210" s="61"/>
      <c r="E210" s="61"/>
      <c r="F210" s="61"/>
    </row>
    <row r="211" spans="1:6" ht="16.5">
      <c r="A211" s="78"/>
      <c r="B211" s="78"/>
      <c r="C211" s="78"/>
      <c r="D211" s="61"/>
      <c r="E211" s="61"/>
      <c r="F211" s="61"/>
    </row>
    <row r="212" spans="1:6" ht="16.5">
      <c r="A212" s="78"/>
      <c r="B212" s="78"/>
      <c r="C212" s="78"/>
      <c r="D212" s="61"/>
      <c r="E212" s="61"/>
      <c r="F212" s="61"/>
    </row>
    <row r="213" spans="1:6" ht="16.5">
      <c r="A213" s="78"/>
      <c r="B213" s="78"/>
      <c r="C213" s="78"/>
      <c r="D213" s="61"/>
      <c r="E213" s="61"/>
      <c r="F213" s="61"/>
    </row>
    <row r="214" spans="1:6" ht="16.5">
      <c r="A214" s="78"/>
      <c r="B214" s="78"/>
      <c r="C214" s="78"/>
      <c r="D214" s="61"/>
      <c r="E214" s="61"/>
      <c r="F214" s="61"/>
    </row>
    <row r="215" spans="1:6" ht="16.5">
      <c r="A215" s="78"/>
      <c r="B215" s="78"/>
      <c r="C215" s="78"/>
      <c r="D215" s="61"/>
      <c r="E215" s="61"/>
      <c r="F215" s="61"/>
    </row>
    <row r="216" spans="1:6" ht="16.5">
      <c r="A216" s="78"/>
      <c r="B216" s="78"/>
      <c r="C216" s="78"/>
      <c r="D216" s="61"/>
      <c r="E216" s="61"/>
      <c r="F216" s="61"/>
    </row>
    <row r="217" spans="1:6" ht="16.5">
      <c r="A217" s="78"/>
      <c r="B217" s="78"/>
      <c r="C217" s="78"/>
      <c r="D217" s="61"/>
      <c r="E217" s="61"/>
      <c r="F217" s="61"/>
    </row>
    <row r="218" spans="1:6" ht="16.5">
      <c r="A218" s="78"/>
      <c r="B218" s="78"/>
      <c r="C218" s="78"/>
      <c r="D218" s="61"/>
      <c r="E218" s="61"/>
      <c r="F218" s="61"/>
    </row>
    <row r="219" spans="1:6" ht="16.5">
      <c r="A219" s="78"/>
      <c r="B219" s="78"/>
      <c r="C219" s="78"/>
      <c r="D219" s="61"/>
      <c r="E219" s="61"/>
      <c r="F219" s="61"/>
    </row>
    <row r="220" spans="1:6" ht="16.5">
      <c r="A220" s="78"/>
      <c r="B220" s="78"/>
      <c r="C220" s="78"/>
      <c r="D220" s="61"/>
      <c r="E220" s="61"/>
      <c r="F220" s="61"/>
    </row>
    <row r="221" spans="1:6" ht="16.5">
      <c r="A221" s="78"/>
      <c r="B221" s="78"/>
      <c r="C221" s="78"/>
      <c r="D221" s="61"/>
      <c r="E221" s="61"/>
      <c r="F221" s="61"/>
    </row>
    <row r="222" spans="1:6" ht="16.5">
      <c r="A222" s="78"/>
      <c r="B222" s="78"/>
      <c r="C222" s="78"/>
      <c r="D222" s="61"/>
      <c r="E222" s="61"/>
      <c r="F222" s="61"/>
    </row>
    <row r="223" spans="1:6" ht="16.5">
      <c r="A223" s="78"/>
      <c r="B223" s="78"/>
      <c r="C223" s="78"/>
      <c r="D223" s="61"/>
      <c r="E223" s="61"/>
      <c r="F223" s="61"/>
    </row>
    <row r="224" spans="1:6" ht="16.5">
      <c r="A224" s="78"/>
      <c r="B224" s="78"/>
      <c r="C224" s="78"/>
      <c r="D224" s="61"/>
      <c r="E224" s="61"/>
      <c r="F224" s="61"/>
    </row>
    <row r="225" spans="1:6" ht="16.5">
      <c r="A225" s="78"/>
      <c r="B225" s="78"/>
      <c r="C225" s="78"/>
      <c r="D225" s="61"/>
      <c r="E225" s="61"/>
      <c r="F225" s="61"/>
    </row>
    <row r="226" spans="1:6" ht="16.5">
      <c r="A226" s="78"/>
      <c r="B226" s="78"/>
      <c r="C226" s="78"/>
      <c r="D226" s="61"/>
      <c r="E226" s="61"/>
      <c r="F226" s="61"/>
    </row>
    <row r="227" spans="1:6" ht="16.5">
      <c r="A227" s="78"/>
      <c r="B227" s="78"/>
      <c r="C227" s="78"/>
      <c r="D227" s="61"/>
      <c r="E227" s="61"/>
      <c r="F227" s="61"/>
    </row>
    <row r="228" spans="1:6" ht="16.5">
      <c r="A228" s="78"/>
      <c r="B228" s="78"/>
      <c r="C228" s="78"/>
      <c r="D228" s="61"/>
      <c r="E228" s="61"/>
      <c r="F228" s="61"/>
    </row>
    <row r="229" spans="1:6" ht="16.5">
      <c r="A229" s="78"/>
      <c r="B229" s="78"/>
      <c r="C229" s="78"/>
      <c r="D229" s="61"/>
      <c r="E229" s="61"/>
      <c r="F229" s="61"/>
    </row>
    <row r="230" spans="1:6" ht="16.5">
      <c r="A230" s="78"/>
      <c r="B230" s="78"/>
      <c r="C230" s="78"/>
      <c r="D230" s="61"/>
      <c r="E230" s="61"/>
      <c r="F230" s="61"/>
    </row>
    <row r="231" spans="1:6" ht="16.5">
      <c r="A231" s="78"/>
      <c r="B231" s="78"/>
      <c r="C231" s="78"/>
      <c r="D231" s="61"/>
      <c r="E231" s="61"/>
      <c r="F231" s="61"/>
    </row>
    <row r="232" spans="1:6" ht="16.5">
      <c r="A232" s="78"/>
      <c r="B232" s="78"/>
      <c r="C232" s="78"/>
      <c r="D232" s="61"/>
      <c r="E232" s="61"/>
      <c r="F232" s="61"/>
    </row>
    <row r="233" spans="1:6" ht="16.5">
      <c r="A233" s="78"/>
      <c r="B233" s="78"/>
      <c r="C233" s="78"/>
      <c r="D233" s="61"/>
      <c r="E233" s="61"/>
      <c r="F233" s="61"/>
    </row>
    <row r="234" spans="1:6" ht="16.5">
      <c r="A234" s="78"/>
      <c r="B234" s="78"/>
      <c r="C234" s="78"/>
      <c r="D234" s="61"/>
      <c r="E234" s="61"/>
      <c r="F234" s="61"/>
    </row>
    <row r="235" spans="1:6" ht="16.5">
      <c r="A235" s="78"/>
      <c r="B235" s="78"/>
      <c r="C235" s="78"/>
      <c r="D235" s="61"/>
      <c r="E235" s="61"/>
      <c r="F235" s="61"/>
    </row>
    <row r="236" spans="1:6" ht="16.5">
      <c r="A236" s="78"/>
      <c r="B236" s="78"/>
      <c r="C236" s="78"/>
      <c r="D236" s="61"/>
      <c r="E236" s="61"/>
      <c r="F236" s="61"/>
    </row>
    <row r="237" spans="1:6" ht="16.5">
      <c r="A237" s="78"/>
      <c r="B237" s="78"/>
      <c r="C237" s="78"/>
      <c r="D237" s="61"/>
      <c r="E237" s="61"/>
      <c r="F237" s="61"/>
    </row>
    <row r="238" spans="1:6" ht="16.5">
      <c r="A238" s="78"/>
      <c r="B238" s="78"/>
      <c r="C238" s="78"/>
      <c r="D238" s="61"/>
      <c r="E238" s="61"/>
      <c r="F238" s="61"/>
    </row>
    <row r="239" spans="1:6" ht="16.5">
      <c r="A239" s="78"/>
      <c r="B239" s="78"/>
      <c r="C239" s="78"/>
      <c r="D239" s="61"/>
      <c r="E239" s="61"/>
      <c r="F239" s="61"/>
    </row>
    <row r="240" spans="1:6" ht="16.5">
      <c r="A240" s="78"/>
      <c r="B240" s="78"/>
      <c r="C240" s="78"/>
      <c r="D240" s="61"/>
      <c r="E240" s="61"/>
      <c r="F240" s="61"/>
    </row>
    <row r="241" spans="1:6" ht="16.5">
      <c r="A241" s="78"/>
      <c r="B241" s="78"/>
      <c r="C241" s="78"/>
      <c r="D241" s="61"/>
      <c r="E241" s="61"/>
      <c r="F241" s="61"/>
    </row>
    <row r="242" spans="1:6" ht="16.5">
      <c r="A242" s="78"/>
      <c r="B242" s="78"/>
      <c r="C242" s="78"/>
      <c r="D242" s="61"/>
      <c r="E242" s="61"/>
      <c r="F242" s="61"/>
    </row>
    <row r="243" spans="1:6" ht="16.5">
      <c r="A243" s="78"/>
      <c r="B243" s="78"/>
      <c r="C243" s="78"/>
      <c r="D243" s="61"/>
      <c r="E243" s="61"/>
      <c r="F243" s="61"/>
    </row>
    <row r="244" spans="1:6" ht="16.5">
      <c r="A244" s="78"/>
      <c r="B244" s="78"/>
      <c r="C244" s="78"/>
      <c r="D244" s="61"/>
      <c r="E244" s="61"/>
      <c r="F244" s="61"/>
    </row>
    <row r="245" spans="1:6" ht="16.5">
      <c r="A245" s="78"/>
      <c r="B245" s="78"/>
      <c r="C245" s="78"/>
      <c r="D245" s="61"/>
      <c r="E245" s="61"/>
      <c r="F245" s="61"/>
    </row>
    <row r="246" spans="1:6" ht="16.5">
      <c r="A246" s="78"/>
      <c r="B246" s="78"/>
      <c r="C246" s="78"/>
      <c r="D246" s="61"/>
      <c r="E246" s="61"/>
      <c r="F246" s="61"/>
    </row>
    <row r="247" spans="1:6" ht="16.5">
      <c r="A247" s="78"/>
      <c r="B247" s="78"/>
      <c r="C247" s="78"/>
      <c r="D247" s="61"/>
      <c r="E247" s="61"/>
      <c r="F247" s="61"/>
    </row>
    <row r="248" spans="1:6" ht="16.5">
      <c r="A248" s="78"/>
      <c r="B248" s="78"/>
      <c r="C248" s="78"/>
      <c r="D248" s="61"/>
      <c r="E248" s="61"/>
      <c r="F248" s="61"/>
    </row>
    <row r="249" spans="1:6" ht="16.5">
      <c r="A249" s="78"/>
      <c r="B249" s="78"/>
      <c r="C249" s="78"/>
      <c r="D249" s="61"/>
      <c r="E249" s="61"/>
      <c r="F249" s="61"/>
    </row>
    <row r="250" spans="1:6" ht="16.5">
      <c r="A250" s="78"/>
      <c r="B250" s="78"/>
      <c r="C250" s="78"/>
      <c r="D250" s="61"/>
      <c r="E250" s="61"/>
      <c r="F250" s="61"/>
    </row>
    <row r="251" spans="1:6" ht="16.5">
      <c r="A251" s="78"/>
      <c r="B251" s="78"/>
      <c r="C251" s="78"/>
      <c r="D251" s="61"/>
      <c r="E251" s="61"/>
      <c r="F251" s="61"/>
    </row>
    <row r="252" spans="1:6" ht="16.5">
      <c r="A252" s="78"/>
      <c r="B252" s="78"/>
      <c r="C252" s="78"/>
      <c r="D252" s="61"/>
      <c r="E252" s="61"/>
      <c r="F252" s="61"/>
    </row>
    <row r="253" spans="1:6" ht="16.5">
      <c r="A253" s="78"/>
      <c r="B253" s="78"/>
      <c r="C253" s="78"/>
      <c r="D253" s="61"/>
      <c r="E253" s="61"/>
      <c r="F253" s="61"/>
    </row>
    <row r="254" spans="1:6" ht="16.5">
      <c r="A254" s="78"/>
      <c r="B254" s="78"/>
      <c r="C254" s="78"/>
      <c r="D254" s="61"/>
      <c r="E254" s="61"/>
      <c r="F254" s="61"/>
    </row>
    <row r="255" spans="1:6" ht="16.5">
      <c r="A255" s="78"/>
      <c r="B255" s="78"/>
      <c r="C255" s="78"/>
      <c r="D255" s="61"/>
      <c r="E255" s="61"/>
      <c r="F255" s="61"/>
    </row>
    <row r="256" spans="1:6" ht="16.5">
      <c r="A256" s="78"/>
      <c r="B256" s="78"/>
      <c r="C256" s="78"/>
      <c r="D256" s="61"/>
      <c r="E256" s="61"/>
      <c r="F256" s="61"/>
    </row>
    <row r="257" spans="1:6" ht="16.5">
      <c r="A257" s="78"/>
      <c r="B257" s="78"/>
      <c r="C257" s="78"/>
      <c r="D257" s="61"/>
      <c r="E257" s="61"/>
      <c r="F257" s="61"/>
    </row>
    <row r="258" spans="1:6" ht="16.5">
      <c r="A258" s="78"/>
      <c r="B258" s="78"/>
      <c r="C258" s="78"/>
      <c r="D258" s="61"/>
      <c r="E258" s="61"/>
      <c r="F258" s="61"/>
    </row>
    <row r="259" spans="1:6" ht="16.5">
      <c r="A259" s="78"/>
      <c r="B259" s="78"/>
      <c r="C259" s="78"/>
      <c r="D259" s="61"/>
      <c r="E259" s="61"/>
      <c r="F259" s="61"/>
    </row>
    <row r="260" spans="1:6" ht="16.5">
      <c r="A260" s="78"/>
      <c r="B260" s="78"/>
      <c r="C260" s="78"/>
      <c r="D260" s="61"/>
      <c r="E260" s="61"/>
      <c r="F260" s="61"/>
    </row>
    <row r="261" spans="1:6" ht="16.5">
      <c r="A261" s="78"/>
      <c r="B261" s="78"/>
      <c r="C261" s="78"/>
      <c r="D261" s="61"/>
      <c r="E261" s="61"/>
      <c r="F261" s="61"/>
    </row>
    <row r="262" spans="1:6" ht="16.5">
      <c r="A262" s="78"/>
      <c r="B262" s="78"/>
      <c r="C262" s="78"/>
      <c r="D262" s="61"/>
      <c r="E262" s="61"/>
      <c r="F262" s="61"/>
    </row>
    <row r="263" spans="1:6" ht="16.5">
      <c r="A263" s="78"/>
      <c r="B263" s="78"/>
      <c r="C263" s="78"/>
      <c r="D263" s="61"/>
      <c r="E263" s="61"/>
      <c r="F263" s="61"/>
    </row>
    <row r="264" spans="1:6" ht="16.5">
      <c r="A264" s="78"/>
      <c r="B264" s="78"/>
      <c r="C264" s="78"/>
      <c r="D264" s="61"/>
      <c r="E264" s="61"/>
      <c r="F264" s="61"/>
    </row>
    <row r="265" spans="1:6" ht="16.5">
      <c r="A265" s="78"/>
      <c r="B265" s="78"/>
      <c r="C265" s="78"/>
      <c r="D265" s="61"/>
      <c r="E265" s="61"/>
      <c r="F265" s="61"/>
    </row>
    <row r="266" spans="1:6" ht="16.5">
      <c r="A266" s="78"/>
      <c r="B266" s="78"/>
      <c r="C266" s="78"/>
      <c r="D266" s="61"/>
      <c r="E266" s="61"/>
      <c r="F266" s="61"/>
    </row>
    <row r="267" spans="1:6" ht="16.5">
      <c r="A267" s="78"/>
      <c r="B267" s="78"/>
      <c r="C267" s="78"/>
      <c r="D267" s="61"/>
      <c r="E267" s="61"/>
      <c r="F267" s="61"/>
    </row>
    <row r="268" spans="1:6" ht="16.5">
      <c r="A268" s="78"/>
      <c r="B268" s="78"/>
      <c r="C268" s="78"/>
      <c r="D268" s="61"/>
      <c r="E268" s="61"/>
      <c r="F268" s="61"/>
    </row>
    <row r="269" spans="1:6" ht="16.5">
      <c r="A269" s="78"/>
      <c r="B269" s="78"/>
      <c r="C269" s="78"/>
      <c r="D269" s="61"/>
      <c r="E269" s="61"/>
      <c r="F269" s="61"/>
    </row>
    <row r="270" spans="1:6" ht="16.5">
      <c r="A270" s="78"/>
      <c r="B270" s="78"/>
      <c r="C270" s="78"/>
      <c r="D270" s="61"/>
      <c r="E270" s="61"/>
      <c r="F270" s="61"/>
    </row>
    <row r="271" spans="1:6" ht="16.5">
      <c r="A271" s="78"/>
      <c r="B271" s="78"/>
      <c r="C271" s="78"/>
      <c r="D271" s="61"/>
      <c r="E271" s="61"/>
      <c r="F271" s="61"/>
    </row>
    <row r="272" spans="1:6" ht="16.5">
      <c r="A272" s="78"/>
      <c r="B272" s="78"/>
      <c r="C272" s="78"/>
      <c r="D272" s="61"/>
      <c r="E272" s="61"/>
      <c r="F272" s="61"/>
    </row>
    <row r="273" spans="1:6" ht="16.5">
      <c r="A273" s="78"/>
      <c r="B273" s="78"/>
      <c r="C273" s="78"/>
      <c r="D273" s="61"/>
      <c r="E273" s="61"/>
      <c r="F273" s="61"/>
    </row>
    <row r="274" spans="1:6" ht="16.5">
      <c r="A274" s="78"/>
      <c r="B274" s="78"/>
      <c r="C274" s="78"/>
      <c r="D274" s="61"/>
      <c r="E274" s="61"/>
      <c r="F274" s="61"/>
    </row>
    <row r="275" spans="1:6" ht="16.5">
      <c r="A275" s="78"/>
      <c r="B275" s="78"/>
      <c r="C275" s="78"/>
      <c r="D275" s="61"/>
      <c r="E275" s="61"/>
      <c r="F275" s="61"/>
    </row>
    <row r="276" spans="1:6" ht="16.5">
      <c r="A276" s="78"/>
      <c r="B276" s="78"/>
      <c r="C276" s="78"/>
      <c r="D276" s="61"/>
      <c r="E276" s="61"/>
      <c r="F276" s="61"/>
    </row>
    <row r="277" spans="1:6" ht="16.5">
      <c r="A277" s="78"/>
      <c r="B277" s="78"/>
      <c r="C277" s="78"/>
      <c r="D277" s="61"/>
      <c r="E277" s="61"/>
      <c r="F277" s="61"/>
    </row>
    <row r="278" spans="1:6" ht="16.5">
      <c r="A278" s="78"/>
      <c r="B278" s="78"/>
      <c r="C278" s="78"/>
      <c r="D278" s="61"/>
      <c r="E278" s="61"/>
      <c r="F278" s="61"/>
    </row>
    <row r="279" spans="1:6" ht="16.5">
      <c r="A279" s="78"/>
      <c r="B279" s="78"/>
      <c r="C279" s="78"/>
      <c r="D279" s="61"/>
      <c r="E279" s="61"/>
      <c r="F279" s="61"/>
    </row>
    <row r="280" spans="1:6" ht="16.5">
      <c r="A280" s="78"/>
      <c r="B280" s="78"/>
      <c r="C280" s="78"/>
      <c r="D280" s="61"/>
      <c r="E280" s="61"/>
      <c r="F280" s="61"/>
    </row>
    <row r="281" spans="1:6" ht="16.5">
      <c r="A281" s="78"/>
      <c r="B281" s="78"/>
      <c r="C281" s="78"/>
      <c r="D281" s="61"/>
      <c r="E281" s="61"/>
      <c r="F281" s="61"/>
    </row>
    <row r="282" spans="1:6" ht="16.5">
      <c r="A282" s="78"/>
      <c r="B282" s="78"/>
      <c r="C282" s="78"/>
      <c r="D282" s="61"/>
      <c r="E282" s="61"/>
      <c r="F282" s="61"/>
    </row>
    <row r="283" spans="1:6" ht="16.5">
      <c r="A283" s="78"/>
      <c r="B283" s="78"/>
      <c r="C283" s="78"/>
      <c r="D283" s="61"/>
      <c r="E283" s="61"/>
      <c r="F283" s="61"/>
    </row>
    <row r="284" spans="1:6" ht="16.5">
      <c r="A284" s="78"/>
      <c r="B284" s="78"/>
      <c r="C284" s="78"/>
      <c r="D284" s="61"/>
      <c r="E284" s="61"/>
      <c r="F284" s="61"/>
    </row>
    <row r="285" spans="1:6" ht="16.5">
      <c r="A285" s="78"/>
      <c r="B285" s="78"/>
      <c r="C285" s="78"/>
      <c r="D285" s="61"/>
      <c r="E285" s="61"/>
      <c r="F285" s="61"/>
    </row>
    <row r="286" spans="1:6" ht="16.5">
      <c r="A286" s="78"/>
      <c r="B286" s="78"/>
      <c r="C286" s="78"/>
      <c r="D286" s="61"/>
      <c r="E286" s="61"/>
      <c r="F286" s="61"/>
    </row>
    <row r="287" spans="1:6" ht="16.5">
      <c r="A287" s="78"/>
      <c r="B287" s="78"/>
      <c r="C287" s="78"/>
      <c r="D287" s="61"/>
      <c r="E287" s="61"/>
      <c r="F287" s="61"/>
    </row>
    <row r="288" spans="1:6" ht="16.5">
      <c r="A288" s="78"/>
      <c r="B288" s="78"/>
      <c r="C288" s="78"/>
      <c r="D288" s="61"/>
      <c r="E288" s="61"/>
      <c r="F288" s="61"/>
    </row>
    <row r="289" spans="1:6" ht="16.5">
      <c r="A289" s="78"/>
      <c r="B289" s="78"/>
      <c r="C289" s="78"/>
      <c r="D289" s="61"/>
      <c r="E289" s="61"/>
      <c r="F289" s="61"/>
    </row>
    <row r="290" spans="1:6" ht="16.5">
      <c r="A290" s="78"/>
      <c r="B290" s="78"/>
      <c r="C290" s="78"/>
      <c r="D290" s="61"/>
      <c r="E290" s="61"/>
      <c r="F290" s="61"/>
    </row>
    <row r="291" spans="1:6" ht="16.5">
      <c r="A291" s="78"/>
      <c r="B291" s="78"/>
      <c r="C291" s="78"/>
      <c r="D291" s="61"/>
      <c r="E291" s="61"/>
      <c r="F291" s="61"/>
    </row>
    <row r="292" spans="1:6" ht="16.5">
      <c r="A292" s="78"/>
      <c r="B292" s="78"/>
      <c r="C292" s="78"/>
      <c r="D292" s="61"/>
      <c r="E292" s="61"/>
      <c r="F292" s="61"/>
    </row>
    <row r="293" spans="1:6" ht="16.5">
      <c r="A293" s="78"/>
      <c r="B293" s="78"/>
      <c r="C293" s="78"/>
      <c r="D293" s="61"/>
      <c r="E293" s="61"/>
      <c r="F293" s="61"/>
    </row>
    <row r="294" spans="1:6" ht="16.5">
      <c r="A294" s="78"/>
      <c r="B294" s="78"/>
      <c r="C294" s="78"/>
      <c r="D294" s="61"/>
      <c r="E294" s="61"/>
      <c r="F294" s="61"/>
    </row>
    <row r="295" spans="1:6" ht="16.5">
      <c r="A295" s="78"/>
      <c r="B295" s="78"/>
      <c r="C295" s="78"/>
      <c r="D295" s="61"/>
      <c r="E295" s="61"/>
      <c r="F295" s="61"/>
    </row>
    <row r="296" spans="1:6" ht="16.5">
      <c r="A296" s="78"/>
      <c r="B296" s="78"/>
      <c r="C296" s="78"/>
      <c r="D296" s="61"/>
      <c r="E296" s="61"/>
      <c r="F296" s="61"/>
    </row>
    <row r="297" spans="1:6" ht="16.5">
      <c r="A297" s="78"/>
      <c r="B297" s="78"/>
      <c r="C297" s="78"/>
      <c r="D297" s="61"/>
      <c r="E297" s="61"/>
      <c r="F297" s="61"/>
    </row>
    <row r="298" spans="1:6" ht="16.5">
      <c r="A298" s="78"/>
      <c r="B298" s="78"/>
      <c r="C298" s="78"/>
      <c r="D298" s="61"/>
      <c r="E298" s="61"/>
      <c r="F298" s="61"/>
    </row>
    <row r="299" spans="1:6" ht="16.5">
      <c r="A299" s="78"/>
      <c r="B299" s="78"/>
      <c r="C299" s="78"/>
      <c r="D299" s="61"/>
      <c r="E299" s="61"/>
      <c r="F299" s="61"/>
    </row>
    <row r="300" spans="1:6" ht="16.5">
      <c r="A300" s="78"/>
      <c r="B300" s="78"/>
      <c r="C300" s="78"/>
      <c r="D300" s="61"/>
      <c r="E300" s="61"/>
      <c r="F300" s="61"/>
    </row>
    <row r="301" spans="1:6" ht="16.5">
      <c r="A301" s="78"/>
      <c r="B301" s="78"/>
      <c r="C301" s="78"/>
      <c r="D301" s="61"/>
      <c r="E301" s="61"/>
      <c r="F301" s="61"/>
    </row>
    <row r="302" spans="1:6" ht="16.5">
      <c r="A302" s="78"/>
      <c r="B302" s="78"/>
      <c r="C302" s="78"/>
      <c r="D302" s="61"/>
      <c r="E302" s="61"/>
      <c r="F302" s="61"/>
    </row>
    <row r="303" spans="1:6" ht="16.5">
      <c r="A303" s="78"/>
      <c r="B303" s="78"/>
      <c r="C303" s="78"/>
      <c r="D303" s="61"/>
      <c r="E303" s="61"/>
      <c r="F303" s="61"/>
    </row>
    <row r="304" spans="1:6" ht="16.5">
      <c r="A304" s="78"/>
      <c r="B304" s="78"/>
      <c r="C304" s="78"/>
      <c r="D304" s="61"/>
      <c r="E304" s="61"/>
      <c r="F304" s="61"/>
    </row>
    <row r="305" spans="1:6" ht="16.5">
      <c r="A305" s="78"/>
      <c r="B305" s="78"/>
      <c r="C305" s="78"/>
      <c r="D305" s="61"/>
      <c r="E305" s="61"/>
      <c r="F305" s="61"/>
    </row>
    <row r="306" spans="1:6" ht="16.5">
      <c r="A306" s="78"/>
      <c r="B306" s="78"/>
      <c r="C306" s="78"/>
      <c r="D306" s="61"/>
      <c r="E306" s="61"/>
      <c r="F306" s="61"/>
    </row>
    <row r="307" spans="1:6" ht="16.5">
      <c r="A307" s="78"/>
      <c r="B307" s="78"/>
      <c r="C307" s="78"/>
      <c r="D307" s="61"/>
      <c r="E307" s="61"/>
      <c r="F307" s="61"/>
    </row>
    <row r="308" spans="1:6" ht="16.5">
      <c r="A308" s="78"/>
      <c r="B308" s="78"/>
      <c r="C308" s="78"/>
      <c r="D308" s="61"/>
      <c r="E308" s="61"/>
      <c r="F308" s="61"/>
    </row>
    <row r="309" spans="1:6" ht="16.5">
      <c r="A309" s="78"/>
      <c r="B309" s="78"/>
      <c r="C309" s="78"/>
      <c r="D309" s="61"/>
      <c r="E309" s="61"/>
      <c r="F309" s="61"/>
    </row>
    <row r="310" spans="1:6" ht="16.5">
      <c r="A310" s="78"/>
      <c r="B310" s="78"/>
      <c r="C310" s="78"/>
      <c r="D310" s="61"/>
      <c r="E310" s="61"/>
      <c r="F310" s="61"/>
    </row>
    <row r="311" spans="1:6" ht="16.5">
      <c r="A311" s="78"/>
      <c r="B311" s="78"/>
      <c r="C311" s="78"/>
      <c r="D311" s="61"/>
      <c r="E311" s="61"/>
      <c r="F311" s="61"/>
    </row>
    <row r="312" spans="1:6" ht="16.5">
      <c r="A312" s="78"/>
      <c r="B312" s="78"/>
      <c r="C312" s="78"/>
      <c r="D312" s="61"/>
      <c r="E312" s="61"/>
      <c r="F312" s="61"/>
    </row>
    <row r="313" spans="1:6" ht="16.5">
      <c r="A313" s="78"/>
      <c r="B313" s="78"/>
      <c r="C313" s="78"/>
      <c r="D313" s="61"/>
      <c r="E313" s="61"/>
      <c r="F313" s="61"/>
    </row>
    <row r="314" spans="1:6" ht="16.5">
      <c r="A314" s="78"/>
      <c r="B314" s="78"/>
      <c r="C314" s="78"/>
      <c r="D314" s="61"/>
      <c r="E314" s="61"/>
      <c r="F314" s="61"/>
    </row>
    <row r="315" spans="1:6" ht="16.5">
      <c r="A315" s="78"/>
      <c r="B315" s="78"/>
      <c r="C315" s="78"/>
      <c r="D315" s="61"/>
      <c r="E315" s="61"/>
      <c r="F315" s="61"/>
    </row>
    <row r="316" spans="1:6" ht="16.5">
      <c r="A316" s="78"/>
      <c r="B316" s="78"/>
      <c r="C316" s="78"/>
      <c r="D316" s="61"/>
      <c r="E316" s="61"/>
      <c r="F316" s="61"/>
    </row>
    <row r="317" spans="1:6" ht="16.5">
      <c r="A317" s="78"/>
      <c r="B317" s="78"/>
      <c r="C317" s="78"/>
      <c r="D317" s="61"/>
      <c r="E317" s="61"/>
      <c r="F317" s="61"/>
    </row>
    <row r="318" spans="1:6" ht="16.5">
      <c r="A318" s="78"/>
      <c r="B318" s="78"/>
      <c r="C318" s="78"/>
      <c r="D318" s="61"/>
      <c r="E318" s="61"/>
      <c r="F318" s="61"/>
    </row>
    <row r="319" spans="1:6" ht="16.5">
      <c r="A319" s="78"/>
      <c r="B319" s="78"/>
      <c r="C319" s="78"/>
      <c r="D319" s="61"/>
      <c r="E319" s="61"/>
      <c r="F319" s="61"/>
    </row>
    <row r="320" spans="1:6" ht="16.5">
      <c r="A320" s="78"/>
      <c r="B320" s="78"/>
      <c r="C320" s="78"/>
      <c r="D320" s="61"/>
      <c r="E320" s="61"/>
      <c r="F320" s="61"/>
    </row>
    <row r="321" spans="1:6" ht="16.5">
      <c r="A321" s="78"/>
      <c r="B321" s="78"/>
      <c r="C321" s="78"/>
      <c r="D321" s="61"/>
      <c r="E321" s="61"/>
      <c r="F321" s="61"/>
    </row>
    <row r="322" spans="1:6" ht="16.5">
      <c r="A322" s="78"/>
      <c r="B322" s="78"/>
      <c r="C322" s="78"/>
      <c r="D322" s="61"/>
      <c r="E322" s="61"/>
      <c r="F322" s="61"/>
    </row>
    <row r="323" spans="1:6" ht="16.5">
      <c r="A323" s="78"/>
      <c r="B323" s="78"/>
      <c r="C323" s="78"/>
      <c r="D323" s="61"/>
      <c r="E323" s="61"/>
      <c r="F323" s="61"/>
    </row>
    <row r="324" spans="1:6" ht="16.5">
      <c r="A324" s="78"/>
      <c r="B324" s="78"/>
      <c r="C324" s="78"/>
      <c r="D324" s="61"/>
      <c r="E324" s="61"/>
      <c r="F324" s="61"/>
    </row>
    <row r="325" spans="1:6" ht="16.5">
      <c r="A325" s="78"/>
      <c r="B325" s="78"/>
      <c r="C325" s="78"/>
      <c r="D325" s="61"/>
      <c r="E325" s="61"/>
      <c r="F325" s="61"/>
    </row>
    <row r="326" spans="1:6" ht="16.5">
      <c r="A326" s="78"/>
      <c r="B326" s="78"/>
      <c r="C326" s="78"/>
      <c r="D326" s="61"/>
      <c r="E326" s="61"/>
      <c r="F326" s="61"/>
    </row>
    <row r="327" spans="1:6" ht="16.5">
      <c r="A327" s="78"/>
      <c r="B327" s="78"/>
      <c r="C327" s="78"/>
      <c r="D327" s="61"/>
      <c r="E327" s="61"/>
      <c r="F327" s="61"/>
    </row>
    <row r="328" spans="1:6" ht="16.5">
      <c r="A328" s="78"/>
      <c r="B328" s="78"/>
      <c r="C328" s="78"/>
      <c r="D328" s="61"/>
      <c r="E328" s="61"/>
      <c r="F328" s="61"/>
    </row>
    <row r="329" spans="1:6" ht="16.5">
      <c r="A329" s="78"/>
      <c r="B329" s="78"/>
      <c r="C329" s="78"/>
      <c r="D329" s="61"/>
      <c r="E329" s="61"/>
      <c r="F329" s="61"/>
    </row>
    <row r="330" spans="1:6" ht="16.5">
      <c r="A330" s="78"/>
      <c r="B330" s="78"/>
      <c r="C330" s="78"/>
      <c r="D330" s="61"/>
      <c r="E330" s="61"/>
      <c r="F330" s="61"/>
    </row>
    <row r="331" spans="1:6" ht="16.5">
      <c r="A331" s="78"/>
      <c r="B331" s="78"/>
      <c r="C331" s="78"/>
      <c r="D331" s="61"/>
      <c r="E331" s="61"/>
      <c r="F331" s="61"/>
    </row>
    <row r="332" spans="1:6" ht="16.5">
      <c r="A332" s="78"/>
      <c r="B332" s="78"/>
      <c r="C332" s="78"/>
      <c r="D332" s="61"/>
      <c r="E332" s="61"/>
      <c r="F332" s="61"/>
    </row>
    <row r="333" spans="1:6" ht="16.5">
      <c r="A333" s="78"/>
      <c r="B333" s="78"/>
      <c r="C333" s="78"/>
      <c r="D333" s="61"/>
      <c r="E333" s="61"/>
      <c r="F333" s="61"/>
    </row>
    <row r="334" spans="1:6" ht="16.5">
      <c r="A334" s="78"/>
      <c r="B334" s="78"/>
      <c r="C334" s="78"/>
      <c r="D334" s="61"/>
      <c r="E334" s="61"/>
      <c r="F334" s="61"/>
    </row>
    <row r="335" spans="1:6" ht="16.5">
      <c r="A335" s="78"/>
      <c r="B335" s="78"/>
      <c r="C335" s="78"/>
      <c r="D335" s="61"/>
      <c r="E335" s="61"/>
      <c r="F335" s="61"/>
    </row>
    <row r="336" spans="1:6" ht="16.5">
      <c r="A336" s="78"/>
      <c r="B336" s="78"/>
      <c r="C336" s="78"/>
      <c r="D336" s="61"/>
      <c r="E336" s="61"/>
      <c r="F336" s="61"/>
    </row>
    <row r="337" spans="1:6" ht="16.5">
      <c r="A337" s="78"/>
      <c r="B337" s="78"/>
      <c r="C337" s="78"/>
      <c r="D337" s="61"/>
      <c r="E337" s="61"/>
      <c r="F337" s="61"/>
    </row>
    <row r="338" spans="1:6" ht="16.5">
      <c r="A338" s="78"/>
      <c r="B338" s="78"/>
      <c r="C338" s="78"/>
      <c r="D338" s="61"/>
      <c r="E338" s="61"/>
      <c r="F338" s="61"/>
    </row>
    <row r="339" spans="1:6" ht="16.5">
      <c r="A339" s="78"/>
      <c r="B339" s="78"/>
      <c r="C339" s="78"/>
      <c r="D339" s="61"/>
      <c r="E339" s="61"/>
      <c r="F339" s="61"/>
    </row>
    <row r="340" spans="1:6" ht="16.5">
      <c r="A340" s="78"/>
      <c r="B340" s="78"/>
      <c r="C340" s="78"/>
      <c r="D340" s="61"/>
      <c r="E340" s="61"/>
      <c r="F340" s="61"/>
    </row>
    <row r="341" spans="1:6" ht="16.5">
      <c r="A341" s="78"/>
      <c r="B341" s="78"/>
      <c r="C341" s="78"/>
      <c r="D341" s="61"/>
      <c r="E341" s="61"/>
      <c r="F341" s="61"/>
    </row>
    <row r="342" spans="1:6" ht="16.5">
      <c r="A342" s="78"/>
      <c r="B342" s="78"/>
      <c r="C342" s="78"/>
      <c r="D342" s="61"/>
      <c r="E342" s="61"/>
      <c r="F342" s="61"/>
    </row>
    <row r="343" spans="1:6" ht="16.5">
      <c r="A343" s="78"/>
      <c r="B343" s="78"/>
      <c r="C343" s="78"/>
      <c r="D343" s="61"/>
      <c r="E343" s="61"/>
      <c r="F343" s="61"/>
    </row>
    <row r="344" spans="1:6" ht="16.5">
      <c r="A344" s="78"/>
      <c r="B344" s="78"/>
      <c r="C344" s="78"/>
      <c r="D344" s="61"/>
      <c r="E344" s="61"/>
      <c r="F344" s="61"/>
    </row>
    <row r="345" spans="1:6" ht="16.5">
      <c r="A345" s="78"/>
      <c r="B345" s="78"/>
      <c r="C345" s="78"/>
      <c r="D345" s="61"/>
      <c r="E345" s="61"/>
      <c r="F345" s="61"/>
    </row>
    <row r="346" spans="1:6" ht="16.5">
      <c r="A346" s="78"/>
      <c r="B346" s="78"/>
      <c r="C346" s="78"/>
      <c r="D346" s="61"/>
      <c r="E346" s="61"/>
      <c r="F346" s="61"/>
    </row>
    <row r="347" spans="1:6" ht="16.5">
      <c r="A347" s="78"/>
      <c r="B347" s="78"/>
      <c r="C347" s="78"/>
      <c r="D347" s="61"/>
      <c r="E347" s="61"/>
      <c r="F347" s="61"/>
    </row>
    <row r="348" spans="1:6" ht="16.5">
      <c r="A348" s="78"/>
      <c r="B348" s="78"/>
      <c r="C348" s="78"/>
      <c r="D348" s="61"/>
      <c r="E348" s="61"/>
      <c r="F348" s="61"/>
    </row>
    <row r="349" spans="1:6" ht="16.5">
      <c r="A349" s="78"/>
      <c r="B349" s="78"/>
      <c r="C349" s="78"/>
      <c r="D349" s="61"/>
      <c r="E349" s="61"/>
      <c r="F349" s="61"/>
    </row>
    <row r="350" spans="1:6" ht="16.5">
      <c r="A350" s="78"/>
      <c r="B350" s="78"/>
      <c r="C350" s="78"/>
      <c r="D350" s="61"/>
      <c r="E350" s="61"/>
      <c r="F350" s="61"/>
    </row>
    <row r="351" spans="1:6" ht="16.5">
      <c r="A351" s="78"/>
      <c r="B351" s="78"/>
      <c r="C351" s="78"/>
      <c r="D351" s="61"/>
      <c r="E351" s="61"/>
      <c r="F351" s="61"/>
    </row>
    <row r="352" spans="1:6" ht="16.5">
      <c r="A352" s="78"/>
      <c r="B352" s="78"/>
      <c r="C352" s="78"/>
      <c r="D352" s="61"/>
      <c r="E352" s="61"/>
      <c r="F352" s="61"/>
    </row>
    <row r="353" spans="1:6" ht="16.5">
      <c r="A353" s="78"/>
      <c r="B353" s="78"/>
      <c r="C353" s="78"/>
      <c r="D353" s="61"/>
      <c r="E353" s="61"/>
      <c r="F353" s="61"/>
    </row>
    <row r="354" spans="1:6" ht="16.5">
      <c r="A354" s="78"/>
      <c r="B354" s="78"/>
      <c r="C354" s="78"/>
      <c r="D354" s="61"/>
      <c r="E354" s="61"/>
      <c r="F354" s="61"/>
    </row>
    <row r="355" spans="1:6" ht="16.5">
      <c r="A355" s="78"/>
      <c r="B355" s="78"/>
      <c r="C355" s="78"/>
      <c r="D355" s="61"/>
      <c r="E355" s="61"/>
      <c r="F355" s="61"/>
    </row>
    <row r="356" spans="1:6" ht="16.5">
      <c r="A356" s="78"/>
      <c r="B356" s="78"/>
      <c r="C356" s="78"/>
      <c r="D356" s="61"/>
      <c r="E356" s="61"/>
      <c r="F356" s="61"/>
    </row>
    <row r="357" spans="1:6" ht="16.5">
      <c r="A357" s="78"/>
      <c r="B357" s="78"/>
      <c r="C357" s="78"/>
      <c r="D357" s="61"/>
      <c r="E357" s="61"/>
      <c r="F357" s="61"/>
    </row>
    <row r="358" spans="1:6" ht="16.5">
      <c r="A358" s="78"/>
      <c r="B358" s="78"/>
      <c r="C358" s="78"/>
      <c r="D358" s="61"/>
      <c r="E358" s="61"/>
      <c r="F358" s="61"/>
    </row>
    <row r="359" spans="1:6" ht="16.5">
      <c r="A359" s="78"/>
      <c r="B359" s="78"/>
      <c r="C359" s="78"/>
      <c r="D359" s="61"/>
      <c r="E359" s="61"/>
      <c r="F359" s="61"/>
    </row>
    <row r="360" spans="1:6" ht="16.5">
      <c r="A360" s="78"/>
      <c r="B360" s="78"/>
      <c r="C360" s="78"/>
      <c r="D360" s="61"/>
      <c r="E360" s="61"/>
      <c r="F360" s="61"/>
    </row>
    <row r="361" spans="1:6" ht="16.5">
      <c r="A361" s="78"/>
      <c r="B361" s="78"/>
      <c r="C361" s="78"/>
      <c r="D361" s="61"/>
      <c r="E361" s="61"/>
      <c r="F361" s="61"/>
    </row>
    <row r="362" spans="1:6" ht="16.5">
      <c r="A362" s="78"/>
      <c r="B362" s="78"/>
      <c r="C362" s="78"/>
      <c r="D362" s="61"/>
      <c r="E362" s="61"/>
      <c r="F362" s="61"/>
    </row>
    <row r="363" spans="1:6" ht="16.5">
      <c r="A363" s="78"/>
      <c r="B363" s="78"/>
      <c r="C363" s="78"/>
      <c r="D363" s="61"/>
      <c r="E363" s="61"/>
      <c r="F363" s="61"/>
    </row>
    <row r="364" spans="1:6" ht="16.5">
      <c r="A364" s="78"/>
      <c r="B364" s="78"/>
      <c r="C364" s="78"/>
      <c r="D364" s="61"/>
      <c r="E364" s="61"/>
      <c r="F364" s="61"/>
    </row>
    <row r="365" spans="1:6" ht="16.5">
      <c r="A365" s="78"/>
      <c r="B365" s="78"/>
      <c r="C365" s="78"/>
      <c r="D365" s="61"/>
      <c r="E365" s="61"/>
      <c r="F365" s="61"/>
    </row>
    <row r="366" spans="1:6" ht="16.5">
      <c r="A366" s="78"/>
      <c r="B366" s="78"/>
      <c r="C366" s="78"/>
      <c r="D366" s="61"/>
      <c r="E366" s="61"/>
      <c r="F366" s="61"/>
    </row>
    <row r="367" spans="1:6" ht="16.5">
      <c r="A367" s="78"/>
      <c r="B367" s="78"/>
      <c r="C367" s="78"/>
      <c r="D367" s="61"/>
      <c r="E367" s="61"/>
      <c r="F367" s="61"/>
    </row>
    <row r="368" spans="1:6" ht="16.5">
      <c r="A368" s="78"/>
      <c r="B368" s="78"/>
      <c r="C368" s="78"/>
      <c r="D368" s="61"/>
      <c r="E368" s="61"/>
      <c r="F368" s="61"/>
    </row>
    <row r="369" spans="1:6" ht="16.5">
      <c r="A369" s="78"/>
      <c r="B369" s="78"/>
      <c r="C369" s="78"/>
      <c r="D369" s="61"/>
      <c r="E369" s="61"/>
      <c r="F369" s="61"/>
    </row>
    <row r="370" spans="1:6" ht="16.5">
      <c r="A370" s="78"/>
      <c r="B370" s="78"/>
      <c r="C370" s="78"/>
      <c r="D370" s="61"/>
      <c r="E370" s="61"/>
      <c r="F370" s="61"/>
    </row>
    <row r="371" spans="1:6" ht="16.5">
      <c r="A371" s="78"/>
      <c r="B371" s="78"/>
      <c r="C371" s="78"/>
      <c r="D371" s="61"/>
      <c r="E371" s="61"/>
      <c r="F371" s="61"/>
    </row>
    <row r="372" spans="1:6" ht="16.5">
      <c r="A372" s="78"/>
      <c r="B372" s="78"/>
      <c r="C372" s="78"/>
      <c r="D372" s="61"/>
      <c r="E372" s="61"/>
      <c r="F372" s="61"/>
    </row>
    <row r="373" spans="1:6" ht="16.5">
      <c r="A373" s="78"/>
      <c r="B373" s="78"/>
      <c r="C373" s="78"/>
      <c r="D373" s="61"/>
      <c r="E373" s="61"/>
      <c r="F373" s="61"/>
    </row>
    <row r="374" spans="1:6" ht="16.5">
      <c r="A374" s="78"/>
      <c r="B374" s="78"/>
      <c r="C374" s="78"/>
      <c r="D374" s="61"/>
      <c r="E374" s="61"/>
      <c r="F374" s="61"/>
    </row>
    <row r="375" spans="1:6" ht="16.5">
      <c r="A375" s="78"/>
      <c r="B375" s="78"/>
      <c r="C375" s="78"/>
      <c r="D375" s="61"/>
      <c r="E375" s="61"/>
      <c r="F375" s="61"/>
    </row>
    <row r="376" spans="1:6" ht="16.5">
      <c r="A376" s="78"/>
      <c r="B376" s="78"/>
      <c r="C376" s="78"/>
      <c r="D376" s="61"/>
      <c r="E376" s="61"/>
      <c r="F376" s="61"/>
    </row>
    <row r="377" spans="1:6" ht="16.5">
      <c r="A377" s="78"/>
      <c r="B377" s="78"/>
      <c r="C377" s="78"/>
      <c r="D377" s="61"/>
      <c r="E377" s="61"/>
      <c r="F377" s="61"/>
    </row>
    <row r="378" spans="1:6" ht="16.5">
      <c r="A378" s="78"/>
      <c r="B378" s="78"/>
      <c r="C378" s="78"/>
      <c r="D378" s="61"/>
      <c r="E378" s="61"/>
      <c r="F378" s="61"/>
    </row>
    <row r="379" spans="1:6" ht="16.5">
      <c r="A379" s="78"/>
      <c r="B379" s="78"/>
      <c r="C379" s="78"/>
      <c r="D379" s="61"/>
      <c r="E379" s="61"/>
      <c r="F379" s="61"/>
    </row>
    <row r="380" spans="1:6" ht="16.5">
      <c r="A380" s="78"/>
      <c r="B380" s="78"/>
      <c r="C380" s="78"/>
      <c r="D380" s="61"/>
      <c r="E380" s="61"/>
      <c r="F380" s="61"/>
    </row>
    <row r="381" spans="1:6" ht="16.5">
      <c r="A381" s="78"/>
      <c r="B381" s="78"/>
      <c r="C381" s="78"/>
      <c r="D381" s="61"/>
      <c r="E381" s="61"/>
      <c r="F381" s="61"/>
    </row>
    <row r="382" spans="1:6" ht="16.5">
      <c r="A382" s="78"/>
      <c r="B382" s="78"/>
      <c r="C382" s="78"/>
      <c r="D382" s="61"/>
      <c r="E382" s="61"/>
      <c r="F382" s="61"/>
    </row>
    <row r="383" spans="1:6" ht="16.5">
      <c r="A383" s="78"/>
      <c r="B383" s="78"/>
      <c r="C383" s="78"/>
      <c r="D383" s="61"/>
      <c r="E383" s="61"/>
      <c r="F383" s="61"/>
    </row>
    <row r="384" spans="1:6" ht="16.5">
      <c r="A384" s="78"/>
      <c r="B384" s="78"/>
      <c r="C384" s="78"/>
      <c r="D384" s="61"/>
      <c r="E384" s="61"/>
      <c r="F384" s="61"/>
    </row>
    <row r="385" spans="1:6" ht="16.5">
      <c r="A385" s="78"/>
      <c r="B385" s="78"/>
      <c r="C385" s="78"/>
      <c r="D385" s="61"/>
      <c r="E385" s="61"/>
      <c r="F385" s="61"/>
    </row>
    <row r="386" spans="1:6" ht="16.5">
      <c r="A386" s="78"/>
      <c r="B386" s="78"/>
      <c r="C386" s="78"/>
      <c r="D386" s="61"/>
      <c r="E386" s="61"/>
      <c r="F386" s="61"/>
    </row>
    <row r="387" spans="1:6" ht="16.5">
      <c r="A387" s="78"/>
      <c r="B387" s="78"/>
      <c r="C387" s="78"/>
      <c r="D387" s="61"/>
      <c r="E387" s="61"/>
      <c r="F387" s="61"/>
    </row>
    <row r="388" spans="1:6" ht="16.5">
      <c r="A388" s="78"/>
      <c r="B388" s="78"/>
      <c r="C388" s="78"/>
      <c r="D388" s="61"/>
      <c r="E388" s="61"/>
      <c r="F388" s="61"/>
    </row>
    <row r="389" spans="1:6" ht="16.5">
      <c r="A389" s="78"/>
      <c r="B389" s="78"/>
      <c r="C389" s="78"/>
      <c r="D389" s="61"/>
      <c r="E389" s="61"/>
      <c r="F389" s="61"/>
    </row>
    <row r="390" spans="1:6" ht="16.5">
      <c r="A390" s="78"/>
      <c r="B390" s="78"/>
      <c r="C390" s="78"/>
      <c r="D390" s="61"/>
      <c r="E390" s="61"/>
      <c r="F390" s="61"/>
    </row>
    <row r="391" spans="1:6" ht="16.5">
      <c r="A391" s="78"/>
      <c r="B391" s="78"/>
      <c r="C391" s="78"/>
      <c r="D391" s="61"/>
      <c r="E391" s="61"/>
      <c r="F391" s="61"/>
    </row>
    <row r="392" spans="1:6" ht="16.5">
      <c r="A392" s="78"/>
      <c r="B392" s="78"/>
      <c r="C392" s="78"/>
      <c r="D392" s="61"/>
      <c r="E392" s="61"/>
      <c r="F392" s="61"/>
    </row>
    <row r="393" spans="1:6" ht="16.5">
      <c r="A393" s="78"/>
      <c r="B393" s="78"/>
      <c r="C393" s="78"/>
      <c r="D393" s="61"/>
      <c r="E393" s="61"/>
      <c r="F393" s="61"/>
    </row>
    <row r="394" spans="1:6" ht="16.5">
      <c r="A394" s="78"/>
      <c r="B394" s="78"/>
      <c r="C394" s="78"/>
      <c r="D394" s="61"/>
      <c r="E394" s="61"/>
      <c r="F394" s="61"/>
    </row>
    <row r="395" spans="1:6" ht="16.5">
      <c r="A395" s="78"/>
      <c r="B395" s="78"/>
      <c r="C395" s="78"/>
      <c r="D395" s="61"/>
      <c r="E395" s="61"/>
      <c r="F395" s="61"/>
    </row>
    <row r="396" spans="1:6" ht="16.5">
      <c r="A396" s="78"/>
      <c r="B396" s="78"/>
      <c r="C396" s="78"/>
      <c r="D396" s="61"/>
      <c r="E396" s="61"/>
      <c r="F396" s="61"/>
    </row>
    <row r="397" spans="1:6" ht="16.5">
      <c r="A397" s="78"/>
      <c r="B397" s="78"/>
      <c r="C397" s="78"/>
      <c r="D397" s="61"/>
      <c r="E397" s="61"/>
      <c r="F397" s="61"/>
    </row>
    <row r="398" spans="1:6" ht="16.5">
      <c r="A398" s="78"/>
      <c r="B398" s="78"/>
      <c r="C398" s="78"/>
      <c r="D398" s="61"/>
      <c r="E398" s="61"/>
      <c r="F398" s="61"/>
    </row>
    <row r="399" spans="1:6" ht="16.5">
      <c r="A399" s="78"/>
      <c r="B399" s="78"/>
      <c r="C399" s="78"/>
      <c r="D399" s="61"/>
      <c r="E399" s="61"/>
      <c r="F399" s="61"/>
    </row>
    <row r="400" spans="1:6" ht="16.5">
      <c r="A400" s="78"/>
      <c r="B400" s="78"/>
      <c r="C400" s="78"/>
      <c r="D400" s="61"/>
      <c r="E400" s="61"/>
      <c r="F400" s="61"/>
    </row>
    <row r="401" spans="1:6" ht="16.5">
      <c r="A401" s="78"/>
      <c r="B401" s="78"/>
      <c r="C401" s="78"/>
      <c r="D401" s="61"/>
      <c r="E401" s="61"/>
      <c r="F401" s="61"/>
    </row>
    <row r="402" spans="1:6" ht="16.5">
      <c r="A402" s="78"/>
      <c r="B402" s="78"/>
      <c r="C402" s="78"/>
      <c r="D402" s="61"/>
      <c r="E402" s="61"/>
      <c r="F402" s="61"/>
    </row>
    <row r="403" spans="1:6" ht="16.5">
      <c r="A403" s="78"/>
      <c r="B403" s="78"/>
      <c r="C403" s="78"/>
      <c r="D403" s="61"/>
      <c r="E403" s="61"/>
      <c r="F403" s="61"/>
    </row>
    <row r="404" spans="1:6" ht="16.5">
      <c r="A404" s="78"/>
      <c r="B404" s="78"/>
      <c r="C404" s="78"/>
      <c r="D404" s="61"/>
      <c r="E404" s="61"/>
      <c r="F404" s="61"/>
    </row>
    <row r="405" spans="1:6" ht="16.5">
      <c r="A405" s="78"/>
      <c r="B405" s="78"/>
      <c r="C405" s="78"/>
      <c r="D405" s="61"/>
      <c r="E405" s="61"/>
      <c r="F405" s="61"/>
    </row>
    <row r="406" spans="1:6" ht="16.5">
      <c r="A406" s="78"/>
      <c r="B406" s="78"/>
      <c r="C406" s="78"/>
      <c r="D406" s="61"/>
      <c r="E406" s="61"/>
      <c r="F406" s="61"/>
    </row>
    <row r="407" spans="1:6" ht="16.5">
      <c r="A407" s="78"/>
      <c r="B407" s="78"/>
      <c r="C407" s="78"/>
      <c r="D407" s="61"/>
      <c r="E407" s="61"/>
      <c r="F407" s="61"/>
    </row>
    <row r="408" spans="1:6" ht="16.5">
      <c r="A408" s="78"/>
      <c r="B408" s="78"/>
      <c r="C408" s="78"/>
      <c r="D408" s="61"/>
      <c r="E408" s="61"/>
      <c r="F408" s="61"/>
    </row>
    <row r="409" spans="1:6" ht="16.5">
      <c r="A409" s="78"/>
      <c r="B409" s="78"/>
      <c r="C409" s="78"/>
      <c r="D409" s="61"/>
      <c r="E409" s="61"/>
      <c r="F409" s="61"/>
    </row>
    <row r="410" spans="1:6" ht="16.5">
      <c r="A410" s="78"/>
      <c r="B410" s="78"/>
      <c r="C410" s="78"/>
      <c r="D410" s="61"/>
      <c r="E410" s="61"/>
      <c r="F410" s="61"/>
    </row>
    <row r="411" spans="1:6" ht="16.5">
      <c r="A411" s="78"/>
      <c r="B411" s="78"/>
      <c r="C411" s="78"/>
      <c r="D411" s="61"/>
      <c r="E411" s="61"/>
      <c r="F411" s="61"/>
    </row>
    <row r="412" spans="1:6" ht="16.5">
      <c r="A412" s="78"/>
      <c r="B412" s="78"/>
      <c r="C412" s="78"/>
      <c r="D412" s="61"/>
      <c r="E412" s="61"/>
      <c r="F412" s="61"/>
    </row>
    <row r="413" spans="1:6" ht="16.5">
      <c r="A413" s="78"/>
      <c r="B413" s="78"/>
      <c r="C413" s="78"/>
      <c r="D413" s="61"/>
      <c r="E413" s="61"/>
      <c r="F413" s="61"/>
    </row>
    <row r="414" spans="1:6" ht="16.5">
      <c r="A414" s="78"/>
      <c r="B414" s="78"/>
      <c r="C414" s="78"/>
      <c r="D414" s="61"/>
      <c r="E414" s="61"/>
      <c r="F414" s="61"/>
    </row>
    <row r="415" spans="1:6" ht="16.5">
      <c r="A415" s="78"/>
      <c r="B415" s="78"/>
      <c r="C415" s="78"/>
      <c r="D415" s="61"/>
      <c r="E415" s="61"/>
      <c r="F415" s="61"/>
    </row>
    <row r="416" spans="1:6" ht="16.5">
      <c r="A416" s="78"/>
      <c r="B416" s="78"/>
      <c r="C416" s="78"/>
      <c r="D416" s="61"/>
      <c r="E416" s="61"/>
      <c r="F416" s="61"/>
    </row>
    <row r="417" spans="1:6" ht="16.5">
      <c r="A417" s="78"/>
      <c r="B417" s="78"/>
      <c r="C417" s="78"/>
      <c r="D417" s="61"/>
      <c r="E417" s="61"/>
      <c r="F417" s="61"/>
    </row>
    <row r="418" spans="1:6" ht="16.5">
      <c r="A418" s="78"/>
      <c r="B418" s="78"/>
      <c r="C418" s="78"/>
      <c r="D418" s="61"/>
      <c r="E418" s="61"/>
      <c r="F418" s="61"/>
    </row>
    <row r="419" spans="1:6" ht="16.5">
      <c r="A419" s="78"/>
      <c r="B419" s="78"/>
      <c r="C419" s="78"/>
      <c r="D419" s="61"/>
      <c r="E419" s="61"/>
      <c r="F419" s="61"/>
    </row>
    <row r="420" spans="1:6" ht="16.5">
      <c r="A420" s="78"/>
      <c r="B420" s="78"/>
      <c r="C420" s="78"/>
      <c r="D420" s="61"/>
      <c r="E420" s="61"/>
      <c r="F420" s="61"/>
    </row>
    <row r="421" spans="1:6" ht="16.5">
      <c r="A421" s="78"/>
      <c r="B421" s="78"/>
      <c r="C421" s="78"/>
      <c r="D421" s="61"/>
      <c r="E421" s="61"/>
      <c r="F421" s="61"/>
    </row>
    <row r="422" spans="1:6" ht="16.5">
      <c r="A422" s="78"/>
      <c r="B422" s="78"/>
      <c r="C422" s="78"/>
      <c r="D422" s="61"/>
      <c r="E422" s="61"/>
      <c r="F422" s="61"/>
    </row>
    <row r="423" spans="1:6" ht="16.5">
      <c r="A423" s="78"/>
      <c r="B423" s="78"/>
      <c r="C423" s="78"/>
      <c r="D423" s="61"/>
      <c r="E423" s="61"/>
      <c r="F423" s="61"/>
    </row>
    <row r="424" spans="1:6" ht="16.5">
      <c r="A424" s="78"/>
      <c r="B424" s="78"/>
      <c r="C424" s="78"/>
      <c r="D424" s="61"/>
      <c r="E424" s="61"/>
      <c r="F424" s="61"/>
    </row>
    <row r="425" spans="1:6" ht="16.5">
      <c r="A425" s="78"/>
      <c r="B425" s="78"/>
      <c r="C425" s="78"/>
      <c r="D425" s="61"/>
      <c r="E425" s="61"/>
      <c r="F425" s="61"/>
    </row>
    <row r="426" spans="1:6" ht="16.5">
      <c r="A426" s="78"/>
      <c r="B426" s="78"/>
      <c r="C426" s="78"/>
      <c r="D426" s="61"/>
      <c r="E426" s="61"/>
      <c r="F426" s="61"/>
    </row>
    <row r="427" spans="1:6" ht="16.5">
      <c r="A427" s="78"/>
      <c r="B427" s="78"/>
      <c r="C427" s="78"/>
      <c r="D427" s="61"/>
      <c r="E427" s="61"/>
      <c r="F427" s="61"/>
    </row>
    <row r="428" spans="1:6" ht="16.5">
      <c r="A428" s="78"/>
      <c r="B428" s="78"/>
      <c r="C428" s="78"/>
      <c r="D428" s="61"/>
      <c r="E428" s="61"/>
      <c r="F428" s="61"/>
    </row>
    <row r="429" spans="1:6" ht="16.5">
      <c r="A429" s="78"/>
      <c r="B429" s="78"/>
      <c r="C429" s="78"/>
      <c r="D429" s="61"/>
      <c r="E429" s="61"/>
      <c r="F429" s="61"/>
    </row>
    <row r="430" spans="1:6" ht="16.5">
      <c r="A430" s="78"/>
      <c r="B430" s="78"/>
      <c r="C430" s="78"/>
      <c r="D430" s="61"/>
      <c r="E430" s="61"/>
      <c r="F430" s="61"/>
    </row>
    <row r="431" spans="1:6" ht="16.5">
      <c r="A431" s="78"/>
      <c r="B431" s="78"/>
      <c r="C431" s="78"/>
      <c r="D431" s="61"/>
      <c r="E431" s="61"/>
      <c r="F431" s="61"/>
    </row>
    <row r="432" spans="1:6" ht="16.5">
      <c r="A432" s="78"/>
      <c r="B432" s="78"/>
      <c r="C432" s="78"/>
      <c r="D432" s="61"/>
      <c r="E432" s="61"/>
      <c r="F432" s="61"/>
    </row>
    <row r="433" spans="1:6" ht="16.5">
      <c r="A433" s="78"/>
      <c r="B433" s="78"/>
      <c r="C433" s="78"/>
      <c r="D433" s="61"/>
      <c r="E433" s="61"/>
      <c r="F433" s="61"/>
    </row>
    <row r="434" spans="1:6" ht="16.5">
      <c r="A434" s="78"/>
      <c r="B434" s="78"/>
      <c r="C434" s="78"/>
      <c r="D434" s="61"/>
      <c r="E434" s="61"/>
      <c r="F434" s="61"/>
    </row>
    <row r="435" spans="1:6" ht="16.5">
      <c r="A435" s="78"/>
      <c r="B435" s="78"/>
      <c r="C435" s="78"/>
      <c r="D435" s="61"/>
      <c r="E435" s="61"/>
      <c r="F435" s="61"/>
    </row>
    <row r="436" spans="1:6" ht="16.5">
      <c r="A436" s="78"/>
      <c r="B436" s="78"/>
      <c r="C436" s="78"/>
      <c r="D436" s="61"/>
      <c r="E436" s="61"/>
      <c r="F436" s="61"/>
    </row>
    <row r="437" spans="1:6" ht="16.5">
      <c r="A437" s="78"/>
      <c r="B437" s="78"/>
      <c r="C437" s="78"/>
      <c r="D437" s="61"/>
      <c r="E437" s="61"/>
      <c r="F437" s="61"/>
    </row>
    <row r="438" spans="1:6" ht="16.5">
      <c r="A438" s="78"/>
      <c r="B438" s="78"/>
      <c r="C438" s="78"/>
      <c r="D438" s="61"/>
      <c r="E438" s="61"/>
      <c r="F438" s="61"/>
    </row>
    <row r="439" spans="1:6" ht="16.5">
      <c r="A439" s="78"/>
      <c r="B439" s="78"/>
      <c r="C439" s="78"/>
      <c r="D439" s="61"/>
      <c r="E439" s="61"/>
      <c r="F439" s="61"/>
    </row>
    <row r="440" spans="1:6" ht="16.5">
      <c r="A440" s="78"/>
      <c r="B440" s="78"/>
      <c r="C440" s="78"/>
      <c r="D440" s="61"/>
      <c r="E440" s="61"/>
      <c r="F440" s="61"/>
    </row>
    <row r="441" spans="1:6" ht="16.5">
      <c r="A441" s="78"/>
      <c r="B441" s="78"/>
      <c r="C441" s="78"/>
      <c r="D441" s="61"/>
      <c r="E441" s="61"/>
      <c r="F441" s="61"/>
    </row>
    <row r="442" spans="1:6" ht="16.5">
      <c r="A442" s="78"/>
      <c r="B442" s="78"/>
      <c r="C442" s="78"/>
      <c r="D442" s="61"/>
      <c r="E442" s="61"/>
      <c r="F442" s="61"/>
    </row>
    <row r="443" spans="1:6" ht="16.5">
      <c r="A443" s="78"/>
      <c r="B443" s="78"/>
      <c r="C443" s="78"/>
      <c r="D443" s="61"/>
      <c r="E443" s="61"/>
      <c r="F443" s="61"/>
    </row>
    <row r="444" spans="1:6" ht="16.5">
      <c r="A444" s="78"/>
      <c r="B444" s="78"/>
      <c r="C444" s="78"/>
      <c r="D444" s="61"/>
      <c r="E444" s="61"/>
      <c r="F444" s="61"/>
    </row>
    <row r="445" spans="1:6" ht="16.5">
      <c r="A445" s="78"/>
      <c r="B445" s="78"/>
      <c r="C445" s="78"/>
      <c r="D445" s="61"/>
      <c r="E445" s="61"/>
      <c r="F445" s="61"/>
    </row>
    <row r="446" spans="1:6" ht="16.5">
      <c r="A446" s="78"/>
      <c r="B446" s="78"/>
      <c r="C446" s="78"/>
      <c r="D446" s="61"/>
      <c r="E446" s="61"/>
      <c r="F446" s="61"/>
    </row>
    <row r="447" spans="1:6" ht="16.5">
      <c r="A447" s="78"/>
      <c r="B447" s="78"/>
      <c r="C447" s="78"/>
      <c r="D447" s="61"/>
      <c r="E447" s="61"/>
      <c r="F447" s="61"/>
    </row>
    <row r="448" spans="1:6" ht="16.5">
      <c r="A448" s="78"/>
      <c r="B448" s="78"/>
      <c r="C448" s="78"/>
      <c r="D448" s="61"/>
      <c r="E448" s="61"/>
      <c r="F448" s="61"/>
    </row>
    <row r="449" spans="1:6" ht="16.5">
      <c r="A449" s="78"/>
      <c r="B449" s="78"/>
      <c r="C449" s="78"/>
      <c r="D449" s="61"/>
      <c r="E449" s="61"/>
      <c r="F449" s="61"/>
    </row>
    <row r="450" spans="1:6" ht="16.5">
      <c r="A450" s="78"/>
      <c r="B450" s="78"/>
      <c r="C450" s="78"/>
      <c r="D450" s="61"/>
      <c r="E450" s="61"/>
      <c r="F450" s="61"/>
    </row>
    <row r="451" spans="1:6" ht="16.5">
      <c r="A451" s="78"/>
      <c r="B451" s="78"/>
      <c r="C451" s="78"/>
      <c r="D451" s="61"/>
      <c r="E451" s="61"/>
      <c r="F451" s="61"/>
    </row>
    <row r="452" spans="1:6" ht="16.5">
      <c r="A452" s="78"/>
      <c r="B452" s="78"/>
      <c r="C452" s="78"/>
      <c r="D452" s="61"/>
      <c r="E452" s="61"/>
      <c r="F452" s="61"/>
    </row>
    <row r="453" spans="1:6" ht="16.5">
      <c r="A453" s="78"/>
      <c r="B453" s="78"/>
      <c r="C453" s="78"/>
      <c r="D453" s="61"/>
      <c r="E453" s="61"/>
      <c r="F453" s="61"/>
    </row>
    <row r="454" spans="1:6" ht="16.5">
      <c r="A454" s="78"/>
      <c r="B454" s="78"/>
      <c r="C454" s="78"/>
      <c r="D454" s="61"/>
      <c r="E454" s="61"/>
      <c r="F454" s="61"/>
    </row>
    <row r="455" spans="1:6" ht="16.5">
      <c r="A455" s="78"/>
      <c r="B455" s="78"/>
      <c r="C455" s="78"/>
      <c r="D455" s="61"/>
      <c r="E455" s="61"/>
      <c r="F455" s="61"/>
    </row>
    <row r="456" spans="1:6" ht="16.5">
      <c r="A456" s="78"/>
      <c r="B456" s="78"/>
      <c r="C456" s="78"/>
      <c r="D456" s="61"/>
      <c r="E456" s="61"/>
      <c r="F456" s="61"/>
    </row>
    <row r="457" spans="1:6" ht="16.5">
      <c r="A457" s="78"/>
      <c r="B457" s="78"/>
      <c r="C457" s="78"/>
      <c r="D457" s="61"/>
      <c r="E457" s="61"/>
      <c r="F457" s="61"/>
    </row>
    <row r="458" spans="1:6" ht="16.5">
      <c r="A458" s="78"/>
      <c r="B458" s="78"/>
      <c r="C458" s="78"/>
      <c r="D458" s="61"/>
      <c r="E458" s="61"/>
      <c r="F458" s="61"/>
    </row>
    <row r="459" spans="1:6" ht="16.5">
      <c r="A459" s="78"/>
      <c r="B459" s="78"/>
      <c r="C459" s="78"/>
      <c r="D459" s="61"/>
      <c r="E459" s="61"/>
      <c r="F459" s="61"/>
    </row>
    <row r="460" spans="1:6" ht="16.5">
      <c r="A460" s="78"/>
      <c r="B460" s="78"/>
      <c r="C460" s="78"/>
      <c r="D460" s="61"/>
      <c r="E460" s="61"/>
      <c r="F460" s="61"/>
    </row>
    <row r="461" spans="1:6" ht="16.5">
      <c r="A461" s="78"/>
      <c r="B461" s="78"/>
      <c r="C461" s="78"/>
      <c r="D461" s="61"/>
      <c r="E461" s="61"/>
      <c r="F461" s="61"/>
    </row>
    <row r="462" spans="1:6" ht="16.5">
      <c r="A462" s="78"/>
      <c r="B462" s="78"/>
      <c r="C462" s="78"/>
      <c r="D462" s="61"/>
      <c r="E462" s="61"/>
      <c r="F462" s="61"/>
    </row>
    <row r="463" spans="1:6" ht="16.5">
      <c r="A463" s="78"/>
      <c r="B463" s="78"/>
      <c r="C463" s="78"/>
      <c r="D463" s="61"/>
      <c r="E463" s="61"/>
      <c r="F463" s="61"/>
    </row>
    <row r="464" spans="1:6" ht="16.5">
      <c r="A464" s="78"/>
      <c r="B464" s="78"/>
      <c r="C464" s="78"/>
      <c r="D464" s="61"/>
      <c r="E464" s="61"/>
      <c r="F464" s="61"/>
    </row>
    <row r="465" spans="1:6" ht="16.5">
      <c r="A465" s="78"/>
      <c r="B465" s="78"/>
      <c r="C465" s="78"/>
      <c r="D465" s="61"/>
      <c r="E465" s="61"/>
      <c r="F465" s="61"/>
    </row>
    <row r="466" spans="1:6" ht="16.5">
      <c r="A466" s="78"/>
      <c r="B466" s="78"/>
      <c r="C466" s="78"/>
      <c r="D466" s="61"/>
      <c r="E466" s="61"/>
      <c r="F466" s="61"/>
    </row>
    <row r="467" spans="1:6" ht="16.5">
      <c r="A467" s="78"/>
      <c r="B467" s="78"/>
      <c r="C467" s="78"/>
      <c r="D467" s="61"/>
      <c r="E467" s="61"/>
      <c r="F467" s="61"/>
    </row>
    <row r="468" spans="1:6" ht="16.5">
      <c r="A468" s="78"/>
      <c r="B468" s="78"/>
      <c r="C468" s="78"/>
      <c r="D468" s="61"/>
      <c r="E468" s="61"/>
      <c r="F468" s="61"/>
    </row>
    <row r="469" spans="1:6" ht="16.5">
      <c r="A469" s="78"/>
      <c r="B469" s="78"/>
      <c r="C469" s="78"/>
      <c r="D469" s="61"/>
      <c r="E469" s="61"/>
      <c r="F469" s="61"/>
    </row>
    <row r="470" spans="1:6" ht="16.5">
      <c r="A470" s="78"/>
      <c r="B470" s="78"/>
      <c r="C470" s="78"/>
      <c r="D470" s="61"/>
      <c r="E470" s="61"/>
      <c r="F470" s="61"/>
    </row>
    <row r="471" spans="1:6" ht="16.5">
      <c r="A471" s="78"/>
      <c r="B471" s="78"/>
      <c r="C471" s="78"/>
      <c r="D471" s="61"/>
      <c r="E471" s="61"/>
      <c r="F471" s="61"/>
    </row>
    <row r="472" spans="1:6" ht="16.5">
      <c r="A472" s="78"/>
      <c r="B472" s="78"/>
      <c r="C472" s="78"/>
      <c r="D472" s="61"/>
      <c r="E472" s="61"/>
      <c r="F472" s="61"/>
    </row>
    <row r="473" spans="1:6" ht="16.5">
      <c r="A473" s="78"/>
      <c r="B473" s="78"/>
      <c r="C473" s="78"/>
      <c r="D473" s="61"/>
      <c r="E473" s="61"/>
      <c r="F473" s="61"/>
    </row>
    <row r="474" spans="1:6" ht="16.5">
      <c r="A474" s="78"/>
      <c r="B474" s="78"/>
      <c r="C474" s="78"/>
      <c r="D474" s="61"/>
      <c r="E474" s="61"/>
      <c r="F474" s="61"/>
    </row>
    <row r="475" spans="1:6" ht="16.5">
      <c r="A475" s="78"/>
      <c r="B475" s="78"/>
      <c r="C475" s="78"/>
      <c r="D475" s="61"/>
      <c r="E475" s="61"/>
      <c r="F475" s="61"/>
    </row>
    <row r="476" spans="1:6" ht="16.5">
      <c r="A476" s="78"/>
      <c r="B476" s="78"/>
      <c r="C476" s="78"/>
      <c r="D476" s="61"/>
      <c r="E476" s="61"/>
      <c r="F476" s="61"/>
    </row>
    <row r="477" spans="1:6" ht="16.5">
      <c r="A477" s="78"/>
      <c r="B477" s="78"/>
      <c r="C477" s="78"/>
      <c r="D477" s="61"/>
      <c r="E477" s="61"/>
      <c r="F477" s="61"/>
    </row>
    <row r="478" spans="1:6" ht="16.5">
      <c r="A478" s="78"/>
      <c r="B478" s="78"/>
      <c r="C478" s="78"/>
      <c r="D478" s="61"/>
      <c r="E478" s="61"/>
      <c r="F478" s="61"/>
    </row>
    <row r="479" spans="1:6" ht="16.5">
      <c r="A479" s="78"/>
      <c r="B479" s="78"/>
      <c r="C479" s="78"/>
      <c r="D479" s="61"/>
      <c r="E479" s="61"/>
      <c r="F479" s="61"/>
    </row>
    <row r="480" spans="1:6" ht="16.5">
      <c r="A480" s="78"/>
      <c r="B480" s="78"/>
      <c r="C480" s="78"/>
      <c r="D480" s="61"/>
      <c r="E480" s="61"/>
      <c r="F480" s="61"/>
    </row>
    <row r="481" spans="1:6" ht="16.5">
      <c r="A481" s="78"/>
      <c r="B481" s="78"/>
      <c r="C481" s="78"/>
      <c r="D481" s="61"/>
      <c r="E481" s="61"/>
      <c r="F481" s="61"/>
    </row>
    <row r="482" spans="1:6" ht="16.5">
      <c r="A482" s="78"/>
      <c r="B482" s="78"/>
      <c r="C482" s="78"/>
      <c r="D482" s="61"/>
      <c r="E482" s="61"/>
      <c r="F482" s="61"/>
    </row>
    <row r="483" spans="1:6" ht="16.5">
      <c r="A483" s="78"/>
      <c r="B483" s="78"/>
      <c r="C483" s="78"/>
      <c r="D483" s="61"/>
      <c r="E483" s="61"/>
      <c r="F483" s="61"/>
    </row>
    <row r="484" spans="1:6" ht="16.5">
      <c r="A484" s="78"/>
      <c r="B484" s="78"/>
      <c r="C484" s="78"/>
      <c r="D484" s="61"/>
      <c r="E484" s="61"/>
      <c r="F484" s="61"/>
    </row>
    <row r="485" spans="1:6" ht="16.5">
      <c r="A485" s="78"/>
      <c r="B485" s="78"/>
      <c r="C485" s="78"/>
      <c r="D485" s="61"/>
      <c r="E485" s="61"/>
      <c r="F485" s="61"/>
    </row>
    <row r="486" spans="1:6" ht="16.5">
      <c r="A486" s="78"/>
      <c r="B486" s="78"/>
      <c r="C486" s="78"/>
      <c r="D486" s="61"/>
      <c r="E486" s="61"/>
      <c r="F486" s="61"/>
    </row>
    <row r="487" spans="1:6" ht="16.5">
      <c r="A487" s="78"/>
      <c r="B487" s="78"/>
      <c r="C487" s="78"/>
      <c r="D487" s="61"/>
      <c r="E487" s="61"/>
      <c r="F487" s="61"/>
    </row>
    <row r="488" spans="1:6" ht="16.5">
      <c r="A488" s="78"/>
      <c r="B488" s="78"/>
      <c r="C488" s="78"/>
      <c r="D488" s="61"/>
      <c r="E488" s="61"/>
      <c r="F488" s="61"/>
    </row>
    <row r="489" spans="1:6" ht="16.5">
      <c r="A489" s="78"/>
      <c r="B489" s="78"/>
      <c r="C489" s="78"/>
      <c r="D489" s="61"/>
      <c r="E489" s="61"/>
      <c r="F489" s="61"/>
    </row>
    <row r="490" spans="1:6" ht="16.5">
      <c r="A490" s="78"/>
      <c r="B490" s="78"/>
      <c r="C490" s="78"/>
      <c r="D490" s="61"/>
      <c r="E490" s="61"/>
      <c r="F490" s="61"/>
    </row>
    <row r="491" spans="1:6" ht="16.5">
      <c r="A491" s="78"/>
      <c r="B491" s="78"/>
      <c r="C491" s="78"/>
      <c r="D491" s="61"/>
      <c r="E491" s="61"/>
      <c r="F491" s="61"/>
    </row>
    <row r="492" spans="1:6" ht="16.5">
      <c r="A492" s="78"/>
      <c r="B492" s="78"/>
      <c r="C492" s="78"/>
      <c r="D492" s="61"/>
      <c r="E492" s="61"/>
      <c r="F492" s="61"/>
    </row>
    <row r="493" spans="1:6" ht="16.5">
      <c r="A493" s="78"/>
      <c r="B493" s="78"/>
      <c r="C493" s="78"/>
      <c r="D493" s="61"/>
      <c r="E493" s="61"/>
      <c r="F493" s="61"/>
    </row>
    <row r="494" spans="1:6" ht="16.5">
      <c r="A494" s="78"/>
      <c r="B494" s="78"/>
      <c r="C494" s="78"/>
      <c r="D494" s="61"/>
      <c r="E494" s="61"/>
      <c r="F494" s="61"/>
    </row>
    <row r="495" spans="1:6" ht="16.5">
      <c r="A495" s="78"/>
      <c r="B495" s="78"/>
      <c r="C495" s="78"/>
      <c r="D495" s="61"/>
      <c r="E495" s="61"/>
      <c r="F495" s="61"/>
    </row>
    <row r="496" spans="1:6" ht="16.5">
      <c r="A496" s="78"/>
      <c r="B496" s="78"/>
      <c r="C496" s="78"/>
      <c r="D496" s="61"/>
      <c r="E496" s="61"/>
      <c r="F496" s="61"/>
    </row>
    <row r="497" spans="1:6" ht="16.5">
      <c r="A497" s="78"/>
      <c r="B497" s="78"/>
      <c r="C497" s="78"/>
      <c r="D497" s="61"/>
      <c r="E497" s="61"/>
      <c r="F497" s="61"/>
    </row>
    <row r="498" spans="1:6" ht="16.5">
      <c r="A498" s="78"/>
      <c r="B498" s="78"/>
      <c r="C498" s="78"/>
      <c r="D498" s="61"/>
      <c r="E498" s="61"/>
      <c r="F498" s="61"/>
    </row>
    <row r="499" spans="1:6" ht="16.5">
      <c r="A499" s="78"/>
      <c r="B499" s="78"/>
      <c r="C499" s="78"/>
      <c r="D499" s="61"/>
      <c r="E499" s="61"/>
      <c r="F499" s="61"/>
    </row>
    <row r="500" spans="1:6" ht="16.5">
      <c r="A500" s="78"/>
      <c r="B500" s="78"/>
      <c r="C500" s="78"/>
      <c r="D500" s="61"/>
      <c r="E500" s="61"/>
      <c r="F500" s="61"/>
    </row>
    <row r="501" spans="1:6" ht="16.5">
      <c r="A501" s="78"/>
      <c r="B501" s="78"/>
      <c r="C501" s="78"/>
      <c r="D501" s="61"/>
      <c r="E501" s="61"/>
      <c r="F501" s="61"/>
    </row>
    <row r="502" spans="1:6" ht="16.5">
      <c r="A502" s="78"/>
      <c r="B502" s="78"/>
      <c r="C502" s="78"/>
      <c r="D502" s="61"/>
      <c r="E502" s="61"/>
      <c r="F502" s="61"/>
    </row>
    <row r="503" spans="1:6" ht="16.5">
      <c r="A503" s="78"/>
      <c r="B503" s="78"/>
      <c r="C503" s="78"/>
      <c r="D503" s="61"/>
      <c r="E503" s="61"/>
      <c r="F503" s="61"/>
    </row>
    <row r="504" spans="1:6" ht="16.5">
      <c r="A504" s="78"/>
      <c r="B504" s="78"/>
      <c r="C504" s="78"/>
      <c r="D504" s="61"/>
      <c r="E504" s="61"/>
      <c r="F504" s="61"/>
    </row>
    <row r="505" spans="1:6" ht="16.5">
      <c r="A505" s="78"/>
      <c r="B505" s="78"/>
      <c r="C505" s="78"/>
      <c r="D505" s="61"/>
      <c r="E505" s="61"/>
      <c r="F505" s="61"/>
    </row>
    <row r="506" spans="1:6" ht="16.5">
      <c r="A506" s="78"/>
      <c r="B506" s="78"/>
      <c r="C506" s="78"/>
      <c r="D506" s="61"/>
      <c r="E506" s="61"/>
      <c r="F506" s="61"/>
    </row>
    <row r="507" spans="1:6" ht="16.5">
      <c r="A507" s="78"/>
      <c r="B507" s="78"/>
      <c r="C507" s="78"/>
      <c r="D507" s="61"/>
      <c r="E507" s="61"/>
      <c r="F507" s="61"/>
    </row>
    <row r="508" spans="1:6" ht="16.5">
      <c r="A508" s="78"/>
      <c r="B508" s="78"/>
      <c r="C508" s="78"/>
      <c r="D508" s="61"/>
      <c r="E508" s="61"/>
      <c r="F508" s="61"/>
    </row>
    <row r="509" spans="1:6" ht="16.5">
      <c r="A509" s="78"/>
      <c r="B509" s="78"/>
      <c r="C509" s="78"/>
      <c r="D509" s="61"/>
      <c r="E509" s="61"/>
      <c r="F509" s="61"/>
    </row>
    <row r="510" spans="1:6" ht="16.5">
      <c r="A510" s="78"/>
      <c r="B510" s="78"/>
      <c r="C510" s="78"/>
      <c r="D510" s="61"/>
      <c r="E510" s="61"/>
      <c r="F510" s="61"/>
    </row>
    <row r="511" spans="1:6" ht="16.5">
      <c r="A511" s="78"/>
      <c r="B511" s="78"/>
      <c r="C511" s="78"/>
      <c r="D511" s="61"/>
      <c r="E511" s="61"/>
      <c r="F511" s="61"/>
    </row>
    <row r="512" spans="1:6" ht="16.5">
      <c r="A512" s="78"/>
      <c r="B512" s="78"/>
      <c r="C512" s="78"/>
      <c r="D512" s="61"/>
      <c r="E512" s="61"/>
      <c r="F512" s="61"/>
    </row>
    <row r="513" spans="1:6" ht="16.5">
      <c r="A513" s="78"/>
      <c r="B513" s="78"/>
      <c r="C513" s="78"/>
      <c r="D513" s="61"/>
      <c r="E513" s="61"/>
      <c r="F513" s="61"/>
    </row>
    <row r="514" spans="1:6" ht="16.5">
      <c r="A514" s="78"/>
      <c r="B514" s="78"/>
      <c r="C514" s="78"/>
      <c r="D514" s="61"/>
      <c r="E514" s="61"/>
      <c r="F514" s="61"/>
    </row>
    <row r="515" spans="1:6" ht="16.5">
      <c r="A515" s="78"/>
      <c r="B515" s="78"/>
      <c r="C515" s="78"/>
      <c r="D515" s="61"/>
      <c r="E515" s="61"/>
      <c r="F515" s="61"/>
    </row>
    <row r="516" spans="1:6" ht="16.5">
      <c r="A516" s="78"/>
      <c r="B516" s="78"/>
      <c r="C516" s="78"/>
      <c r="D516" s="61"/>
      <c r="E516" s="61"/>
      <c r="F516" s="61"/>
    </row>
    <row r="517" spans="1:6" ht="16.5">
      <c r="A517" s="78"/>
      <c r="B517" s="78"/>
      <c r="C517" s="78"/>
      <c r="D517" s="61"/>
      <c r="E517" s="61"/>
      <c r="F517" s="61"/>
    </row>
    <row r="518" spans="1:6" ht="16.5">
      <c r="A518" s="78"/>
      <c r="B518" s="78"/>
      <c r="C518" s="78"/>
      <c r="D518" s="61"/>
      <c r="E518" s="61"/>
      <c r="F518" s="61"/>
    </row>
    <row r="519" spans="1:6" ht="16.5">
      <c r="A519" s="78"/>
      <c r="B519" s="78"/>
      <c r="C519" s="78"/>
      <c r="D519" s="61"/>
      <c r="E519" s="61"/>
      <c r="F519" s="61"/>
    </row>
    <row r="520" spans="1:6" ht="16.5">
      <c r="A520" s="78"/>
      <c r="B520" s="78"/>
      <c r="C520" s="78"/>
      <c r="D520" s="61"/>
      <c r="E520" s="61"/>
      <c r="F520" s="61"/>
    </row>
    <row r="521" spans="1:6" ht="16.5">
      <c r="A521" s="78"/>
      <c r="B521" s="78"/>
      <c r="C521" s="78"/>
      <c r="D521" s="61"/>
      <c r="E521" s="61"/>
      <c r="F521" s="61"/>
    </row>
    <row r="522" spans="1:6" ht="16.5">
      <c r="A522" s="78"/>
      <c r="B522" s="78"/>
      <c r="C522" s="78"/>
    </row>
    <row r="523" spans="1:6" ht="16.5">
      <c r="A523" s="78"/>
      <c r="B523" s="78"/>
      <c r="C523" s="78"/>
    </row>
    <row r="524" spans="1:6" ht="16.5">
      <c r="A524" s="78"/>
      <c r="B524" s="78"/>
      <c r="C524" s="78"/>
    </row>
    <row r="525" spans="1:6" ht="16.5">
      <c r="A525" s="78"/>
      <c r="B525" s="78"/>
      <c r="C525" s="78"/>
    </row>
    <row r="526" spans="1:6" ht="16.5">
      <c r="A526" s="78"/>
      <c r="B526" s="78"/>
      <c r="C526" s="78"/>
    </row>
    <row r="527" spans="1:6" ht="16.5">
      <c r="A527" s="78"/>
      <c r="B527" s="78"/>
      <c r="C527" s="78"/>
    </row>
    <row r="528" spans="1:6" ht="16.5">
      <c r="A528" s="78"/>
      <c r="B528" s="78"/>
      <c r="C528" s="78"/>
    </row>
    <row r="529" spans="1:3" ht="16.5">
      <c r="A529" s="78"/>
      <c r="B529" s="78"/>
      <c r="C529" s="78"/>
    </row>
    <row r="530" spans="1:3" ht="16.5">
      <c r="A530" s="78"/>
      <c r="B530" s="78"/>
      <c r="C530" s="78"/>
    </row>
    <row r="531" spans="1:3" ht="16.5">
      <c r="A531" s="78"/>
      <c r="B531" s="78"/>
      <c r="C531" s="78"/>
    </row>
    <row r="532" spans="1:3" ht="16.5">
      <c r="A532" s="78"/>
      <c r="B532" s="78"/>
      <c r="C532" s="78"/>
    </row>
    <row r="533" spans="1:3" ht="16.5">
      <c r="A533" s="78"/>
      <c r="B533" s="78"/>
      <c r="C533" s="78"/>
    </row>
    <row r="534" spans="1:3" ht="16.5">
      <c r="A534" s="78"/>
      <c r="B534" s="78"/>
      <c r="C534" s="78"/>
    </row>
    <row r="535" spans="1:3" ht="16.5">
      <c r="A535" s="78"/>
      <c r="B535" s="78"/>
      <c r="C535" s="78"/>
    </row>
    <row r="536" spans="1:3" ht="16.5">
      <c r="A536" s="78"/>
      <c r="B536" s="78"/>
      <c r="C536" s="78"/>
    </row>
    <row r="537" spans="1:3" ht="16.5">
      <c r="A537" s="78"/>
      <c r="B537" s="78"/>
      <c r="C537" s="78"/>
    </row>
    <row r="538" spans="1:3" ht="16.5">
      <c r="A538" s="78"/>
      <c r="B538" s="78"/>
      <c r="C538" s="78"/>
    </row>
    <row r="539" spans="1:3" ht="16.5">
      <c r="A539" s="78"/>
      <c r="B539" s="78"/>
      <c r="C539" s="78"/>
    </row>
    <row r="540" spans="1:3" ht="16.5">
      <c r="A540" s="78"/>
      <c r="B540" s="78"/>
      <c r="C540" s="78"/>
    </row>
    <row r="541" spans="1:3" ht="16.5">
      <c r="A541" s="78"/>
      <c r="B541" s="78"/>
      <c r="C541" s="78"/>
    </row>
    <row r="542" spans="1:3" ht="16.5">
      <c r="A542" s="78"/>
      <c r="B542" s="78"/>
      <c r="C542" s="78"/>
    </row>
    <row r="543" spans="1:3" ht="16.5">
      <c r="A543" s="78"/>
      <c r="B543" s="78"/>
      <c r="C543" s="78"/>
    </row>
    <row r="544" spans="1:3" ht="16.5">
      <c r="A544" s="78"/>
      <c r="B544" s="78"/>
      <c r="C544" s="78"/>
    </row>
    <row r="545" spans="1:3" ht="16.5">
      <c r="A545" s="78"/>
      <c r="B545" s="78"/>
      <c r="C545" s="78"/>
    </row>
    <row r="546" spans="1:3" ht="16.5">
      <c r="A546" s="78"/>
      <c r="B546" s="78"/>
      <c r="C546" s="78"/>
    </row>
    <row r="547" spans="1:3" ht="16.5">
      <c r="A547" s="78"/>
      <c r="B547" s="78"/>
      <c r="C547" s="78"/>
    </row>
    <row r="548" spans="1:3" ht="16.5">
      <c r="A548" s="78"/>
      <c r="B548" s="78"/>
      <c r="C548" s="78"/>
    </row>
    <row r="549" spans="1:3" ht="16.5">
      <c r="A549" s="78"/>
      <c r="B549" s="78"/>
      <c r="C549" s="78"/>
    </row>
    <row r="550" spans="1:3" ht="16.5">
      <c r="A550" s="78"/>
      <c r="B550" s="78"/>
      <c r="C550" s="78"/>
    </row>
    <row r="551" spans="1:3" ht="16.5">
      <c r="A551" s="78"/>
      <c r="B551" s="78"/>
      <c r="C551" s="78"/>
    </row>
    <row r="552" spans="1:3" ht="16.5">
      <c r="A552" s="78"/>
      <c r="B552" s="78"/>
      <c r="C552" s="78"/>
    </row>
    <row r="553" spans="1:3" ht="16.5">
      <c r="A553" s="78"/>
      <c r="B553" s="78"/>
      <c r="C553" s="78"/>
    </row>
    <row r="554" spans="1:3" ht="16.5">
      <c r="A554" s="78"/>
      <c r="B554" s="78"/>
      <c r="C554" s="78"/>
    </row>
    <row r="555" spans="1:3" ht="16.5">
      <c r="A555" s="78"/>
      <c r="B555" s="78"/>
      <c r="C555" s="78"/>
    </row>
    <row r="556" spans="1:3" ht="16.5">
      <c r="A556" s="78"/>
      <c r="B556" s="78"/>
      <c r="C556" s="78"/>
    </row>
    <row r="557" spans="1:3" ht="16.5">
      <c r="A557" s="78"/>
      <c r="B557" s="78"/>
      <c r="C557" s="78"/>
    </row>
    <row r="558" spans="1:3" ht="16.5">
      <c r="A558" s="78"/>
      <c r="B558" s="78"/>
      <c r="C558" s="78"/>
    </row>
    <row r="559" spans="1:3" ht="16.5">
      <c r="A559" s="78"/>
      <c r="B559" s="78"/>
      <c r="C559" s="78"/>
    </row>
    <row r="560" spans="1:3" ht="16.5">
      <c r="A560" s="78"/>
      <c r="B560" s="78"/>
      <c r="C560" s="78"/>
    </row>
    <row r="561" spans="1:3" ht="16.5">
      <c r="A561" s="78"/>
      <c r="B561" s="78"/>
      <c r="C561" s="78"/>
    </row>
    <row r="562" spans="1:3" ht="16.5">
      <c r="A562" s="78"/>
      <c r="B562" s="78"/>
      <c r="C562" s="78"/>
    </row>
    <row r="563" spans="1:3" ht="16.5">
      <c r="A563" s="78"/>
      <c r="B563" s="78"/>
      <c r="C563" s="78"/>
    </row>
    <row r="564" spans="1:3" ht="16.5">
      <c r="A564" s="78"/>
      <c r="B564" s="78"/>
      <c r="C564" s="78"/>
    </row>
    <row r="565" spans="1:3" ht="16.5">
      <c r="A565" s="78"/>
      <c r="B565" s="78"/>
      <c r="C565" s="78"/>
    </row>
    <row r="566" spans="1:3" ht="16.5">
      <c r="A566" s="78"/>
      <c r="B566" s="78"/>
      <c r="C566" s="78"/>
    </row>
    <row r="567" spans="1:3" ht="16.5">
      <c r="A567" s="78"/>
      <c r="B567" s="78"/>
      <c r="C567" s="78"/>
    </row>
    <row r="568" spans="1:3" ht="16.5">
      <c r="A568" s="78"/>
      <c r="B568" s="78"/>
      <c r="C568" s="78"/>
    </row>
    <row r="569" spans="1:3" ht="16.5">
      <c r="A569" s="78"/>
      <c r="B569" s="78"/>
      <c r="C569" s="78"/>
    </row>
    <row r="570" spans="1:3" ht="16.5">
      <c r="A570" s="78"/>
      <c r="B570" s="78"/>
      <c r="C570" s="78"/>
    </row>
    <row r="571" spans="1:3" ht="16.5">
      <c r="A571" s="78"/>
      <c r="B571" s="78"/>
      <c r="C571" s="78"/>
    </row>
    <row r="572" spans="1:3" ht="16.5">
      <c r="A572" s="78"/>
      <c r="B572" s="78"/>
      <c r="C572" s="78"/>
    </row>
    <row r="573" spans="1:3" ht="16.5">
      <c r="A573" s="78"/>
      <c r="B573" s="78"/>
      <c r="C573" s="78"/>
    </row>
    <row r="574" spans="1:3" ht="16.5">
      <c r="A574" s="78"/>
      <c r="B574" s="78"/>
      <c r="C574" s="78"/>
    </row>
    <row r="575" spans="1:3" ht="16.5">
      <c r="A575" s="78"/>
      <c r="B575" s="78"/>
      <c r="C575" s="78"/>
    </row>
    <row r="576" spans="1:3" ht="16.5">
      <c r="A576" s="78"/>
      <c r="B576" s="78"/>
      <c r="C576" s="78"/>
    </row>
    <row r="577" spans="1:3" ht="16.5">
      <c r="A577" s="78"/>
      <c r="B577" s="78"/>
      <c r="C577" s="78"/>
    </row>
    <row r="578" spans="1:3" ht="16.5">
      <c r="A578" s="78"/>
      <c r="B578" s="78"/>
      <c r="C578" s="78"/>
    </row>
    <row r="579" spans="1:3" ht="16.5">
      <c r="A579" s="78"/>
      <c r="B579" s="78"/>
      <c r="C579" s="78"/>
    </row>
    <row r="580" spans="1:3" ht="16.5">
      <c r="A580" s="78"/>
      <c r="B580" s="78"/>
      <c r="C580" s="78"/>
    </row>
    <row r="581" spans="1:3" ht="16.5">
      <c r="A581" s="78"/>
      <c r="B581" s="78"/>
      <c r="C581" s="78"/>
    </row>
    <row r="582" spans="1:3" ht="16.5">
      <c r="A582" s="78"/>
      <c r="B582" s="78"/>
      <c r="C582" s="78"/>
    </row>
    <row r="583" spans="1:3" ht="16.5">
      <c r="A583" s="78"/>
      <c r="B583" s="78"/>
      <c r="C583" s="78"/>
    </row>
    <row r="584" spans="1:3" ht="16.5">
      <c r="A584" s="78"/>
      <c r="B584" s="78"/>
      <c r="C584" s="78"/>
    </row>
    <row r="585" spans="1:3" ht="16.5">
      <c r="A585" s="78"/>
      <c r="B585" s="78"/>
      <c r="C585" s="78"/>
    </row>
    <row r="586" spans="1:3" ht="16.5">
      <c r="A586" s="78"/>
      <c r="B586" s="78"/>
      <c r="C586" s="78"/>
    </row>
    <row r="587" spans="1:3" ht="16.5">
      <c r="A587" s="78"/>
      <c r="B587" s="78"/>
      <c r="C587" s="78"/>
    </row>
    <row r="588" spans="1:3" ht="16.5">
      <c r="A588" s="78"/>
      <c r="B588" s="78"/>
      <c r="C588" s="78"/>
    </row>
    <row r="589" spans="1:3" ht="16.5">
      <c r="A589" s="78"/>
      <c r="B589" s="78"/>
      <c r="C589" s="78"/>
    </row>
    <row r="590" spans="1:3" ht="16.5">
      <c r="A590" s="78"/>
      <c r="B590" s="78"/>
      <c r="C590" s="78"/>
    </row>
    <row r="591" spans="1:3" ht="16.5">
      <c r="A591" s="78"/>
      <c r="B591" s="78"/>
      <c r="C591" s="78"/>
    </row>
    <row r="592" spans="1:3" ht="16.5">
      <c r="A592" s="78"/>
      <c r="B592" s="78"/>
      <c r="C592" s="78"/>
    </row>
    <row r="593" spans="1:3" ht="16.5">
      <c r="A593" s="78"/>
      <c r="B593" s="78"/>
      <c r="C593" s="78"/>
    </row>
    <row r="594" spans="1:3" ht="16.5">
      <c r="A594" s="78"/>
      <c r="B594" s="78"/>
      <c r="C594" s="78"/>
    </row>
    <row r="595" spans="1:3" ht="16.5">
      <c r="A595" s="78"/>
      <c r="B595" s="78"/>
      <c r="C595" s="78"/>
    </row>
    <row r="596" spans="1:3" ht="16.5">
      <c r="A596" s="78"/>
      <c r="B596" s="78"/>
      <c r="C596" s="78"/>
    </row>
    <row r="597" spans="1:3" ht="16.5">
      <c r="A597" s="78"/>
      <c r="B597" s="78"/>
      <c r="C597" s="78"/>
    </row>
    <row r="598" spans="1:3" ht="16.5">
      <c r="A598" s="78"/>
      <c r="B598" s="78"/>
      <c r="C598" s="78"/>
    </row>
    <row r="599" spans="1:3" ht="16.5">
      <c r="A599" s="78"/>
      <c r="B599" s="78"/>
      <c r="C599" s="78"/>
    </row>
    <row r="600" spans="1:3" ht="16.5">
      <c r="A600" s="78"/>
      <c r="B600" s="78"/>
      <c r="C600" s="78"/>
    </row>
    <row r="601" spans="1:3" ht="16.5">
      <c r="A601" s="78"/>
      <c r="B601" s="78"/>
      <c r="C601" s="78"/>
    </row>
    <row r="602" spans="1:3" ht="16.5">
      <c r="A602" s="78"/>
      <c r="B602" s="78"/>
      <c r="C602" s="78"/>
    </row>
    <row r="603" spans="1:3" ht="16.5">
      <c r="A603" s="78"/>
      <c r="B603" s="78"/>
      <c r="C603" s="78"/>
    </row>
    <row r="604" spans="1:3" ht="16.5">
      <c r="A604" s="78"/>
      <c r="B604" s="78"/>
      <c r="C604" s="78"/>
    </row>
    <row r="605" spans="1:3" ht="16.5">
      <c r="A605" s="78"/>
      <c r="B605" s="78"/>
      <c r="C605" s="78"/>
    </row>
    <row r="606" spans="1:3" ht="16.5">
      <c r="A606" s="78"/>
      <c r="B606" s="78"/>
      <c r="C606" s="78"/>
    </row>
    <row r="607" spans="1:3" ht="16.5">
      <c r="A607" s="78"/>
      <c r="B607" s="78"/>
      <c r="C607" s="78"/>
    </row>
    <row r="608" spans="1:3" ht="16.5">
      <c r="A608" s="78"/>
      <c r="B608" s="78"/>
      <c r="C608" s="78"/>
    </row>
    <row r="609" spans="1:3" ht="16.5">
      <c r="A609" s="78"/>
      <c r="B609" s="78"/>
      <c r="C609" s="78"/>
    </row>
    <row r="610" spans="1:3" ht="16.5">
      <c r="A610" s="78"/>
      <c r="B610" s="78"/>
      <c r="C610" s="78"/>
    </row>
    <row r="611" spans="1:3" ht="16.5">
      <c r="A611" s="78"/>
      <c r="B611" s="78"/>
      <c r="C611" s="78"/>
    </row>
    <row r="612" spans="1:3" ht="16.5">
      <c r="A612" s="78"/>
      <c r="B612" s="78"/>
      <c r="C612" s="78"/>
    </row>
    <row r="613" spans="1:3" ht="16.5">
      <c r="A613" s="78"/>
      <c r="B613" s="78"/>
      <c r="C613" s="78"/>
    </row>
    <row r="614" spans="1:3" ht="16.5">
      <c r="A614" s="78"/>
      <c r="B614" s="78"/>
      <c r="C614" s="78"/>
    </row>
    <row r="615" spans="1:3" ht="16.5">
      <c r="A615" s="78"/>
      <c r="B615" s="78"/>
      <c r="C615" s="78"/>
    </row>
    <row r="616" spans="1:3" ht="16.5">
      <c r="A616" s="78"/>
      <c r="B616" s="78"/>
      <c r="C616" s="78"/>
    </row>
    <row r="617" spans="1:3" ht="16.5">
      <c r="A617" s="78"/>
      <c r="B617" s="78"/>
      <c r="C617" s="78"/>
    </row>
    <row r="618" spans="1:3" ht="16.5">
      <c r="A618" s="78"/>
      <c r="B618" s="78"/>
      <c r="C618" s="78"/>
    </row>
    <row r="619" spans="1:3" ht="16.5">
      <c r="A619" s="78"/>
      <c r="B619" s="78"/>
      <c r="C619" s="78"/>
    </row>
    <row r="620" spans="1:3" ht="16.5">
      <c r="A620" s="78"/>
      <c r="B620" s="78"/>
      <c r="C620" s="78"/>
    </row>
    <row r="621" spans="1:3" ht="16.5">
      <c r="A621" s="78"/>
      <c r="B621" s="78"/>
      <c r="C621" s="78"/>
    </row>
    <row r="622" spans="1:3" ht="16.5">
      <c r="A622" s="78"/>
      <c r="B622" s="78"/>
      <c r="C622" s="78"/>
    </row>
    <row r="623" spans="1:3" ht="16.5">
      <c r="A623" s="78"/>
      <c r="B623" s="78"/>
      <c r="C623" s="78"/>
    </row>
    <row r="624" spans="1:3" ht="16.5">
      <c r="A624" s="78"/>
      <c r="B624" s="78"/>
      <c r="C624" s="78"/>
    </row>
    <row r="625" spans="1:3" ht="16.5">
      <c r="A625" s="78"/>
      <c r="B625" s="78"/>
      <c r="C625" s="78"/>
    </row>
    <row r="626" spans="1:3" ht="16.5">
      <c r="A626" s="78"/>
      <c r="B626" s="78"/>
      <c r="C626" s="78"/>
    </row>
    <row r="627" spans="1:3" ht="16.5">
      <c r="A627" s="78"/>
      <c r="B627" s="78"/>
      <c r="C627" s="78"/>
    </row>
    <row r="628" spans="1:3" ht="16.5">
      <c r="A628" s="78"/>
      <c r="B628" s="78"/>
      <c r="C628" s="78"/>
    </row>
    <row r="629" spans="1:3" ht="16.5">
      <c r="A629" s="78"/>
      <c r="B629" s="78"/>
      <c r="C629" s="78"/>
    </row>
    <row r="630" spans="1:3" ht="16.5">
      <c r="A630" s="78"/>
      <c r="B630" s="78"/>
      <c r="C630" s="78"/>
    </row>
    <row r="631" spans="1:3" ht="16.5">
      <c r="A631" s="78"/>
      <c r="B631" s="78"/>
      <c r="C631" s="78"/>
    </row>
    <row r="632" spans="1:3" ht="16.5">
      <c r="A632" s="78"/>
      <c r="B632" s="78"/>
      <c r="C632" s="78"/>
    </row>
    <row r="633" spans="1:3" ht="16.5">
      <c r="A633" s="78"/>
      <c r="B633" s="78"/>
      <c r="C633" s="78"/>
    </row>
    <row r="634" spans="1:3" ht="16.5">
      <c r="A634" s="78"/>
      <c r="B634" s="78"/>
      <c r="C634" s="78"/>
    </row>
    <row r="635" spans="1:3" ht="16.5">
      <c r="A635" s="78"/>
      <c r="B635" s="78"/>
      <c r="C635" s="78"/>
    </row>
    <row r="636" spans="1:3" ht="16.5">
      <c r="A636" s="78"/>
      <c r="B636" s="78"/>
      <c r="C636" s="78"/>
    </row>
    <row r="637" spans="1:3" ht="16.5">
      <c r="A637" s="78"/>
      <c r="B637" s="78"/>
      <c r="C637" s="78"/>
    </row>
  </sheetData>
  <autoFilter ref="A8:G37">
    <filterColumn colId="4">
      <filters>
        <filter val="$10.000"/>
        <filter val="$13.604"/>
        <filter val="$13.830"/>
        <filter val="$135.825"/>
        <filter val="$144.857"/>
        <filter val="$180.000"/>
        <filter val="$184.929"/>
        <filter val="$19.990"/>
        <filter val="$205.195"/>
        <filter val="$206.427"/>
        <filter val="$25.000"/>
        <filter val="$29.200"/>
        <filter val="$30.000"/>
        <filter val="$332.091"/>
        <filter val="$397.000"/>
        <filter val="$43.028"/>
        <filter val="$55.178"/>
        <filter val="$58.032"/>
        <filter val="$580.000"/>
        <filter val="$600.000"/>
        <filter val="$758.000"/>
        <filter val="$80.000"/>
        <filter val="$83.000"/>
        <filter val="$92.800"/>
      </filters>
    </filterColumn>
    <sortState ref="A8:G35">
      <sortCondition descending="1" ref="E7:E36"/>
    </sortState>
  </autoFilter>
  <mergeCells count="2">
    <mergeCell ref="A1:C1"/>
    <mergeCell ref="D1:G1"/>
  </mergeCells>
  <conditionalFormatting sqref="D9:F21 D23:F37">
    <cfRule type="cellIs" dxfId="88" priority="18" operator="lessThan">
      <formula>0</formula>
    </cfRule>
  </conditionalFormatting>
  <conditionalFormatting sqref="I5">
    <cfRule type="cellIs" dxfId="87" priority="15" operator="lessThan">
      <formula>0</formula>
    </cfRule>
    <cfRule type="cellIs" dxfId="86" priority="16" operator="greaterThan">
      <formula>0</formula>
    </cfRule>
    <cfRule type="iconSet" priority="17">
      <iconSet iconSet="3Symbols2">
        <cfvo type="percent" val="0"/>
        <cfvo type="num" val="0"/>
        <cfvo type="num" val="1" gte="0"/>
      </iconSet>
    </cfRule>
  </conditionalFormatting>
  <conditionalFormatting sqref="L5">
    <cfRule type="cellIs" dxfId="85" priority="12" operator="lessThan">
      <formula>0</formula>
    </cfRule>
    <cfRule type="cellIs" dxfId="84" priority="13" operator="greaterThan">
      <formula>0</formula>
    </cfRule>
    <cfRule type="iconSet" priority="14">
      <iconSet iconSet="3Symbols2">
        <cfvo type="percent" val="0"/>
        <cfvo type="num" val="0"/>
        <cfvo type="num" val="1" gte="0"/>
      </iconSet>
    </cfRule>
  </conditionalFormatting>
  <conditionalFormatting sqref="D22:F22">
    <cfRule type="cellIs" dxfId="83" priority="11" operator="lessThan">
      <formula>0</formula>
    </cfRule>
  </conditionalFormatting>
  <conditionalFormatting sqref="L4">
    <cfRule type="cellIs" dxfId="82" priority="8" operator="lessThan">
      <formula>0</formula>
    </cfRule>
    <cfRule type="cellIs" dxfId="81" priority="9" operator="greaterThan">
      <formula>0</formula>
    </cfRule>
    <cfRule type="iconSet" priority="10">
      <iconSet iconSet="3Symbols2">
        <cfvo type="percent" val="0"/>
        <cfvo type="num" val="0"/>
        <cfvo type="num" val="1" gte="0"/>
      </iconSet>
    </cfRule>
  </conditionalFormatting>
  <conditionalFormatting sqref="J43">
    <cfRule type="cellIs" dxfId="80" priority="4" operator="lessThan">
      <formula>0</formula>
    </cfRule>
  </conditionalFormatting>
  <conditionalFormatting sqref="K43">
    <cfRule type="cellIs" dxfId="79" priority="3" operator="lessThan">
      <formula>0</formula>
    </cfRule>
  </conditionalFormatting>
  <conditionalFormatting sqref="L43">
    <cfRule type="cellIs" dxfId="78" priority="2" operator="lessThan">
      <formula>0</formula>
    </cfRule>
  </conditionalFormatting>
  <conditionalFormatting sqref="J45">
    <cfRule type="cellIs" dxfId="77" priority="1" operator="lessThan">
      <formula>0</formula>
    </cfRule>
  </conditionalFormatting>
  <pageMargins left="0.7" right="0.7" top="0.75" bottom="0.75" header="0.3" footer="0.3"/>
  <pageSetup orientation="portrait" r:id="rId2"/>
  <ignoredErrors>
    <ignoredError sqref="C2:C6" evalError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19" zoomScaleNormal="100" workbookViewId="0">
      <selection activeCell="G12" sqref="G12"/>
    </sheetView>
  </sheetViews>
  <sheetFormatPr baseColWidth="10" defaultColWidth="9.140625" defaultRowHeight="15"/>
  <cols>
    <col min="1" max="1" width="23.28515625" bestFit="1" customWidth="1"/>
    <col min="2" max="2" width="19" bestFit="1" customWidth="1"/>
    <col min="3" max="3" width="15" customWidth="1"/>
    <col min="4" max="4" width="13.42578125" bestFit="1" customWidth="1"/>
    <col min="5" max="5" width="8.28515625" style="15" bestFit="1" customWidth="1"/>
    <col min="6" max="6" width="30.7109375" bestFit="1" customWidth="1"/>
    <col min="7" max="7" width="11.5703125" bestFit="1" customWidth="1"/>
    <col min="8" max="8" width="27.42578125" bestFit="1" customWidth="1"/>
    <col min="9" max="9" width="24.5703125" bestFit="1" customWidth="1"/>
    <col min="10" max="10" width="23.140625" bestFit="1" customWidth="1"/>
    <col min="11" max="11" width="15.85546875" bestFit="1" customWidth="1"/>
    <col min="12" max="12" width="39.5703125" bestFit="1" customWidth="1"/>
  </cols>
  <sheetData>
    <row r="1" spans="1:12">
      <c r="A1" s="38" t="s">
        <v>866</v>
      </c>
      <c r="B1" s="38"/>
      <c r="C1" s="38"/>
      <c r="D1" s="38"/>
      <c r="E1" s="38"/>
      <c r="F1" s="38"/>
      <c r="G1" s="38"/>
      <c r="H1" s="38"/>
    </row>
    <row r="2" spans="1:12">
      <c r="A2" s="38"/>
      <c r="B2" s="38"/>
      <c r="C2" s="38"/>
      <c r="D2" s="38"/>
      <c r="E2" s="38"/>
      <c r="F2" s="38"/>
      <c r="G2" s="38"/>
      <c r="H2" s="38"/>
    </row>
    <row r="4" spans="1:12">
      <c r="A4" s="39" t="s">
        <v>867</v>
      </c>
      <c r="B4" s="39"/>
      <c r="C4" s="39"/>
      <c r="D4" s="39"/>
      <c r="F4" s="39" t="s">
        <v>868</v>
      </c>
      <c r="G4" s="39"/>
      <c r="H4" s="39"/>
    </row>
    <row r="5" spans="1:12">
      <c r="A5" s="16" t="s">
        <v>869</v>
      </c>
      <c r="B5" s="17" t="s">
        <v>816</v>
      </c>
      <c r="F5" s="16" t="s">
        <v>870</v>
      </c>
      <c r="G5" s="18">
        <f ca="1">+Hoja4!K2</f>
        <v>4287807</v>
      </c>
      <c r="H5" s="19" t="s">
        <v>871</v>
      </c>
    </row>
    <row r="6" spans="1:12">
      <c r="A6" s="16" t="s">
        <v>872</v>
      </c>
      <c r="B6" s="20">
        <v>3100000</v>
      </c>
      <c r="F6" s="16" t="s">
        <v>873</v>
      </c>
      <c r="G6" s="18">
        <f>+Hoja4!B39</f>
        <v>3909798</v>
      </c>
      <c r="H6" s="19" t="s">
        <v>874</v>
      </c>
    </row>
    <row r="7" spans="1:12">
      <c r="A7" s="16" t="s">
        <v>875</v>
      </c>
      <c r="B7" s="20">
        <f>25000*30</f>
        <v>750000</v>
      </c>
      <c r="F7" s="16" t="s">
        <v>876</v>
      </c>
      <c r="G7" s="18">
        <f>+Hoja4!C39</f>
        <v>4277986</v>
      </c>
      <c r="H7" s="19" t="s">
        <v>877</v>
      </c>
    </row>
    <row r="8" spans="1:12">
      <c r="A8" s="16" t="s">
        <v>878</v>
      </c>
      <c r="B8" s="21">
        <v>0.05</v>
      </c>
      <c r="F8" s="16" t="s">
        <v>879</v>
      </c>
      <c r="G8" s="18">
        <f ca="1">G5-G7</f>
        <v>9821</v>
      </c>
      <c r="H8" s="19" t="s">
        <v>880</v>
      </c>
    </row>
    <row r="9" spans="1:12">
      <c r="A9" s="16" t="s">
        <v>881</v>
      </c>
      <c r="B9" s="22">
        <f>B6*B8</f>
        <v>155000</v>
      </c>
      <c r="F9" s="16" t="s">
        <v>882</v>
      </c>
      <c r="G9" s="18">
        <f>MAX(0,G7-B6)</f>
        <v>1177986</v>
      </c>
      <c r="H9" s="19" t="s">
        <v>883</v>
      </c>
    </row>
    <row r="10" spans="1:12">
      <c r="F10" s="16" t="s">
        <v>884</v>
      </c>
      <c r="G10" s="18">
        <f ca="1">MAX(0,G7-(G5-B9))</f>
        <v>145179</v>
      </c>
      <c r="H10" s="19" t="s">
        <v>885</v>
      </c>
    </row>
    <row r="11" spans="1:12">
      <c r="A11" s="39" t="s">
        <v>886</v>
      </c>
      <c r="B11" s="39"/>
      <c r="C11" s="39"/>
      <c r="D11" s="39"/>
      <c r="E11" s="39"/>
      <c r="F11" s="16" t="s">
        <v>887</v>
      </c>
      <c r="G11" s="18">
        <f ca="1">MAX(0,(G5-B9)-G6)</f>
        <v>223009</v>
      </c>
      <c r="H11" s="19" t="s">
        <v>888</v>
      </c>
    </row>
    <row r="12" spans="1:12">
      <c r="A12" s="23" t="s">
        <v>832</v>
      </c>
      <c r="B12" s="23" t="s">
        <v>889</v>
      </c>
      <c r="C12" s="23" t="s">
        <v>890</v>
      </c>
      <c r="D12" s="23" t="s">
        <v>891</v>
      </c>
      <c r="E12" s="28" t="s">
        <v>892</v>
      </c>
      <c r="F12" s="23" t="s">
        <v>893</v>
      </c>
      <c r="G12" s="24">
        <f ca="1">IFERROR(G7/G5,0)</f>
        <v>0.99770955175920928</v>
      </c>
      <c r="H12" s="19" t="s">
        <v>894</v>
      </c>
    </row>
    <row r="13" spans="1:12">
      <c r="A13" s="16" t="str">
        <f>Hoja4!A9</f>
        <v>Arriendo</v>
      </c>
      <c r="B13" s="30">
        <f>Hoja4!B9</f>
        <v>758000</v>
      </c>
      <c r="C13" s="30">
        <f>Hoja4!C9</f>
        <v>758000</v>
      </c>
      <c r="D13" s="30">
        <f t="shared" ref="D13:D41" si="0">C13-B13</f>
        <v>0</v>
      </c>
      <c r="E13" s="29">
        <f t="shared" ref="E13:E41" si="1">IFERROR(B13/C13,0)</f>
        <v>1</v>
      </c>
      <c r="F13" s="32" t="str">
        <f>Hoja4!G9</f>
        <v>Gastos Fijos</v>
      </c>
    </row>
    <row r="14" spans="1:12">
      <c r="A14" s="16" t="str">
        <f>Hoja4!A10</f>
        <v>Supermercado</v>
      </c>
      <c r="B14" s="30">
        <f>Hoja4!B10</f>
        <v>466965</v>
      </c>
      <c r="C14" s="30">
        <f>Hoja4!C10</f>
        <v>600000</v>
      </c>
      <c r="D14" s="30">
        <f t="shared" si="0"/>
        <v>133035</v>
      </c>
      <c r="E14" s="29">
        <f t="shared" si="1"/>
        <v>0.77827500000000005</v>
      </c>
      <c r="F14" s="32" t="str">
        <f>Hoja4!G10</f>
        <v>Gastos Variables</v>
      </c>
      <c r="H14" s="40" t="s">
        <v>895</v>
      </c>
      <c r="I14" s="40"/>
      <c r="J14" s="40"/>
      <c r="K14" s="40"/>
      <c r="L14" s="40"/>
    </row>
    <row r="15" spans="1:12">
      <c r="A15" s="16" t="str">
        <f>Hoja4!A11</f>
        <v>Bencina y Otros Auto</v>
      </c>
      <c r="B15" s="30">
        <f>Hoja4!B11</f>
        <v>507685</v>
      </c>
      <c r="C15" s="30">
        <f>Hoja4!C11</f>
        <v>580000</v>
      </c>
      <c r="D15" s="30">
        <f t="shared" si="0"/>
        <v>72315</v>
      </c>
      <c r="E15" s="29">
        <f t="shared" si="1"/>
        <v>0.87531896551724142</v>
      </c>
      <c r="F15" s="32" t="str">
        <f>Hoja4!G11</f>
        <v>Gastos Variables</v>
      </c>
      <c r="H15" s="25" t="s">
        <v>832</v>
      </c>
      <c r="I15" s="25" t="s">
        <v>896</v>
      </c>
      <c r="J15" s="25" t="s">
        <v>897</v>
      </c>
      <c r="K15" s="25" t="s">
        <v>898</v>
      </c>
      <c r="L15" s="25" t="s">
        <v>899</v>
      </c>
    </row>
    <row r="16" spans="1:12">
      <c r="A16" s="16" t="str">
        <f>Hoja4!A12</f>
        <v>Fintual</v>
      </c>
      <c r="B16" s="30">
        <f>Hoja4!B12</f>
        <v>397000</v>
      </c>
      <c r="C16" s="30">
        <f>Hoja4!C12</f>
        <v>397000</v>
      </c>
      <c r="D16" s="30">
        <f t="shared" si="0"/>
        <v>0</v>
      </c>
      <c r="E16" s="29">
        <f t="shared" si="1"/>
        <v>1</v>
      </c>
      <c r="F16" s="32" t="str">
        <f>Hoja4!G12</f>
        <v>Ahorro</v>
      </c>
      <c r="H16" s="16" t="s">
        <v>245</v>
      </c>
      <c r="I16" s="18">
        <v>650000</v>
      </c>
      <c r="J16" s="18">
        <v>500000</v>
      </c>
      <c r="K16" s="18">
        <v>150000</v>
      </c>
      <c r="L16" s="16" t="s">
        <v>900</v>
      </c>
    </row>
    <row r="17" spans="1:12">
      <c r="A17" s="16" t="str">
        <f>Hoja4!A13</f>
        <v>Transf. Katy</v>
      </c>
      <c r="B17" s="30">
        <f>Hoja4!B13</f>
        <v>332091</v>
      </c>
      <c r="C17" s="30">
        <f>Hoja4!C13</f>
        <v>332091</v>
      </c>
      <c r="D17" s="30">
        <f t="shared" si="0"/>
        <v>0</v>
      </c>
      <c r="E17" s="29">
        <f t="shared" si="1"/>
        <v>1</v>
      </c>
      <c r="F17" s="32" t="str">
        <f>Hoja4!G13</f>
        <v>Gastos Fijos/Var.</v>
      </c>
      <c r="H17" s="16" t="s">
        <v>270</v>
      </c>
      <c r="I17" s="18">
        <v>350000</v>
      </c>
      <c r="J17" s="18">
        <v>250000</v>
      </c>
      <c r="K17" s="18">
        <v>100000</v>
      </c>
      <c r="L17" s="16" t="s">
        <v>901</v>
      </c>
    </row>
    <row r="18" spans="1:12">
      <c r="A18" s="16" t="str">
        <f>Hoja4!A14</f>
        <v>Gastos Comun</v>
      </c>
      <c r="B18" s="30">
        <f>Hoja4!B14</f>
        <v>206427</v>
      </c>
      <c r="C18" s="30">
        <f>Hoja4!C14</f>
        <v>206427</v>
      </c>
      <c r="D18" s="30">
        <f t="shared" si="0"/>
        <v>0</v>
      </c>
      <c r="E18" s="29">
        <f t="shared" si="1"/>
        <v>1</v>
      </c>
      <c r="F18" s="32" t="str">
        <f>Hoja4!G14</f>
        <v>Gastos Fijos</v>
      </c>
      <c r="H18" s="16" t="s">
        <v>247</v>
      </c>
      <c r="I18" s="18">
        <v>150000</v>
      </c>
      <c r="J18" s="18">
        <v>75000</v>
      </c>
      <c r="K18" s="18">
        <v>75000</v>
      </c>
      <c r="L18" s="16" t="s">
        <v>902</v>
      </c>
    </row>
    <row r="19" spans="1:12">
      <c r="A19" s="16" t="str">
        <f>Hoja4!A15</f>
        <v>Ropa</v>
      </c>
      <c r="B19" s="30">
        <f>Hoja4!B15</f>
        <v>205195</v>
      </c>
      <c r="C19" s="30">
        <f>Hoja4!C15</f>
        <v>205195</v>
      </c>
      <c r="D19" s="30">
        <f t="shared" si="0"/>
        <v>0</v>
      </c>
      <c r="E19" s="29">
        <f t="shared" si="1"/>
        <v>1</v>
      </c>
      <c r="F19" s="32" t="str">
        <f>Hoja4!G15</f>
        <v>Gastos Variables</v>
      </c>
      <c r="H19" s="16" t="s">
        <v>638</v>
      </c>
      <c r="I19" s="18">
        <v>150000</v>
      </c>
      <c r="J19" s="18">
        <v>80000</v>
      </c>
      <c r="K19" s="18">
        <v>70000</v>
      </c>
      <c r="L19" s="16" t="s">
        <v>903</v>
      </c>
    </row>
    <row r="20" spans="1:12">
      <c r="A20" s="16" t="str">
        <f>Hoja4!A16</f>
        <v>Luz, agua, Internet</v>
      </c>
      <c r="B20" s="30">
        <f>Hoja4!B16</f>
        <v>184929</v>
      </c>
      <c r="C20" s="30">
        <f>Hoja4!C16</f>
        <v>184929</v>
      </c>
      <c r="D20" s="30">
        <f t="shared" si="0"/>
        <v>0</v>
      </c>
      <c r="E20" s="29">
        <f t="shared" si="1"/>
        <v>1</v>
      </c>
      <c r="F20" s="32" t="str">
        <f>Hoja4!G16</f>
        <v>Gastos Fijos</v>
      </c>
      <c r="H20" s="16" t="s">
        <v>243</v>
      </c>
      <c r="I20" s="18">
        <v>100000</v>
      </c>
      <c r="J20" s="18">
        <v>50000</v>
      </c>
      <c r="K20" s="18">
        <v>50000</v>
      </c>
      <c r="L20" s="16" t="s">
        <v>904</v>
      </c>
    </row>
    <row r="21" spans="1:12">
      <c r="A21" s="16" t="str">
        <f>Hoja4!A17</f>
        <v>Gastos varios</v>
      </c>
      <c r="B21" s="30">
        <f>Hoja4!B17</f>
        <v>131977</v>
      </c>
      <c r="C21" s="30">
        <f>Hoja4!C17</f>
        <v>180000</v>
      </c>
      <c r="D21" s="30">
        <f t="shared" si="0"/>
        <v>48023</v>
      </c>
      <c r="E21" s="29">
        <f t="shared" si="1"/>
        <v>0.73320555555555555</v>
      </c>
      <c r="F21" s="32" t="str">
        <f>Hoja4!G17</f>
        <v>Gastos Variables</v>
      </c>
      <c r="H21" s="16" t="s">
        <v>268</v>
      </c>
      <c r="I21" s="18">
        <v>100000</v>
      </c>
      <c r="J21" s="18">
        <v>60000</v>
      </c>
      <c r="K21" s="18">
        <v>40000</v>
      </c>
      <c r="L21" s="16" t="s">
        <v>905</v>
      </c>
    </row>
    <row r="22" spans="1:12">
      <c r="A22" s="16" t="str">
        <f>Hoja4!A18</f>
        <v>Entretenimiento</v>
      </c>
      <c r="B22" s="30">
        <f>Hoja4!B18</f>
        <v>135825</v>
      </c>
      <c r="C22" s="30">
        <f>Hoja4!C18</f>
        <v>135825</v>
      </c>
      <c r="D22" s="30">
        <f t="shared" si="0"/>
        <v>0</v>
      </c>
      <c r="E22" s="29">
        <f t="shared" si="1"/>
        <v>1</v>
      </c>
      <c r="F22" s="32" t="str">
        <f>Hoja4!G18</f>
        <v>Gastos Variables</v>
      </c>
      <c r="H22" s="16" t="s">
        <v>248</v>
      </c>
      <c r="I22" s="18">
        <v>100000</v>
      </c>
      <c r="J22" s="18">
        <v>60000</v>
      </c>
      <c r="K22" s="18">
        <v>40000</v>
      </c>
      <c r="L22" s="16" t="s">
        <v>906</v>
      </c>
    </row>
    <row r="23" spans="1:12">
      <c r="A23" s="16" t="str">
        <f>Hoja4!A19</f>
        <v>Restaurant</v>
      </c>
      <c r="B23" s="30">
        <f>Hoja4!B19</f>
        <v>144857</v>
      </c>
      <c r="C23" s="30">
        <f>Hoja4!C19</f>
        <v>144857</v>
      </c>
      <c r="D23" s="30">
        <f t="shared" si="0"/>
        <v>0</v>
      </c>
      <c r="E23" s="29">
        <f t="shared" si="1"/>
        <v>1</v>
      </c>
      <c r="F23" s="32" t="str">
        <f>Hoja4!G19</f>
        <v>Gastos Variables</v>
      </c>
      <c r="H23" s="16" t="s">
        <v>269</v>
      </c>
      <c r="I23" s="18">
        <v>45000</v>
      </c>
      <c r="J23" s="18">
        <v>25000</v>
      </c>
      <c r="K23" s="18">
        <v>20000</v>
      </c>
      <c r="L23" s="16" t="s">
        <v>907</v>
      </c>
    </row>
    <row r="24" spans="1:12">
      <c r="A24" s="16" t="str">
        <f>Hoja4!A20</f>
        <v>Gas</v>
      </c>
      <c r="B24" s="30">
        <f>Hoja4!B20</f>
        <v>92800</v>
      </c>
      <c r="C24" s="30">
        <f>Hoja4!C20</f>
        <v>92800</v>
      </c>
      <c r="D24" s="30">
        <f t="shared" si="0"/>
        <v>0</v>
      </c>
      <c r="E24" s="29">
        <f t="shared" si="1"/>
        <v>1</v>
      </c>
      <c r="F24" s="32" t="str">
        <f>Hoja4!G20</f>
        <v>Gastos Fijos</v>
      </c>
      <c r="H24" s="26" t="s">
        <v>376</v>
      </c>
      <c r="I24" s="27"/>
      <c r="J24" s="27"/>
      <c r="K24" s="27">
        <f>SUM(K16:K23)</f>
        <v>545000</v>
      </c>
      <c r="L24" s="26"/>
    </row>
    <row r="25" spans="1:12">
      <c r="A25" s="16" t="str">
        <f>Hoja4!A21</f>
        <v>Alimentación</v>
      </c>
      <c r="B25" s="30">
        <f>Hoja4!B21</f>
        <v>51154</v>
      </c>
      <c r="C25" s="30">
        <f>Hoja4!C21</f>
        <v>83000</v>
      </c>
      <c r="D25" s="30">
        <f t="shared" si="0"/>
        <v>31846</v>
      </c>
      <c r="E25" s="29">
        <f t="shared" si="1"/>
        <v>0.6163132530120482</v>
      </c>
      <c r="F25" s="32" t="str">
        <f>Hoja4!G21</f>
        <v>Gastos Fijos/Var.</v>
      </c>
    </row>
    <row r="26" spans="1:12">
      <c r="A26" s="16" t="str">
        <f>Hoja4!A22</f>
        <v>Farmacia, Salud y Belleza</v>
      </c>
      <c r="B26" s="30">
        <f>Hoja4!B22</f>
        <v>43101</v>
      </c>
      <c r="C26" s="30">
        <f>Hoja4!C22</f>
        <v>80000</v>
      </c>
      <c r="D26" s="30">
        <f t="shared" si="0"/>
        <v>36899</v>
      </c>
      <c r="E26" s="29">
        <f t="shared" si="1"/>
        <v>0.53876250000000003</v>
      </c>
      <c r="F26" s="32" t="str">
        <f>Hoja4!G22</f>
        <v>Gastos Variables</v>
      </c>
      <c r="H26" s="36" t="s">
        <v>908</v>
      </c>
      <c r="I26" s="36"/>
      <c r="J26" s="36"/>
      <c r="K26" s="36"/>
      <c r="L26" s="36"/>
    </row>
    <row r="27" spans="1:12">
      <c r="A27" s="16" t="str">
        <f>Hoja4!A23</f>
        <v>Regalos</v>
      </c>
      <c r="B27" s="30">
        <f>Hoja4!B23</f>
        <v>58032</v>
      </c>
      <c r="C27" s="30">
        <f>Hoja4!C23</f>
        <v>58032</v>
      </c>
      <c r="D27" s="30">
        <f t="shared" si="0"/>
        <v>0</v>
      </c>
      <c r="E27" s="29">
        <f t="shared" si="1"/>
        <v>1</v>
      </c>
      <c r="F27" s="32" t="str">
        <f>Hoja4!G23</f>
        <v>Gastos Variables</v>
      </c>
      <c r="H27" s="31" t="s">
        <v>909</v>
      </c>
      <c r="I27" s="33" t="s">
        <v>910</v>
      </c>
      <c r="J27" s="33" t="s">
        <v>930</v>
      </c>
    </row>
    <row r="28" spans="1:12">
      <c r="A28" s="16" t="str">
        <f>Hoja4!A24</f>
        <v>Gimnasio</v>
      </c>
      <c r="B28" s="30">
        <f>Hoja4!B24</f>
        <v>27589</v>
      </c>
      <c r="C28" s="30">
        <f>Hoja4!C24</f>
        <v>55178</v>
      </c>
      <c r="D28" s="30">
        <f t="shared" si="0"/>
        <v>27589</v>
      </c>
      <c r="E28" s="29">
        <f t="shared" si="1"/>
        <v>0.5</v>
      </c>
      <c r="F28" s="32" t="str">
        <f>Hoja4!G24</f>
        <v>Gastos Fijos</v>
      </c>
      <c r="H28" s="31" t="s">
        <v>911</v>
      </c>
      <c r="I28" s="33" t="s">
        <v>912</v>
      </c>
      <c r="J28" s="33" t="s">
        <v>913</v>
      </c>
    </row>
    <row r="29" spans="1:12">
      <c r="A29" s="16" t="str">
        <f>Hoja4!A25</f>
        <v>Credito Meli</v>
      </c>
      <c r="B29" s="30">
        <f>Hoja4!B25</f>
        <v>43028</v>
      </c>
      <c r="C29" s="30">
        <f>Hoja4!C25</f>
        <v>43028</v>
      </c>
      <c r="D29" s="30">
        <f t="shared" si="0"/>
        <v>0</v>
      </c>
      <c r="E29" s="29">
        <f t="shared" si="1"/>
        <v>1</v>
      </c>
      <c r="F29" s="32" t="str">
        <f>Hoja4!G25</f>
        <v>Gastos Variables</v>
      </c>
      <c r="H29" s="31" t="s">
        <v>914</v>
      </c>
      <c r="I29" s="33" t="s">
        <v>915</v>
      </c>
      <c r="J29" s="33" t="s">
        <v>916</v>
      </c>
    </row>
    <row r="30" spans="1:12">
      <c r="A30" s="16" t="str">
        <f>Hoja4!A26</f>
        <v>Giro Cajero</v>
      </c>
      <c r="B30" s="30">
        <f>Hoja4!B26</f>
        <v>30000</v>
      </c>
      <c r="C30" s="30">
        <f>Hoja4!C26</f>
        <v>30000</v>
      </c>
      <c r="D30" s="30">
        <f t="shared" si="0"/>
        <v>0</v>
      </c>
      <c r="E30" s="29">
        <f t="shared" si="1"/>
        <v>1</v>
      </c>
      <c r="F30" s="32" t="str">
        <f>Hoja4!G26</f>
        <v>Gastos Variables</v>
      </c>
      <c r="H30" s="31" t="s">
        <v>917</v>
      </c>
      <c r="I30" s="33" t="s">
        <v>918</v>
      </c>
      <c r="J30" s="33" t="s">
        <v>919</v>
      </c>
    </row>
    <row r="31" spans="1:12">
      <c r="A31" s="16" t="str">
        <f>Hoja4!A27</f>
        <v>Jardinero</v>
      </c>
      <c r="B31" s="30">
        <f>Hoja4!B27</f>
        <v>29200</v>
      </c>
      <c r="C31" s="30">
        <f>Hoja4!C27</f>
        <v>29200</v>
      </c>
      <c r="D31" s="30">
        <f t="shared" si="0"/>
        <v>0</v>
      </c>
      <c r="E31" s="29">
        <f t="shared" si="1"/>
        <v>1</v>
      </c>
      <c r="F31" s="32" t="str">
        <f>Hoja4!G27</f>
        <v>Gastos Variables</v>
      </c>
      <c r="H31" s="31" t="s">
        <v>920</v>
      </c>
      <c r="I31" s="33" t="s">
        <v>921</v>
      </c>
      <c r="J31" s="33" t="s">
        <v>922</v>
      </c>
    </row>
    <row r="32" spans="1:12">
      <c r="A32" s="16" t="str">
        <f>Hoja4!A28</f>
        <v>Suscripción</v>
      </c>
      <c r="B32" s="30">
        <f>Hoja4!B28</f>
        <v>11319</v>
      </c>
      <c r="C32" s="30">
        <f>Hoja4!C28</f>
        <v>25000</v>
      </c>
      <c r="D32" s="30">
        <f t="shared" si="0"/>
        <v>13681</v>
      </c>
      <c r="E32" s="29">
        <f t="shared" si="1"/>
        <v>0.45276</v>
      </c>
      <c r="F32" s="32" t="str">
        <f>Hoja4!G28</f>
        <v>Gastos Fijos</v>
      </c>
      <c r="H32" s="31" t="s">
        <v>923</v>
      </c>
      <c r="I32" s="33" t="s">
        <v>924</v>
      </c>
      <c r="J32" s="33" t="s">
        <v>925</v>
      </c>
    </row>
    <row r="33" spans="1:12">
      <c r="A33" s="16" t="str">
        <f>Hoja4!A29</f>
        <v>Hogar</v>
      </c>
      <c r="B33" s="30">
        <f>Hoja4!B29</f>
        <v>19990</v>
      </c>
      <c r="C33" s="30">
        <f>Hoja4!C29</f>
        <v>19990</v>
      </c>
      <c r="D33" s="30">
        <f t="shared" si="0"/>
        <v>0</v>
      </c>
      <c r="E33" s="29">
        <f t="shared" si="1"/>
        <v>1</v>
      </c>
      <c r="F33" s="32" t="str">
        <f>Hoja4!G29</f>
        <v>Gastos Variables</v>
      </c>
      <c r="H33" s="31" t="s">
        <v>926</v>
      </c>
      <c r="I33" s="33" t="s">
        <v>927</v>
      </c>
      <c r="J33" s="33" t="s">
        <v>928</v>
      </c>
    </row>
    <row r="34" spans="1:12">
      <c r="A34" s="16" t="str">
        <f>Hoja4!A30</f>
        <v>Estacionamiento</v>
      </c>
      <c r="B34" s="30">
        <f>Hoja4!B30</f>
        <v>5200</v>
      </c>
      <c r="C34" s="30">
        <f>Hoja4!C30</f>
        <v>10000</v>
      </c>
      <c r="D34" s="30">
        <f t="shared" si="0"/>
        <v>4800</v>
      </c>
      <c r="E34" s="29">
        <f t="shared" si="1"/>
        <v>0.52</v>
      </c>
      <c r="F34" s="32" t="str">
        <f>Hoja4!G30</f>
        <v>Gastos Variables</v>
      </c>
    </row>
    <row r="35" spans="1:12">
      <c r="A35" s="16" t="str">
        <f>Hoja4!A31</f>
        <v>Cumple Fer</v>
      </c>
      <c r="B35" s="30">
        <f>Hoja4!B31</f>
        <v>0</v>
      </c>
      <c r="C35" s="30">
        <f>Hoja4!C31</f>
        <v>0</v>
      </c>
      <c r="D35" s="30">
        <f t="shared" si="0"/>
        <v>0</v>
      </c>
      <c r="E35" s="29">
        <f t="shared" si="1"/>
        <v>0</v>
      </c>
      <c r="F35" s="32" t="str">
        <f>Hoja4!G31</f>
        <v>Gastos Variables</v>
      </c>
    </row>
    <row r="36" spans="1:12">
      <c r="A36" s="16" t="str">
        <f>Hoja4!A32</f>
        <v>Fiestas patrias</v>
      </c>
      <c r="B36" s="30">
        <f>Hoja4!B32</f>
        <v>0</v>
      </c>
      <c r="C36" s="30">
        <f>Hoja4!C32</f>
        <v>0</v>
      </c>
      <c r="D36" s="30">
        <f t="shared" si="0"/>
        <v>0</v>
      </c>
      <c r="E36" s="29">
        <f t="shared" si="1"/>
        <v>0</v>
      </c>
      <c r="F36" s="32" t="str">
        <f>Hoja4!G32</f>
        <v>Gastos Variables</v>
      </c>
    </row>
    <row r="37" spans="1:12">
      <c r="A37" s="16" t="str">
        <f>Hoja4!A33</f>
        <v>Rendición WM</v>
      </c>
      <c r="B37" s="30">
        <f>Hoja4!B33</f>
        <v>0</v>
      </c>
      <c r="C37" s="30">
        <f>Hoja4!C33</f>
        <v>0</v>
      </c>
      <c r="D37" s="30">
        <f t="shared" si="0"/>
        <v>0</v>
      </c>
      <c r="E37" s="29">
        <f t="shared" si="1"/>
        <v>0</v>
      </c>
      <c r="F37" s="32" t="str">
        <f>Hoja4!G33</f>
        <v>Gastos Variables</v>
      </c>
    </row>
    <row r="38" spans="1:12">
      <c r="A38" s="16" t="str">
        <f>Hoja4!A34</f>
        <v>TAG</v>
      </c>
      <c r="B38" s="30">
        <f>Hoja4!B34</f>
        <v>0</v>
      </c>
      <c r="C38" s="30">
        <f>Hoja4!C34</f>
        <v>0</v>
      </c>
      <c r="D38" s="30">
        <f t="shared" si="0"/>
        <v>0</v>
      </c>
      <c r="E38" s="29">
        <f t="shared" si="1"/>
        <v>0</v>
      </c>
      <c r="F38" s="32" t="str">
        <f>Hoja4!G34</f>
        <v>Gastos Fijos</v>
      </c>
    </row>
    <row r="39" spans="1:12">
      <c r="A39" s="16" t="str">
        <f>Hoja4!A35</f>
        <v>Deuda</v>
      </c>
      <c r="B39" s="30">
        <f>Hoja4!B35</f>
        <v>0</v>
      </c>
      <c r="C39" s="30">
        <f>Hoja4!C35</f>
        <v>0</v>
      </c>
      <c r="D39" s="30">
        <f t="shared" si="0"/>
        <v>0</v>
      </c>
      <c r="E39" s="29">
        <f t="shared" si="1"/>
        <v>0</v>
      </c>
      <c r="F39" s="32" t="str">
        <f>Hoja4!G35</f>
        <v>Gastos Variables</v>
      </c>
    </row>
    <row r="40" spans="1:12">
      <c r="A40" s="16" t="str">
        <f>Hoja4!A36</f>
        <v>Adm. Tarjeta</v>
      </c>
      <c r="B40" s="30">
        <f>Hoja4!B36</f>
        <v>13604</v>
      </c>
      <c r="C40" s="30">
        <f>Hoja4!C36</f>
        <v>13604</v>
      </c>
      <c r="D40" s="30">
        <f t="shared" si="0"/>
        <v>0</v>
      </c>
      <c r="E40" s="29">
        <f t="shared" si="1"/>
        <v>1</v>
      </c>
      <c r="F40" s="32" t="str">
        <f>Hoja4!G36</f>
        <v>Gastos Fijos</v>
      </c>
    </row>
    <row r="41" spans="1:12">
      <c r="A41" s="16" t="str">
        <f>Hoja4!A37</f>
        <v>Colegio</v>
      </c>
      <c r="B41" s="30">
        <f>Hoja4!B37</f>
        <v>13830</v>
      </c>
      <c r="C41" s="30">
        <f>Hoja4!C37</f>
        <v>13830</v>
      </c>
      <c r="D41" s="30">
        <f t="shared" si="0"/>
        <v>0</v>
      </c>
      <c r="E41" s="29">
        <f t="shared" si="1"/>
        <v>1</v>
      </c>
      <c r="F41" s="32" t="str">
        <f>Hoja4!G37</f>
        <v>Gastos Fijos/Var.</v>
      </c>
    </row>
    <row r="44" spans="1:12">
      <c r="A44" s="37" t="s">
        <v>929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</sheetData>
  <mergeCells count="7">
    <mergeCell ref="H26:L26"/>
    <mergeCell ref="A44:L44"/>
    <mergeCell ref="A1:H2"/>
    <mergeCell ref="A4:D4"/>
    <mergeCell ref="F4:H4"/>
    <mergeCell ref="A11:E11"/>
    <mergeCell ref="H14:L14"/>
  </mergeCells>
  <conditionalFormatting sqref="E13:E41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G8:G11">
    <cfRule type="cellIs" dxfId="76" priority="2" operator="lessThan">
      <formula>0</formula>
    </cfRule>
  </conditionalFormatting>
  <conditionalFormatting sqref="G12">
    <cfRule type="cellIs" dxfId="75" priority="3" operator="greaterThan">
      <formula>0.9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3:E32"/>
  <sheetViews>
    <sheetView zoomScaleNormal="100" workbookViewId="0">
      <selection activeCell="D33" sqref="D33"/>
    </sheetView>
  </sheetViews>
  <sheetFormatPr baseColWidth="10" defaultRowHeight="15"/>
  <cols>
    <col min="2" max="2" width="11.42578125" style="15"/>
    <col min="3" max="3" width="11.42578125" style="34"/>
    <col min="4" max="4" width="55.85546875" bestFit="1" customWidth="1"/>
  </cols>
  <sheetData>
    <row r="3" spans="2:5">
      <c r="C3" s="34" t="s">
        <v>775</v>
      </c>
      <c r="D3" t="s">
        <v>775</v>
      </c>
      <c r="E3" t="s">
        <v>775</v>
      </c>
    </row>
    <row r="4" spans="2:5">
      <c r="B4" s="15">
        <v>2</v>
      </c>
      <c r="C4" s="34">
        <v>46316</v>
      </c>
      <c r="D4" t="s">
        <v>740</v>
      </c>
      <c r="E4" s="14">
        <v>-38</v>
      </c>
    </row>
    <row r="5" spans="2:5">
      <c r="B5" s="15">
        <v>8</v>
      </c>
      <c r="C5" s="34">
        <v>46316</v>
      </c>
      <c r="D5" s="14" t="s">
        <v>947</v>
      </c>
      <c r="E5" s="14">
        <v>7630</v>
      </c>
    </row>
    <row r="6" spans="2:5">
      <c r="B6" s="15">
        <v>21</v>
      </c>
      <c r="C6" s="34">
        <v>46316</v>
      </c>
      <c r="D6" t="s">
        <v>740</v>
      </c>
      <c r="E6" s="14">
        <v>-4</v>
      </c>
    </row>
    <row r="7" spans="2:5">
      <c r="B7" s="15">
        <v>27</v>
      </c>
      <c r="C7" s="34">
        <v>46316</v>
      </c>
      <c r="D7" s="14" t="s">
        <v>702</v>
      </c>
      <c r="E7" s="14">
        <v>700</v>
      </c>
    </row>
    <row r="8" spans="2:5">
      <c r="B8" s="15">
        <v>34</v>
      </c>
      <c r="C8" s="34">
        <v>46316</v>
      </c>
      <c r="D8" t="s">
        <v>740</v>
      </c>
      <c r="E8" s="14">
        <v>-22</v>
      </c>
    </row>
    <row r="9" spans="2:5">
      <c r="B9" s="15">
        <v>40</v>
      </c>
      <c r="C9" s="34">
        <v>46316</v>
      </c>
      <c r="D9" t="s">
        <v>931</v>
      </c>
      <c r="E9" s="14">
        <v>4459</v>
      </c>
    </row>
    <row r="10" spans="2:5">
      <c r="B10" s="15">
        <v>47</v>
      </c>
      <c r="C10" s="34">
        <v>46316</v>
      </c>
      <c r="D10" s="35" t="s">
        <v>1014</v>
      </c>
      <c r="E10" s="14">
        <v>2990</v>
      </c>
    </row>
    <row r="11" spans="2:5">
      <c r="B11" s="15">
        <v>54</v>
      </c>
      <c r="C11" s="34">
        <v>46316</v>
      </c>
      <c r="D11" t="s">
        <v>740</v>
      </c>
      <c r="E11" s="14">
        <v>-9</v>
      </c>
    </row>
    <row r="12" spans="2:5">
      <c r="B12" s="15">
        <v>60</v>
      </c>
      <c r="C12" s="34">
        <v>46316</v>
      </c>
      <c r="D12" s="14" t="s">
        <v>931</v>
      </c>
      <c r="E12" s="14">
        <v>1700</v>
      </c>
    </row>
    <row r="13" spans="2:5">
      <c r="B13" s="15">
        <v>68</v>
      </c>
      <c r="C13" s="34">
        <v>46315</v>
      </c>
      <c r="D13" t="s">
        <v>690</v>
      </c>
      <c r="E13" s="14">
        <v>-93410</v>
      </c>
    </row>
    <row r="14" spans="2:5">
      <c r="B14" s="15">
        <v>74</v>
      </c>
      <c r="C14" s="34">
        <v>46315</v>
      </c>
      <c r="D14" t="s">
        <v>744</v>
      </c>
      <c r="E14" s="14">
        <v>-3</v>
      </c>
    </row>
    <row r="15" spans="2:5">
      <c r="B15" s="15">
        <v>80</v>
      </c>
      <c r="C15" s="34">
        <v>46315</v>
      </c>
      <c r="D15" t="s">
        <v>740</v>
      </c>
      <c r="E15" s="14">
        <v>-20</v>
      </c>
    </row>
    <row r="16" spans="2:5">
      <c r="B16" s="15">
        <v>86</v>
      </c>
      <c r="C16" s="34">
        <v>46315</v>
      </c>
      <c r="D16" t="s">
        <v>1015</v>
      </c>
      <c r="E16" s="14">
        <v>3960</v>
      </c>
    </row>
    <row r="17" spans="2:5">
      <c r="B17" s="15">
        <v>93</v>
      </c>
      <c r="C17" s="34">
        <v>46315</v>
      </c>
      <c r="D17" t="s">
        <v>740</v>
      </c>
      <c r="E17" s="14">
        <v>-26</v>
      </c>
    </row>
    <row r="18" spans="2:5">
      <c r="B18" s="15">
        <v>99</v>
      </c>
      <c r="C18" s="34">
        <v>46315</v>
      </c>
      <c r="D18" t="s">
        <v>1016</v>
      </c>
      <c r="E18" s="14">
        <v>5190</v>
      </c>
    </row>
    <row r="19" spans="2:5">
      <c r="B19" s="15">
        <v>113</v>
      </c>
      <c r="C19" s="34">
        <v>46315</v>
      </c>
      <c r="D19" t="s">
        <v>740</v>
      </c>
      <c r="E19" s="14">
        <v>-177</v>
      </c>
    </row>
    <row r="20" spans="2:5">
      <c r="B20" s="15">
        <v>119</v>
      </c>
      <c r="C20" s="34">
        <v>46315</v>
      </c>
      <c r="D20" t="s">
        <v>785</v>
      </c>
      <c r="E20" s="14">
        <v>35392</v>
      </c>
    </row>
    <row r="21" spans="2:5">
      <c r="B21" s="15">
        <v>126</v>
      </c>
      <c r="C21" s="34">
        <v>46315</v>
      </c>
      <c r="D21" t="s">
        <v>740</v>
      </c>
      <c r="E21" s="14">
        <v>-159</v>
      </c>
    </row>
    <row r="22" spans="2:5">
      <c r="B22" s="15">
        <v>132</v>
      </c>
      <c r="C22" s="34">
        <v>46315</v>
      </c>
      <c r="D22" t="s">
        <v>840</v>
      </c>
      <c r="E22" s="14">
        <v>31890</v>
      </c>
    </row>
    <row r="23" spans="2:5">
      <c r="B23" s="15">
        <v>139</v>
      </c>
      <c r="C23" s="34">
        <v>46315</v>
      </c>
      <c r="D23" t="s">
        <v>740</v>
      </c>
      <c r="E23" s="14">
        <v>-50</v>
      </c>
    </row>
    <row r="24" spans="2:5">
      <c r="B24" s="15">
        <v>145</v>
      </c>
      <c r="C24" s="34">
        <v>46315</v>
      </c>
      <c r="D24" t="s">
        <v>1008</v>
      </c>
      <c r="E24" s="14">
        <v>10000</v>
      </c>
    </row>
    <row r="25" spans="2:5">
      <c r="B25" s="15">
        <v>152</v>
      </c>
      <c r="C25" s="34">
        <v>46315</v>
      </c>
      <c r="D25" t="s">
        <v>740</v>
      </c>
      <c r="E25" s="14">
        <v>-9</v>
      </c>
    </row>
    <row r="26" spans="2:5">
      <c r="B26" s="15">
        <v>158</v>
      </c>
      <c r="C26" s="34">
        <v>46315</v>
      </c>
      <c r="D26" t="s">
        <v>931</v>
      </c>
      <c r="E26" s="14">
        <v>1700</v>
      </c>
    </row>
    <row r="27" spans="2:5">
      <c r="B27" s="15">
        <v>166</v>
      </c>
      <c r="C27" s="34">
        <v>46314</v>
      </c>
      <c r="D27" t="s">
        <v>1017</v>
      </c>
      <c r="E27" s="14">
        <v>1790</v>
      </c>
    </row>
    <row r="28" spans="2:5">
      <c r="B28" s="15">
        <v>173</v>
      </c>
      <c r="C28" s="34">
        <v>46314</v>
      </c>
      <c r="D28" t="s">
        <v>744</v>
      </c>
      <c r="E28" s="14">
        <v>-4</v>
      </c>
    </row>
    <row r="29" spans="2:5">
      <c r="B29" s="15">
        <v>179</v>
      </c>
      <c r="C29" s="34">
        <v>46314</v>
      </c>
      <c r="D29" t="s">
        <v>740</v>
      </c>
      <c r="E29" s="14">
        <v>-22</v>
      </c>
    </row>
    <row r="30" spans="2:5">
      <c r="B30" s="15">
        <v>185</v>
      </c>
      <c r="C30" s="34">
        <v>46314</v>
      </c>
      <c r="D30" t="s">
        <v>931</v>
      </c>
      <c r="E30" s="14">
        <v>4459</v>
      </c>
    </row>
    <row r="31" spans="2:5">
      <c r="B31" s="15">
        <v>192</v>
      </c>
      <c r="C31" s="34">
        <v>46314</v>
      </c>
      <c r="D31" t="s">
        <v>727</v>
      </c>
      <c r="E31" s="14">
        <v>14000</v>
      </c>
    </row>
    <row r="32" spans="2:5">
      <c r="B32" s="15">
        <v>199</v>
      </c>
      <c r="C32" s="34">
        <v>46314</v>
      </c>
      <c r="D32" t="s">
        <v>770</v>
      </c>
      <c r="E32" s="14">
        <v>-106105</v>
      </c>
    </row>
  </sheetData>
  <autoFilter ref="B3:H3">
    <sortState ref="B4:E32">
      <sortCondition ref="B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4"/>
  <sheetViews>
    <sheetView zoomScaleNormal="100" workbookViewId="0">
      <selection activeCell="G11" sqref="G11"/>
    </sheetView>
  </sheetViews>
  <sheetFormatPr baseColWidth="10" defaultRowHeight="16.5"/>
  <cols>
    <col min="1" max="1" width="11.42578125" style="78"/>
    <col min="2" max="2" width="25.140625" style="78" bestFit="1" customWidth="1"/>
    <col min="3" max="18" width="15.7109375" style="78" customWidth="1"/>
    <col min="19" max="16384" width="11.42578125" style="78"/>
  </cols>
  <sheetData>
    <row r="4" spans="2:17">
      <c r="B4" s="78" t="s">
        <v>547</v>
      </c>
      <c r="D4" s="116">
        <v>46296</v>
      </c>
      <c r="E4" s="116">
        <v>46266</v>
      </c>
      <c r="F4" s="116">
        <v>46235</v>
      </c>
      <c r="G4" s="116">
        <v>46204</v>
      </c>
      <c r="H4" s="116">
        <v>46174</v>
      </c>
      <c r="I4" s="116">
        <v>46143</v>
      </c>
      <c r="J4" s="116">
        <v>46113</v>
      </c>
      <c r="K4" s="116">
        <v>46082</v>
      </c>
      <c r="L4" s="116"/>
      <c r="M4" s="116"/>
      <c r="N4" s="116"/>
      <c r="O4" s="116"/>
      <c r="P4" s="116"/>
      <c r="Q4" s="116"/>
    </row>
    <row r="5" spans="2:17">
      <c r="B5" s="78" t="s">
        <v>252</v>
      </c>
      <c r="C5" s="117">
        <f>IFERROR(AVERAGEIF(D5:F5, "&lt;&gt;0"),0)</f>
        <v>749666.66666666663</v>
      </c>
      <c r="D5" s="118">
        <f>+VLOOKUP(Hoja1!B5,Hoja4!$A$9:$C$39,3,)</f>
        <v>758000</v>
      </c>
      <c r="E5" s="118">
        <v>758000</v>
      </c>
      <c r="F5" s="118">
        <v>733000</v>
      </c>
      <c r="G5" s="118"/>
      <c r="H5" s="118"/>
      <c r="I5" s="118"/>
      <c r="J5" s="118"/>
      <c r="K5" s="118"/>
      <c r="L5" s="118"/>
      <c r="M5" s="118"/>
      <c r="N5" s="118"/>
    </row>
    <row r="6" spans="2:17">
      <c r="B6" s="78" t="s">
        <v>245</v>
      </c>
      <c r="C6" s="117">
        <f t="shared" ref="C6:C33" si="0">IFERROR(AVERAGEIF(D6:F6, "&lt;&gt;0"),0)</f>
        <v>628158</v>
      </c>
      <c r="D6" s="118">
        <f>+VLOOKUP(Hoja1!B6,Hoja4!$A$9:$C$39,3,)</f>
        <v>600000</v>
      </c>
      <c r="E6" s="118">
        <v>617589</v>
      </c>
      <c r="F6" s="118">
        <v>666885</v>
      </c>
      <c r="G6" s="118"/>
      <c r="H6" s="118"/>
      <c r="I6" s="118"/>
      <c r="J6" s="118"/>
      <c r="K6" s="118"/>
      <c r="L6" s="118"/>
      <c r="M6" s="118"/>
      <c r="N6" s="118"/>
    </row>
    <row r="7" spans="2:17">
      <c r="B7" s="78" t="s">
        <v>270</v>
      </c>
      <c r="C7" s="117">
        <f t="shared" si="0"/>
        <v>434416.66666666669</v>
      </c>
      <c r="D7" s="118">
        <f>+VLOOKUP(Hoja1!B7,Hoja4!$A$9:$C$39,3,)</f>
        <v>580000</v>
      </c>
      <c r="E7" s="118">
        <v>342777</v>
      </c>
      <c r="F7" s="118">
        <v>380473</v>
      </c>
      <c r="G7" s="118"/>
      <c r="H7" s="118"/>
      <c r="I7" s="118"/>
      <c r="J7" s="118"/>
      <c r="K7" s="118"/>
      <c r="L7" s="118"/>
      <c r="M7" s="118"/>
      <c r="N7" s="118"/>
    </row>
    <row r="8" spans="2:17">
      <c r="B8" s="78" t="s">
        <v>619</v>
      </c>
      <c r="C8" s="117">
        <f t="shared" si="0"/>
        <v>348647</v>
      </c>
      <c r="D8" s="118">
        <f>+VLOOKUP(Hoja1!B8,Hoja4!$A$9:$C$39,3,)</f>
        <v>0</v>
      </c>
      <c r="E8" s="118">
        <v>348647</v>
      </c>
      <c r="F8" s="118">
        <v>0</v>
      </c>
      <c r="G8" s="118"/>
      <c r="H8" s="118"/>
      <c r="I8" s="118"/>
      <c r="J8" s="118"/>
      <c r="K8" s="118"/>
      <c r="L8" s="118"/>
      <c r="M8" s="118"/>
      <c r="N8" s="118"/>
    </row>
    <row r="9" spans="2:17">
      <c r="B9" s="78" t="s">
        <v>273</v>
      </c>
      <c r="C9" s="117">
        <f t="shared" si="0"/>
        <v>252130.66666666666</v>
      </c>
      <c r="D9" s="118">
        <f>+VLOOKUP(Hoja1!B9,Hoja4!$A$9:$C$39,3,)</f>
        <v>332091</v>
      </c>
      <c r="E9" s="118">
        <v>259311</v>
      </c>
      <c r="F9" s="118">
        <v>164990</v>
      </c>
      <c r="G9" s="118"/>
      <c r="H9" s="118"/>
      <c r="I9" s="118"/>
      <c r="J9" s="118"/>
      <c r="K9" s="118"/>
      <c r="L9" s="118"/>
      <c r="M9" s="118"/>
      <c r="N9" s="118"/>
    </row>
    <row r="10" spans="2:17">
      <c r="B10" s="78" t="s">
        <v>247</v>
      </c>
      <c r="C10" s="117">
        <f t="shared" si="0"/>
        <v>184560.33333333334</v>
      </c>
      <c r="D10" s="118">
        <f>+VLOOKUP(Hoja1!B10,Hoja4!$A$9:$C$39,3,)</f>
        <v>180000</v>
      </c>
      <c r="E10" s="118">
        <v>179003</v>
      </c>
      <c r="F10" s="118">
        <v>194678</v>
      </c>
      <c r="G10" s="118"/>
      <c r="H10" s="118"/>
      <c r="I10" s="118"/>
      <c r="J10" s="118"/>
      <c r="K10" s="118"/>
      <c r="L10" s="118"/>
      <c r="M10" s="118"/>
      <c r="N10" s="118"/>
    </row>
    <row r="11" spans="2:17">
      <c r="B11" s="78" t="s">
        <v>638</v>
      </c>
      <c r="C11" s="117">
        <f t="shared" si="0"/>
        <v>172540</v>
      </c>
      <c r="D11" s="118">
        <f>+VLOOKUP(Hoja1!B11,Hoja4!$A$9:$C$39,3,)</f>
        <v>0</v>
      </c>
      <c r="E11" s="118">
        <v>172540</v>
      </c>
      <c r="F11" s="118">
        <v>0</v>
      </c>
      <c r="G11" s="118"/>
      <c r="H11" s="118"/>
      <c r="I11" s="118"/>
      <c r="J11" s="118"/>
      <c r="K11" s="118"/>
      <c r="L11" s="118"/>
      <c r="M11" s="118"/>
      <c r="N11" s="118"/>
    </row>
    <row r="12" spans="2:17">
      <c r="B12" s="78" t="s">
        <v>248</v>
      </c>
      <c r="C12" s="117">
        <f t="shared" si="0"/>
        <v>159491.33333333334</v>
      </c>
      <c r="D12" s="118">
        <f>+VLOOKUP(Hoja1!B12,Hoja4!$A$9:$C$39,3,)</f>
        <v>144857</v>
      </c>
      <c r="E12" s="118">
        <v>147473</v>
      </c>
      <c r="F12" s="118">
        <v>186144</v>
      </c>
      <c r="G12" s="118"/>
      <c r="H12" s="118"/>
      <c r="I12" s="118"/>
      <c r="J12" s="118"/>
      <c r="K12" s="118"/>
      <c r="L12" s="118"/>
      <c r="M12" s="118"/>
      <c r="N12" s="118"/>
    </row>
    <row r="13" spans="2:17">
      <c r="B13" s="78" t="s">
        <v>244</v>
      </c>
      <c r="C13" s="117">
        <f t="shared" si="0"/>
        <v>110135.33333333333</v>
      </c>
      <c r="D13" s="118">
        <f>+VLOOKUP(Hoja1!B13,Hoja4!$A$9:$C$39,3,)</f>
        <v>80000</v>
      </c>
      <c r="E13" s="118">
        <v>121163</v>
      </c>
      <c r="F13" s="118">
        <v>129243</v>
      </c>
      <c r="G13" s="118"/>
      <c r="H13" s="118"/>
      <c r="I13" s="118"/>
      <c r="J13" s="118"/>
      <c r="K13" s="118"/>
      <c r="L13" s="118"/>
      <c r="M13" s="118"/>
      <c r="N13" s="118"/>
    </row>
    <row r="14" spans="2:17">
      <c r="B14" s="78" t="s">
        <v>243</v>
      </c>
      <c r="C14" s="117">
        <f t="shared" si="0"/>
        <v>158119</v>
      </c>
      <c r="D14" s="118">
        <f>+VLOOKUP(Hoja1!B14,Hoja4!$A$9:$C$39,3,)</f>
        <v>205195</v>
      </c>
      <c r="E14" s="118">
        <v>108772</v>
      </c>
      <c r="F14" s="118">
        <v>160390</v>
      </c>
      <c r="G14" s="118"/>
      <c r="H14" s="118"/>
      <c r="I14" s="118"/>
      <c r="J14" s="118"/>
      <c r="K14" s="118"/>
      <c r="L14" s="118"/>
      <c r="M14" s="118"/>
      <c r="N14" s="118"/>
    </row>
    <row r="15" spans="2:17">
      <c r="B15" s="78" t="s">
        <v>268</v>
      </c>
      <c r="C15" s="117">
        <f t="shared" si="0"/>
        <v>88958.333333333328</v>
      </c>
      <c r="D15" s="118">
        <f>+VLOOKUP(Hoja1!B15,Hoja4!$A$9:$C$39,3,)</f>
        <v>135825</v>
      </c>
      <c r="E15" s="118">
        <v>96490</v>
      </c>
      <c r="F15" s="118">
        <v>34560</v>
      </c>
      <c r="G15" s="118"/>
      <c r="H15" s="118"/>
      <c r="I15" s="118"/>
      <c r="J15" s="118"/>
      <c r="K15" s="118"/>
      <c r="L15" s="118"/>
      <c r="M15" s="118"/>
      <c r="N15" s="118"/>
    </row>
    <row r="16" spans="2:17">
      <c r="B16" s="78" t="s">
        <v>242</v>
      </c>
      <c r="C16" s="117">
        <f t="shared" si="0"/>
        <v>81130.333333333328</v>
      </c>
      <c r="D16" s="118">
        <f>+VLOOKUP(Hoja1!B16,Hoja4!$A$9:$C$39,3,)</f>
        <v>83000</v>
      </c>
      <c r="E16" s="118">
        <v>75670</v>
      </c>
      <c r="F16" s="118">
        <v>84721</v>
      </c>
      <c r="G16" s="118"/>
      <c r="H16" s="118"/>
      <c r="I16" s="118"/>
      <c r="J16" s="118"/>
      <c r="K16" s="118"/>
      <c r="L16" s="118"/>
      <c r="M16" s="118"/>
      <c r="N16" s="118"/>
    </row>
    <row r="17" spans="2:14">
      <c r="B17" s="78" t="s">
        <v>251</v>
      </c>
      <c r="C17" s="117">
        <f t="shared" si="0"/>
        <v>38143.333333333336</v>
      </c>
      <c r="D17" s="118">
        <f>+VLOOKUP(Hoja1!B17,Hoja4!$A$9:$C$39,3,)</f>
        <v>13830</v>
      </c>
      <c r="E17" s="118">
        <v>80000</v>
      </c>
      <c r="F17" s="118">
        <v>20600</v>
      </c>
      <c r="G17" s="118"/>
      <c r="H17" s="118"/>
      <c r="I17" s="118"/>
      <c r="J17" s="118"/>
      <c r="K17" s="118"/>
      <c r="L17" s="118"/>
      <c r="M17" s="118"/>
      <c r="N17" s="118"/>
    </row>
    <row r="18" spans="2:14">
      <c r="B18" s="78" t="s">
        <v>271</v>
      </c>
      <c r="C18" s="117">
        <f t="shared" si="0"/>
        <v>155200</v>
      </c>
      <c r="D18" s="118">
        <f>+VLOOKUP(Hoja1!B18,Hoja4!$A$9:$C$39,3,)</f>
        <v>184929</v>
      </c>
      <c r="E18" s="118">
        <v>62812</v>
      </c>
      <c r="F18" s="118">
        <v>217859</v>
      </c>
      <c r="G18" s="118"/>
      <c r="H18" s="118"/>
      <c r="I18" s="118"/>
      <c r="J18" s="118"/>
      <c r="K18" s="118"/>
      <c r="L18" s="118"/>
      <c r="M18" s="118"/>
      <c r="N18" s="118"/>
    </row>
    <row r="19" spans="2:14">
      <c r="B19" s="78" t="s">
        <v>545</v>
      </c>
      <c r="C19" s="117">
        <f t="shared" si="0"/>
        <v>55848.333333333336</v>
      </c>
      <c r="D19" s="118">
        <f>+VLOOKUP(Hoja1!B19,Hoja4!$A$9:$C$39,3,)</f>
        <v>55178</v>
      </c>
      <c r="E19" s="118">
        <v>57189</v>
      </c>
      <c r="F19" s="118">
        <v>55178</v>
      </c>
      <c r="G19" s="118"/>
      <c r="H19" s="118"/>
      <c r="I19" s="118"/>
      <c r="J19" s="118"/>
      <c r="K19" s="118"/>
      <c r="L19" s="118"/>
      <c r="M19" s="118"/>
      <c r="N19" s="118"/>
    </row>
    <row r="20" spans="2:14">
      <c r="B20" s="78" t="s">
        <v>736</v>
      </c>
      <c r="C20" s="117">
        <f t="shared" si="0"/>
        <v>56698</v>
      </c>
      <c r="D20" s="118">
        <f>+VLOOKUP(Hoja1!B20,Hoja4!$A$9:$C$39,3,)</f>
        <v>43028</v>
      </c>
      <c r="E20" s="118">
        <v>46860</v>
      </c>
      <c r="F20" s="118">
        <v>80206</v>
      </c>
      <c r="G20" s="118"/>
      <c r="H20" s="118"/>
      <c r="I20" s="118"/>
      <c r="J20" s="118"/>
      <c r="K20" s="118"/>
      <c r="L20" s="118"/>
      <c r="M20" s="118"/>
      <c r="N20" s="118"/>
    </row>
    <row r="21" spans="2:14">
      <c r="B21" s="78" t="s">
        <v>269</v>
      </c>
      <c r="C21" s="117">
        <f t="shared" si="0"/>
        <v>46144.333333333336</v>
      </c>
      <c r="D21" s="118">
        <f>+VLOOKUP(Hoja1!B21,Hoja4!$A$9:$C$39,3,)</f>
        <v>58032</v>
      </c>
      <c r="E21" s="118">
        <v>40865</v>
      </c>
      <c r="F21" s="118">
        <v>39536</v>
      </c>
      <c r="G21" s="118"/>
      <c r="H21" s="118"/>
      <c r="I21" s="118"/>
      <c r="J21" s="118"/>
      <c r="K21" s="118"/>
      <c r="L21" s="118"/>
      <c r="M21" s="118"/>
      <c r="N21" s="118"/>
    </row>
    <row r="22" spans="2:14">
      <c r="B22" s="78" t="s">
        <v>263</v>
      </c>
      <c r="C22" s="117">
        <f t="shared" si="0"/>
        <v>40000</v>
      </c>
      <c r="D22" s="118">
        <f>+VLOOKUP(Hoja1!B22,Hoja4!$A$9:$C$39,3,)</f>
        <v>30000</v>
      </c>
      <c r="E22" s="118">
        <v>30000</v>
      </c>
      <c r="F22" s="118">
        <v>60000</v>
      </c>
      <c r="G22" s="118"/>
      <c r="H22" s="118"/>
      <c r="I22" s="118"/>
      <c r="J22" s="118"/>
      <c r="K22" s="118"/>
      <c r="L22" s="118"/>
      <c r="M22" s="118"/>
      <c r="N22" s="118"/>
    </row>
    <row r="23" spans="2:14">
      <c r="B23" s="78" t="s">
        <v>544</v>
      </c>
      <c r="C23" s="117">
        <f t="shared" si="0"/>
        <v>25572.666666666668</v>
      </c>
      <c r="D23" s="118">
        <f>+VLOOKUP(Hoja1!B23,Hoja4!$A$9:$C$39,3,)</f>
        <v>25000</v>
      </c>
      <c r="E23" s="118">
        <v>23069</v>
      </c>
      <c r="F23" s="118">
        <v>28649</v>
      </c>
      <c r="G23" s="118"/>
      <c r="H23" s="118"/>
      <c r="I23" s="118"/>
      <c r="J23" s="118"/>
      <c r="K23" s="118"/>
      <c r="L23" s="118"/>
      <c r="M23" s="118"/>
      <c r="N23" s="118"/>
    </row>
    <row r="24" spans="2:14">
      <c r="B24" s="78" t="s">
        <v>241</v>
      </c>
      <c r="C24" s="117">
        <f t="shared" si="0"/>
        <v>11956.666666666666</v>
      </c>
      <c r="D24" s="118">
        <f>+VLOOKUP(Hoja1!B24,Hoja4!$A$9:$C$39,3,)</f>
        <v>10000</v>
      </c>
      <c r="E24" s="118">
        <v>16070</v>
      </c>
      <c r="F24" s="118">
        <v>9800</v>
      </c>
      <c r="G24" s="118"/>
      <c r="H24" s="118"/>
      <c r="I24" s="118"/>
      <c r="J24" s="118"/>
      <c r="K24" s="118"/>
      <c r="L24" s="118"/>
      <c r="M24" s="118"/>
      <c r="N24" s="118"/>
    </row>
    <row r="25" spans="2:14">
      <c r="B25" s="78" t="s">
        <v>264</v>
      </c>
      <c r="C25" s="117">
        <f t="shared" si="0"/>
        <v>22060</v>
      </c>
      <c r="D25" s="118">
        <f>+VLOOKUP(Hoja1!B25,Hoja4!$A$9:$C$39,3,)</f>
        <v>19990</v>
      </c>
      <c r="E25" s="118">
        <v>11200</v>
      </c>
      <c r="F25" s="118">
        <v>34990</v>
      </c>
      <c r="G25" s="118"/>
      <c r="H25" s="118"/>
      <c r="I25" s="118"/>
      <c r="J25" s="118"/>
      <c r="K25" s="118"/>
      <c r="L25" s="118"/>
      <c r="M25" s="118"/>
      <c r="N25" s="118"/>
    </row>
    <row r="26" spans="2:14">
      <c r="B26" s="78" t="s">
        <v>284</v>
      </c>
      <c r="C26" s="117">
        <f t="shared" si="0"/>
        <v>258713.5</v>
      </c>
      <c r="D26" s="118">
        <f>+VLOOKUP(Hoja1!B26,Hoja4!$A$9:$C$39,3,)</f>
        <v>206427</v>
      </c>
      <c r="E26" s="118">
        <v>0</v>
      </c>
      <c r="F26" s="118">
        <v>311000</v>
      </c>
      <c r="G26" s="118"/>
      <c r="H26" s="118"/>
      <c r="I26" s="118"/>
      <c r="J26" s="118"/>
      <c r="K26" s="118"/>
      <c r="L26" s="118"/>
      <c r="M26" s="118"/>
      <c r="N26" s="118"/>
    </row>
    <row r="27" spans="2:14">
      <c r="B27" s="78" t="s">
        <v>272</v>
      </c>
      <c r="C27" s="117">
        <f t="shared" si="0"/>
        <v>106250</v>
      </c>
      <c r="D27" s="118">
        <f>+VLOOKUP(Hoja1!B27,Hoja4!$A$9:$C$39,3,)</f>
        <v>92800</v>
      </c>
      <c r="E27" s="118">
        <v>0</v>
      </c>
      <c r="F27" s="118">
        <v>119700</v>
      </c>
      <c r="G27" s="118"/>
      <c r="H27" s="118"/>
      <c r="I27" s="118"/>
      <c r="J27" s="118"/>
      <c r="K27" s="118"/>
      <c r="L27" s="118"/>
      <c r="M27" s="118"/>
      <c r="N27" s="118"/>
    </row>
    <row r="28" spans="2:14">
      <c r="B28" s="78" t="s">
        <v>471</v>
      </c>
      <c r="C28" s="117">
        <f t="shared" si="0"/>
        <v>0</v>
      </c>
      <c r="D28" s="118">
        <f>+VLOOKUP(Hoja1!B28,Hoja4!$A$9:$C$39,3,)</f>
        <v>0</v>
      </c>
      <c r="E28" s="118">
        <v>0</v>
      </c>
      <c r="F28" s="118">
        <v>0</v>
      </c>
      <c r="G28" s="118"/>
      <c r="H28" s="118"/>
      <c r="I28" s="118"/>
      <c r="J28" s="118"/>
      <c r="K28" s="118"/>
      <c r="L28" s="118"/>
      <c r="M28" s="118"/>
      <c r="N28" s="118"/>
    </row>
    <row r="29" spans="2:14">
      <c r="B29" s="78" t="s">
        <v>282</v>
      </c>
      <c r="C29" s="117">
        <f t="shared" si="0"/>
        <v>0</v>
      </c>
      <c r="D29" s="118">
        <f>+VLOOKUP(Hoja1!B29,Hoja4!$A$9:$C$39,3,)</f>
        <v>0</v>
      </c>
      <c r="E29" s="118">
        <v>0</v>
      </c>
      <c r="F29" s="118">
        <v>0</v>
      </c>
      <c r="G29" s="118"/>
      <c r="H29" s="118"/>
      <c r="I29" s="118"/>
      <c r="J29" s="118"/>
      <c r="K29" s="118"/>
      <c r="L29" s="118"/>
      <c r="M29" s="118"/>
      <c r="N29" s="118"/>
    </row>
    <row r="30" spans="2:14">
      <c r="B30" s="78" t="s">
        <v>739</v>
      </c>
      <c r="C30" s="117">
        <f t="shared" si="0"/>
        <v>220000</v>
      </c>
      <c r="D30" s="118">
        <f>+VLOOKUP(Hoja1!B30,Hoja4!$A$9:$C$39,3,)</f>
        <v>0</v>
      </c>
      <c r="E30" s="118">
        <v>0</v>
      </c>
      <c r="F30" s="118">
        <v>220000</v>
      </c>
      <c r="G30" s="118"/>
      <c r="H30" s="118"/>
      <c r="I30" s="118"/>
      <c r="J30" s="118"/>
      <c r="K30" s="118"/>
      <c r="L30" s="118"/>
      <c r="M30" s="118"/>
      <c r="N30" s="118"/>
    </row>
    <row r="31" spans="2:14">
      <c r="B31" s="78" t="s">
        <v>370</v>
      </c>
      <c r="C31" s="117">
        <f t="shared" si="0"/>
        <v>13604</v>
      </c>
      <c r="D31" s="118">
        <f>+VLOOKUP(Hoja1!B31,Hoja4!$A$9:$C$39,3,)</f>
        <v>13604</v>
      </c>
      <c r="E31" s="118">
        <v>0</v>
      </c>
      <c r="F31" s="118">
        <v>0</v>
      </c>
      <c r="G31" s="118"/>
      <c r="H31" s="118"/>
      <c r="I31" s="118"/>
      <c r="J31" s="118"/>
      <c r="K31" s="118"/>
      <c r="L31" s="118"/>
      <c r="M31" s="118"/>
      <c r="N31" s="118"/>
    </row>
    <row r="32" spans="2:14">
      <c r="B32" s="78" t="s">
        <v>983</v>
      </c>
      <c r="C32" s="117">
        <f t="shared" si="0"/>
        <v>214000</v>
      </c>
      <c r="D32" s="118">
        <f>+VLOOKUP(Hoja1!B32,Hoja4!$A$9:$C$39,3,)</f>
        <v>397000</v>
      </c>
      <c r="E32" s="118">
        <v>0</v>
      </c>
      <c r="F32" s="118">
        <v>31000</v>
      </c>
      <c r="G32" s="118"/>
      <c r="H32" s="118"/>
      <c r="I32" s="118"/>
      <c r="J32" s="118"/>
      <c r="K32" s="118"/>
      <c r="L32" s="118"/>
      <c r="M32" s="118"/>
      <c r="N32" s="118"/>
    </row>
    <row r="33" spans="2:18">
      <c r="B33" s="78" t="s">
        <v>609</v>
      </c>
      <c r="C33" s="117">
        <f t="shared" si="0"/>
        <v>29200</v>
      </c>
      <c r="D33" s="118">
        <f>+VLOOKUP(Hoja1!B33,Hoja4!$A$9:$C$39,3,)</f>
        <v>29200</v>
      </c>
      <c r="E33" s="118">
        <v>0</v>
      </c>
      <c r="F33" s="118">
        <v>0</v>
      </c>
      <c r="G33" s="118"/>
      <c r="H33" s="118"/>
      <c r="I33" s="118"/>
      <c r="J33" s="118"/>
      <c r="K33" s="118"/>
      <c r="L33" s="118"/>
      <c r="M33" s="118"/>
      <c r="N33" s="118"/>
    </row>
    <row r="34" spans="2:18">
      <c r="C34" s="119">
        <f t="shared" ref="C34:E34" si="1">SUM(C5:C33)</f>
        <v>4661344.5</v>
      </c>
      <c r="D34" s="119">
        <f t="shared" si="1"/>
        <v>4277986</v>
      </c>
      <c r="E34" s="119">
        <f t="shared" si="1"/>
        <v>3595500</v>
      </c>
      <c r="F34" s="119">
        <f>SUM(F5:F33)</f>
        <v>3963602</v>
      </c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</row>
  </sheetData>
  <pageMargins left="0.7" right="0.7" top="0.75" bottom="0.75" header="0.3" footer="0.3"/>
  <ignoredErrors>
    <ignoredError sqref="E34:F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Hoja5</vt:lpstr>
      <vt:lpstr>Historico</vt:lpstr>
      <vt:lpstr>Hoja4</vt:lpstr>
      <vt:lpstr>Dashboard Familiar</vt:lpstr>
      <vt:lpstr>Hoja2</vt:lpstr>
      <vt:lpstr>Hoja1</vt:lpstr>
      <vt:lpstr>Historico!Área_de_impresión</vt:lpstr>
      <vt:lpstr>Historico!Títulos_a_imprimir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Arriagada (Chile)</dc:creator>
  <cp:lastModifiedBy>Dell</cp:lastModifiedBy>
  <cp:lastPrinted>2026-08-19T17:09:08Z</cp:lastPrinted>
  <dcterms:created xsi:type="dcterms:W3CDTF">2025-06-30T02:56:45Z</dcterms:created>
  <dcterms:modified xsi:type="dcterms:W3CDTF">2026-10-21T20:00:03Z</dcterms:modified>
</cp:coreProperties>
</file>